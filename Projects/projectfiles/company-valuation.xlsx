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WACC" sheetId="2" r:id="rId5"/>
    <sheet state="visible" name="DCF" sheetId="3" r:id="rId6"/>
    <sheet state="visible" name="Relative valuation" sheetId="4" r:id="rId7"/>
    <sheet state="visible" name="Financial analysis" sheetId="5" r:id="rId8"/>
  </sheets>
  <definedNames/>
  <calcPr/>
</workbook>
</file>

<file path=xl/sharedStrings.xml><?xml version="1.0" encoding="utf-8"?>
<sst xmlns="http://schemas.openxmlformats.org/spreadsheetml/2006/main" count="112" uniqueCount="86">
  <si>
    <t>EBIT</t>
  </si>
  <si>
    <t>Cash</t>
  </si>
  <si>
    <t>Minority holdings</t>
  </si>
  <si>
    <t>Minority interest</t>
  </si>
  <si>
    <t>Price per share ( 1 July 2024)</t>
  </si>
  <si>
    <t># of shares</t>
  </si>
  <si>
    <t>Market value of debt</t>
  </si>
  <si>
    <t>Market risk premium</t>
  </si>
  <si>
    <t>initial</t>
  </si>
  <si>
    <t>Terminal</t>
  </si>
  <si>
    <t>Tax rate</t>
  </si>
  <si>
    <t>Risk-free interest rate</t>
  </si>
  <si>
    <t>Levered beta</t>
  </si>
  <si>
    <t>Default Spread</t>
  </si>
  <si>
    <t>ROA</t>
  </si>
  <si>
    <t>Reinvestment rate</t>
  </si>
  <si>
    <t>EBIT growth rate</t>
  </si>
  <si>
    <t>Market capitalization</t>
  </si>
  <si>
    <t>Initial</t>
  </si>
  <si>
    <t>Unlevered beta (bottom-up)</t>
  </si>
  <si>
    <t>ke</t>
  </si>
  <si>
    <t>kd</t>
  </si>
  <si>
    <t>kd(1-T)</t>
  </si>
  <si>
    <t>Value</t>
  </si>
  <si>
    <t>Weight</t>
  </si>
  <si>
    <t>Debt</t>
  </si>
  <si>
    <t>Equity</t>
  </si>
  <si>
    <t>WACC initial</t>
  </si>
  <si>
    <t>WACC terminal</t>
  </si>
  <si>
    <t>EBIT(1-T)</t>
  </si>
  <si>
    <t>Reinvestment</t>
  </si>
  <si>
    <t>FCFF</t>
  </si>
  <si>
    <t>Cot of capital</t>
  </si>
  <si>
    <t>Discount factor</t>
  </si>
  <si>
    <t>PV (FCFF)</t>
  </si>
  <si>
    <t>ROIC(ROA)</t>
  </si>
  <si>
    <t>FCFF (terminal)</t>
  </si>
  <si>
    <t>Cost of capital (terminal)</t>
  </si>
  <si>
    <t>Value (terminal)</t>
  </si>
  <si>
    <t>PV (Terminal value)</t>
  </si>
  <si>
    <t>PV (initial FCFF)</t>
  </si>
  <si>
    <t>EV</t>
  </si>
  <si>
    <t>Firm value</t>
  </si>
  <si>
    <t>- Minorit interest</t>
  </si>
  <si>
    <t>- Debt</t>
  </si>
  <si>
    <t>Nº shares (m)</t>
  </si>
  <si>
    <t>Valur per share</t>
  </si>
  <si>
    <t>Price</t>
  </si>
  <si>
    <t>Price/Value</t>
  </si>
  <si>
    <t>Terminal WACC</t>
  </si>
  <si>
    <t>Sensitivity analysis</t>
  </si>
  <si>
    <t>g</t>
  </si>
  <si>
    <t>Companies</t>
  </si>
  <si>
    <t>share price($) close of day 16th May 2025</t>
  </si>
  <si>
    <t># shares(m)</t>
  </si>
  <si>
    <t>debt($m)</t>
  </si>
  <si>
    <t>equity($m)</t>
  </si>
  <si>
    <t>EBIT($M)</t>
  </si>
  <si>
    <t>EBITDA($m)</t>
  </si>
  <si>
    <t>net income($m)</t>
  </si>
  <si>
    <t>Supermicro</t>
  </si>
  <si>
    <t>HP</t>
  </si>
  <si>
    <t>DELL</t>
  </si>
  <si>
    <t>Lenovo</t>
  </si>
  <si>
    <t>Cisco</t>
  </si>
  <si>
    <t>Company</t>
  </si>
  <si>
    <t>Forward PE ratio</t>
  </si>
  <si>
    <t>EV/EBITDA</t>
  </si>
  <si>
    <t>PBV</t>
  </si>
  <si>
    <t>PEG ratio</t>
  </si>
  <si>
    <t>Avergae</t>
  </si>
  <si>
    <t>Median</t>
  </si>
  <si>
    <t>SMCI share value</t>
  </si>
  <si>
    <t>according to:</t>
  </si>
  <si>
    <t>PE</t>
  </si>
  <si>
    <t>Average</t>
  </si>
  <si>
    <t>(1000 USD$)</t>
  </si>
  <si>
    <t>Net income</t>
  </si>
  <si>
    <t>Gross margin (%)</t>
  </si>
  <si>
    <t>Balance sheet</t>
  </si>
  <si>
    <t>Non Current assets</t>
  </si>
  <si>
    <t>Current assets</t>
  </si>
  <si>
    <t>Shareholders funds</t>
  </si>
  <si>
    <t>Non Current liabilities</t>
  </si>
  <si>
    <t>Current liabilities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</si>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</sst>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0.0000"/>
    <numFmt numFmtId="167" formatCode="0.00000"/>
  </numFmts>
  <fonts count="13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i/>
      <sz val="12.0"/>
      <color theme="1"/>
      <name val="Arial"/>
    </font>
    <font>
      <sz val="12.0"/>
      <color rgb="FF9C0006"/>
      <name val="Arial"/>
    </font>
    <font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theme="1"/>
      <name val="&quot;Aptos Narrow&quot;"/>
    </font>
    <font/>
    <font>
      <color rgb="FF333333"/>
      <name val="Arial"/>
    </font>
    <font>
      <b/>
      <color rgb="FF33333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DDD9C4"/>
        <bgColor rgb="FFDDD9C4"/>
      </patternFill>
    </fill>
    <fill>
      <patternFill patternType="solid">
        <fgColor rgb="FFE8E8E8"/>
        <bgColor rgb="FFE8E8E8"/>
      </patternFill>
    </fill>
    <fill>
      <patternFill patternType="solid">
        <fgColor rgb="FFDAE9F8"/>
        <bgColor rgb="FFDAE9F8"/>
      </patternFill>
    </fill>
  </fills>
  <borders count="9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1" numFmtId="10" xfId="0" applyAlignment="1" applyFont="1" applyNumberFormat="1">
      <alignment horizontal="right" readingOrder="0" shrinkToFit="0" vertical="bottom" wrapText="0"/>
    </xf>
    <xf borderId="1" fillId="2" fontId="1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10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shrinkToFit="0" vertical="bottom" wrapText="0"/>
    </xf>
    <xf borderId="0" fillId="3" fontId="1" numFmtId="10" xfId="0" applyAlignment="1" applyFill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0" xfId="0" applyFont="1" applyNumberFormat="1"/>
    <xf borderId="2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right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0" xfId="0" applyAlignment="1" applyBorder="1" applyFont="1" applyNumberFormat="1">
      <alignment horizontal="right" readingOrder="0" shrinkToFit="0" vertical="bottom" wrapText="0"/>
    </xf>
    <xf borderId="2" fillId="2" fontId="1" numFmtId="10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horizontal="right" shrinkToFit="0" vertical="bottom" wrapText="0"/>
    </xf>
    <xf borderId="2" fillId="2" fontId="2" numFmtId="0" xfId="0" applyAlignment="1" applyBorder="1" applyFont="1">
      <alignment horizontal="right" readingOrder="0" shrinkToFit="0" vertical="bottom" wrapText="0"/>
    </xf>
    <xf borderId="0" fillId="0" fontId="3" numFmtId="164" xfId="0" applyFont="1" applyNumberFormat="1"/>
    <xf borderId="0" fillId="0" fontId="1" numFmtId="0" xfId="0" applyAlignment="1" applyFont="1">
      <alignment horizontal="right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4" fontId="2" numFmtId="165" xfId="0" applyAlignment="1" applyFont="1" applyNumberFormat="1">
      <alignment horizontal="right"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4" fontId="1" numFmtId="165" xfId="0" applyAlignment="1" applyFont="1" applyNumberFormat="1">
      <alignment horizontal="right" readingOrder="0" shrinkToFit="0" vertical="bottom" wrapText="0"/>
    </xf>
    <xf borderId="0" fillId="4" fontId="1" numFmtId="10" xfId="0" applyAlignment="1" applyFont="1" applyNumberFormat="1">
      <alignment horizontal="right" readingOrder="0" shrinkToFit="0" vertical="bottom" wrapText="0"/>
    </xf>
    <xf borderId="0" fillId="4" fontId="1" numFmtId="0" xfId="0" applyAlignment="1" applyFont="1">
      <alignment horizontal="center" readingOrder="0" shrinkToFit="0" vertical="bottom" wrapText="0"/>
    </xf>
    <xf borderId="0" fillId="4" fontId="1" numFmtId="9" xfId="0" applyAlignment="1" applyFont="1" applyNumberFormat="1">
      <alignment horizontal="right" readingOrder="0" shrinkToFit="0" vertical="bottom" wrapText="0"/>
    </xf>
    <xf borderId="0" fillId="4" fontId="1" numFmtId="0" xfId="0" applyAlignment="1" applyFont="1">
      <alignment horizontal="center" readingOrder="0" shrinkToFit="0" wrapText="0"/>
    </xf>
    <xf borderId="0" fillId="0" fontId="3" numFmtId="165" xfId="0" applyFont="1" applyNumberFormat="1"/>
    <xf borderId="0" fillId="0" fontId="5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5" fillId="5" fontId="7" numFmtId="0" xfId="0" applyAlignment="1" applyBorder="1" applyFill="1" applyFont="1">
      <alignment readingOrder="0" shrinkToFit="0" vertical="bottom" wrapText="0"/>
    </xf>
    <xf borderId="6" fillId="5" fontId="7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6" fillId="0" fontId="8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horizontal="right" readingOrder="0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5" fillId="6" fontId="7" numFmtId="0" xfId="0" applyAlignment="1" applyBorder="1" applyFont="1">
      <alignment readingOrder="0" shrinkToFit="0" vertical="bottom" wrapText="0"/>
    </xf>
    <xf borderId="6" fillId="6" fontId="7" numFmtId="0" xfId="0" applyAlignment="1" applyBorder="1" applyFont="1">
      <alignment horizontal="right"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10" numFmtId="0" xfId="0" applyBorder="1" applyFont="1"/>
    <xf borderId="4" fillId="0" fontId="10" numFmtId="0" xfId="0" applyBorder="1" applyFont="1"/>
    <xf borderId="6" fillId="0" fontId="7" numFmtId="0" xfId="0" applyAlignment="1" applyBorder="1" applyFont="1">
      <alignment readingOrder="0" shrinkToFit="0" vertical="bottom" wrapText="0"/>
    </xf>
    <xf borderId="6" fillId="0" fontId="8" numFmtId="165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6" fillId="3" fontId="11" numFmtId="16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shrinkToFit="0" vertical="bottom" wrapText="0"/>
    </xf>
    <xf borderId="6" fillId="3" fontId="11" numFmtId="0" xfId="0" applyAlignment="1" applyBorder="1" applyFont="1">
      <alignment horizontal="right" readingOrder="0" shrinkToFit="0" vertical="top" wrapText="0"/>
    </xf>
    <xf borderId="6" fillId="3" fontId="11" numFmtId="3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shrinkToFit="0" vertical="bottom" wrapText="0"/>
    </xf>
    <xf borderId="8" fillId="3" fontId="11" numFmtId="3" xfId="0" applyAlignment="1" applyBorder="1" applyFont="1" applyNumberFormat="1">
      <alignment horizontal="right" readingOrder="0" shrinkToFit="0" vertical="top" wrapText="0"/>
    </xf>
    <xf borderId="4" fillId="3" fontId="12" numFmtId="3" xfId="0" applyAlignment="1" applyBorder="1" applyFont="1" applyNumberFormat="1">
      <alignment horizontal="right" readingOrder="0" shrinkToFit="0" vertical="top" wrapText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0</xdr:row>
      <xdr:rowOff>0</xdr:rowOff>
    </xdr:from>
    <xdr:ext cx="4781550" cy="2924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5.25"/>
  </cols>
  <sheetData>
    <row r="1">
      <c r="A1" s="1"/>
      <c r="B1" s="2">
        <v>2024.0</v>
      </c>
      <c r="C1" s="3"/>
    </row>
    <row r="2">
      <c r="A2" s="4" t="s">
        <v>0</v>
      </c>
      <c r="B2" s="5">
        <v>1.23349E9</v>
      </c>
      <c r="C2" s="3"/>
    </row>
    <row r="3">
      <c r="A3" s="4" t="s">
        <v>1</v>
      </c>
      <c r="B3" s="5">
        <v>1.670273E9</v>
      </c>
      <c r="C3" s="3"/>
    </row>
    <row r="4">
      <c r="A4" s="4" t="s">
        <v>2</v>
      </c>
      <c r="B4" s="5">
        <v>0.0</v>
      </c>
      <c r="C4" s="3"/>
    </row>
    <row r="5">
      <c r="A5" s="4" t="s">
        <v>3</v>
      </c>
      <c r="B5" s="5">
        <v>164000.0</v>
      </c>
      <c r="C5" s="3"/>
    </row>
    <row r="6">
      <c r="A6" s="3"/>
      <c r="B6" s="3"/>
      <c r="C6" s="3"/>
    </row>
    <row r="7">
      <c r="A7" s="4" t="s">
        <v>4</v>
      </c>
      <c r="B7" s="6">
        <v>81.93</v>
      </c>
      <c r="C7" s="3"/>
    </row>
    <row r="8">
      <c r="A8" s="4" t="s">
        <v>5</v>
      </c>
      <c r="B8" s="4">
        <v>5.8809E8</v>
      </c>
      <c r="C8" s="3"/>
    </row>
    <row r="9">
      <c r="A9" s="4" t="s">
        <v>6</v>
      </c>
      <c r="B9" s="7">
        <v>2.17415E9</v>
      </c>
      <c r="C9" s="3"/>
    </row>
    <row r="10">
      <c r="A10" s="3"/>
      <c r="C10" s="3"/>
    </row>
    <row r="11">
      <c r="A11" s="4" t="s">
        <v>7</v>
      </c>
      <c r="B11" s="8">
        <v>0.055</v>
      </c>
      <c r="C11" s="3"/>
    </row>
    <row r="12">
      <c r="A12" s="3"/>
      <c r="B12" s="3"/>
      <c r="C12" s="3"/>
    </row>
    <row r="13">
      <c r="A13" s="9"/>
      <c r="B13" s="2" t="s">
        <v>8</v>
      </c>
      <c r="C13" s="2" t="s">
        <v>9</v>
      </c>
    </row>
    <row r="14">
      <c r="A14" s="4" t="s">
        <v>10</v>
      </c>
      <c r="B14" s="8">
        <v>0.0521</v>
      </c>
      <c r="C14" s="10">
        <v>0.21</v>
      </c>
    </row>
    <row r="15">
      <c r="A15" s="4" t="s">
        <v>11</v>
      </c>
      <c r="B15" s="8">
        <v>0.0446</v>
      </c>
      <c r="C15" s="8">
        <v>0.0446</v>
      </c>
    </row>
    <row r="16">
      <c r="A16" s="4" t="s">
        <v>12</v>
      </c>
      <c r="B16" s="4">
        <v>1.36</v>
      </c>
      <c r="C16" s="11">
        <v>1.0</v>
      </c>
    </row>
    <row r="17">
      <c r="A17" s="4" t="s">
        <v>13</v>
      </c>
      <c r="B17" s="8">
        <v>0.0045</v>
      </c>
      <c r="C17" s="12">
        <v>0.0045</v>
      </c>
    </row>
    <row r="18">
      <c r="A18" s="4" t="s">
        <v>14</v>
      </c>
      <c r="B18" s="8">
        <v>0.1708</v>
      </c>
      <c r="C18" s="12">
        <v>0.1</v>
      </c>
    </row>
    <row r="19">
      <c r="A19" s="4" t="s">
        <v>15</v>
      </c>
      <c r="B19" s="8">
        <v>0.1414</v>
      </c>
      <c r="C19" s="8">
        <v>0.05</v>
      </c>
    </row>
    <row r="20">
      <c r="A20" s="4" t="s">
        <v>16</v>
      </c>
      <c r="B20" s="13">
        <f> B18 *B19</f>
        <v>0.02415112</v>
      </c>
      <c r="C20" s="14">
        <v>0.025</v>
      </c>
    </row>
    <row r="21">
      <c r="A21" s="4"/>
      <c r="B21" s="13"/>
      <c r="C2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9.13"/>
  </cols>
  <sheetData>
    <row r="1">
      <c r="A1" s="4" t="s">
        <v>17</v>
      </c>
      <c r="B1" s="5">
        <f>Assumptions!B7 * Assumptions!B8</f>
        <v>48182213700</v>
      </c>
      <c r="C1" s="3"/>
      <c r="D1" s="3"/>
    </row>
    <row r="2">
      <c r="A2" s="4" t="s">
        <v>6</v>
      </c>
      <c r="B2" s="5">
        <v>2.17415E9</v>
      </c>
      <c r="C2" s="3"/>
      <c r="D2" s="3"/>
    </row>
    <row r="3">
      <c r="A3" s="3"/>
      <c r="B3" s="3"/>
      <c r="C3" s="3"/>
      <c r="D3" s="3"/>
    </row>
    <row r="4">
      <c r="A4" s="4" t="s">
        <v>7</v>
      </c>
      <c r="B4" s="8">
        <f>Assumptions!B11</f>
        <v>0.055</v>
      </c>
      <c r="C4" s="3"/>
      <c r="D4" s="3"/>
    </row>
    <row r="5">
      <c r="A5" s="3"/>
      <c r="B5" s="3"/>
      <c r="C5" s="3"/>
      <c r="D5" s="3"/>
    </row>
    <row r="6">
      <c r="A6" s="3"/>
      <c r="B6" s="15" t="s">
        <v>18</v>
      </c>
      <c r="C6" s="15" t="s">
        <v>9</v>
      </c>
      <c r="D6" s="3"/>
    </row>
    <row r="7">
      <c r="A7" s="4" t="s">
        <v>11</v>
      </c>
      <c r="B7" s="8">
        <f>Assumptions!B15</f>
        <v>0.0446</v>
      </c>
      <c r="C7" s="8">
        <f>Assumptions!C15</f>
        <v>0.0446</v>
      </c>
      <c r="D7" s="3"/>
    </row>
    <row r="8">
      <c r="A8" s="4" t="s">
        <v>19</v>
      </c>
      <c r="B8" s="11">
        <v>1.0</v>
      </c>
      <c r="C8" s="3"/>
      <c r="D8" s="3"/>
    </row>
    <row r="9">
      <c r="A9" s="4" t="s">
        <v>12</v>
      </c>
      <c r="B9" s="16">
        <f>Assumptions!B16</f>
        <v>1.36</v>
      </c>
      <c r="C9" s="11">
        <f>Assumptions!C16</f>
        <v>1</v>
      </c>
      <c r="D9" s="3"/>
    </row>
    <row r="10">
      <c r="A10" s="17" t="s">
        <v>20</v>
      </c>
      <c r="B10" s="18">
        <f t="shared" ref="B10:C10" si="1">$B7+B9*$B4</f>
        <v>0.1194</v>
      </c>
      <c r="C10" s="18">
        <f t="shared" si="1"/>
        <v>0.0996</v>
      </c>
      <c r="D10" s="3"/>
    </row>
    <row r="11">
      <c r="A11" s="19"/>
      <c r="B11" s="19"/>
      <c r="C11" s="3"/>
      <c r="D11" s="3"/>
    </row>
    <row r="12">
      <c r="A12" s="4" t="s">
        <v>13</v>
      </c>
      <c r="B12" s="8">
        <f>Assumptions!B17</f>
        <v>0.0045</v>
      </c>
      <c r="C12" s="20">
        <f>Assumptions!C17</f>
        <v>0.0045</v>
      </c>
      <c r="D12" s="3"/>
    </row>
    <row r="13">
      <c r="A13" s="17" t="s">
        <v>21</v>
      </c>
      <c r="B13" s="18">
        <f t="shared" ref="B13:C13" si="2">B7+B12</f>
        <v>0.0491</v>
      </c>
      <c r="C13" s="8">
        <f t="shared" si="2"/>
        <v>0.0491</v>
      </c>
      <c r="D13" s="3"/>
    </row>
    <row r="14">
      <c r="A14" s="4" t="s">
        <v>10</v>
      </c>
      <c r="B14" s="8">
        <f>Assumptions!B14</f>
        <v>0.0521</v>
      </c>
      <c r="C14" s="10">
        <f>Assumptions!C14</f>
        <v>0.21</v>
      </c>
      <c r="D14" s="3"/>
    </row>
    <row r="15">
      <c r="A15" s="17" t="s">
        <v>22</v>
      </c>
      <c r="B15" s="18">
        <f t="shared" ref="B15:C15" si="3">B13*(1-B14)</f>
        <v>0.04654189</v>
      </c>
      <c r="C15" s="18">
        <f t="shared" si="3"/>
        <v>0.038789</v>
      </c>
      <c r="D15" s="3"/>
    </row>
    <row r="16">
      <c r="A16" s="3"/>
      <c r="B16" s="3"/>
      <c r="C16" s="3"/>
      <c r="D16" s="3"/>
    </row>
    <row r="17">
      <c r="A17" s="21"/>
      <c r="B17" s="15" t="s">
        <v>23</v>
      </c>
      <c r="C17" s="15" t="s">
        <v>24</v>
      </c>
      <c r="D17" s="22"/>
    </row>
    <row r="18">
      <c r="A18" s="4" t="s">
        <v>25</v>
      </c>
      <c r="B18" s="5">
        <f>Assumptions!B9</f>
        <v>2174150000</v>
      </c>
      <c r="C18" s="8">
        <f>B18/(B18+B19)</f>
        <v>0.04317527796</v>
      </c>
      <c r="D18" s="8">
        <f>B15</f>
        <v>0.04654189</v>
      </c>
    </row>
    <row r="19">
      <c r="A19" s="4" t="s">
        <v>26</v>
      </c>
      <c r="B19" s="5">
        <f>B1</f>
        <v>48182213700</v>
      </c>
      <c r="C19" s="8">
        <f>1-C18</f>
        <v>0.956824722</v>
      </c>
      <c r="D19" s="8">
        <f>B10</f>
        <v>0.1194</v>
      </c>
    </row>
    <row r="20">
      <c r="A20" s="23" t="s">
        <v>27</v>
      </c>
      <c r="B20" s="24"/>
      <c r="C20" s="25"/>
      <c r="D20" s="26">
        <f>SUMPRODUCT($C18:$C19,D18:D19)</f>
        <v>0.1162543308</v>
      </c>
    </row>
    <row r="21">
      <c r="A21" s="3"/>
      <c r="B21" s="3"/>
      <c r="C21" s="3"/>
      <c r="D21" s="3"/>
    </row>
    <row r="22">
      <c r="A22" s="21"/>
      <c r="B22" s="22"/>
      <c r="C22" s="15" t="s">
        <v>24</v>
      </c>
      <c r="D22" s="22"/>
    </row>
    <row r="23">
      <c r="A23" s="4" t="s">
        <v>25</v>
      </c>
      <c r="B23" s="3"/>
      <c r="C23" s="8">
        <f>C18</f>
        <v>0.04317527796</v>
      </c>
      <c r="D23" s="8">
        <f>C15</f>
        <v>0.038789</v>
      </c>
    </row>
    <row r="24">
      <c r="A24" s="4" t="s">
        <v>26</v>
      </c>
      <c r="B24" s="3"/>
      <c r="C24" s="27">
        <f>1-C18</f>
        <v>0.956824722</v>
      </c>
      <c r="D24" s="8">
        <f>C10</f>
        <v>0.0996</v>
      </c>
    </row>
    <row r="25">
      <c r="A25" s="23" t="s">
        <v>28</v>
      </c>
      <c r="B25" s="24"/>
      <c r="D25" s="26">
        <f>SUMPRODUCT($C18:$C19,D23:D24)</f>
        <v>0.09697446817</v>
      </c>
    </row>
  </sheetData>
  <conditionalFormatting sqref="B2">
    <cfRule type="notContainsBlanks" dxfId="0" priority="1">
      <formula>LEN(TRIM(B2))&gt;0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25"/>
    <col customWidth="1" min="3" max="3" width="20.13"/>
    <col customWidth="1" min="4" max="4" width="18.63"/>
    <col customWidth="1" min="5" max="5" width="17.38"/>
    <col customWidth="1" min="6" max="6" width="17.88"/>
    <col customWidth="1" min="7" max="7" width="17.75"/>
    <col customWidth="1" min="8" max="8" width="20.38"/>
  </cols>
  <sheetData>
    <row r="1">
      <c r="A1" s="28"/>
      <c r="B1" s="29">
        <v>2024.0</v>
      </c>
      <c r="C1" s="29">
        <v>2025.0</v>
      </c>
      <c r="D1" s="29">
        <v>2026.0</v>
      </c>
      <c r="E1" s="29">
        <v>2027.0</v>
      </c>
      <c r="F1" s="29">
        <v>2028.0</v>
      </c>
      <c r="G1" s="29">
        <v>2029.0</v>
      </c>
      <c r="H1" s="29" t="s">
        <v>9</v>
      </c>
      <c r="I1" s="29"/>
      <c r="J1" s="29"/>
      <c r="K1" s="29"/>
      <c r="L1" s="29"/>
      <c r="M1" s="29"/>
    </row>
    <row r="2">
      <c r="A2" s="4" t="s">
        <v>0</v>
      </c>
      <c r="B2" s="5">
        <f>Assumptions!B2</f>
        <v>1233490000</v>
      </c>
      <c r="C2" s="5">
        <f t="shared" ref="C2:G2" si="1">B2*(1+C12)</f>
        <v>1263280165</v>
      </c>
      <c r="D2" s="5">
        <f t="shared" si="1"/>
        <v>1293789796</v>
      </c>
      <c r="E2" s="5">
        <f t="shared" si="1"/>
        <v>1325036268</v>
      </c>
      <c r="F2" s="5">
        <f t="shared" si="1"/>
        <v>1357037378</v>
      </c>
      <c r="G2" s="5">
        <f t="shared" si="1"/>
        <v>1389811351</v>
      </c>
      <c r="H2" s="5">
        <f>H3/(1-H11)</f>
        <v>1544836175</v>
      </c>
      <c r="I2" s="5"/>
      <c r="J2" s="5"/>
      <c r="K2" s="11"/>
      <c r="L2" s="11"/>
      <c r="M2" s="5"/>
    </row>
    <row r="3">
      <c r="A3" s="4" t="s">
        <v>29</v>
      </c>
      <c r="B3" s="30">
        <f>B2*(1-C11)</f>
        <v>1169225171</v>
      </c>
      <c r="C3" s="5">
        <f t="shared" ref="C3:G3" si="2">C2*(1-C11)</f>
        <v>1197463268</v>
      </c>
      <c r="D3" s="5">
        <f t="shared" si="2"/>
        <v>1226383348</v>
      </c>
      <c r="E3" s="5">
        <f t="shared" si="2"/>
        <v>1256001879</v>
      </c>
      <c r="F3" s="5">
        <f t="shared" si="2"/>
        <v>1286335731</v>
      </c>
      <c r="G3" s="5">
        <f t="shared" si="2"/>
        <v>1317402180</v>
      </c>
      <c r="H3" s="5">
        <f>H5/(1-H13)</f>
        <v>1220420578</v>
      </c>
      <c r="I3" s="5"/>
      <c r="J3" s="5"/>
      <c r="K3" s="5"/>
      <c r="L3" s="5"/>
      <c r="M3" s="5"/>
    </row>
    <row r="4">
      <c r="A4" s="4" t="s">
        <v>30</v>
      </c>
      <c r="B4" s="31"/>
      <c r="C4" s="5">
        <f t="shared" ref="C4:G4" si="3">C3*C13</f>
        <v>169321306.2</v>
      </c>
      <c r="D4" s="5">
        <f t="shared" si="3"/>
        <v>173410605.3</v>
      </c>
      <c r="E4" s="5">
        <f t="shared" si="3"/>
        <v>177598665.7</v>
      </c>
      <c r="F4" s="5">
        <f t="shared" si="3"/>
        <v>181887872.4</v>
      </c>
      <c r="G4" s="5">
        <f t="shared" si="3"/>
        <v>186280668.2</v>
      </c>
      <c r="H4" s="5">
        <f>H3 * H13</f>
        <v>61021028.9</v>
      </c>
      <c r="I4" s="5"/>
      <c r="J4" s="5"/>
      <c r="K4" s="5"/>
      <c r="L4" s="5"/>
      <c r="M4" s="5"/>
    </row>
    <row r="5">
      <c r="A5" s="32" t="s">
        <v>31</v>
      </c>
      <c r="B5" s="22"/>
      <c r="C5" s="33">
        <f t="shared" ref="C5:G5" si="4">C3-C4</f>
        <v>1028141962</v>
      </c>
      <c r="D5" s="33">
        <f t="shared" si="4"/>
        <v>1052972742</v>
      </c>
      <c r="E5" s="33">
        <f t="shared" si="4"/>
        <v>1078403213</v>
      </c>
      <c r="F5" s="33">
        <f t="shared" si="4"/>
        <v>1104447859</v>
      </c>
      <c r="G5" s="33">
        <f t="shared" si="4"/>
        <v>1131121511</v>
      </c>
      <c r="H5" s="33">
        <f>G5*(1+H12)</f>
        <v>1159399549</v>
      </c>
      <c r="I5" s="33"/>
      <c r="J5" s="33"/>
      <c r="K5" s="33"/>
      <c r="L5" s="33"/>
      <c r="M5" s="33"/>
    </row>
    <row r="6">
      <c r="A6" s="3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>
      <c r="A7" s="4" t="s">
        <v>32</v>
      </c>
      <c r="B7" s="3"/>
      <c r="C7" s="8">
        <f>WACC!D20</f>
        <v>0.1162543308</v>
      </c>
      <c r="D7" s="8">
        <f t="shared" ref="D7:G7" si="5">C7</f>
        <v>0.1162543308</v>
      </c>
      <c r="E7" s="8">
        <f t="shared" si="5"/>
        <v>0.1162543308</v>
      </c>
      <c r="F7" s="8">
        <f t="shared" si="5"/>
        <v>0.1162543308</v>
      </c>
      <c r="G7" s="8">
        <f t="shared" si="5"/>
        <v>0.1162543308</v>
      </c>
      <c r="H7" s="8">
        <f>WACC!D25</f>
        <v>0.09697446817</v>
      </c>
      <c r="I7" s="8"/>
      <c r="J7" s="8"/>
      <c r="K7" s="8"/>
      <c r="L7" s="8"/>
      <c r="M7" s="8"/>
    </row>
    <row r="8">
      <c r="A8" s="4" t="s">
        <v>33</v>
      </c>
      <c r="B8" s="3"/>
      <c r="C8" s="34">
        <f>1/(1+C7)</f>
        <v>0.8958531872</v>
      </c>
      <c r="D8" s="34">
        <f t="shared" ref="D8:G8" si="6">C8*1/(1+D7)</f>
        <v>0.802552933</v>
      </c>
      <c r="E8" s="34">
        <f t="shared" si="6"/>
        <v>0.7189696029</v>
      </c>
      <c r="F8" s="34">
        <f t="shared" si="6"/>
        <v>0.6440912103</v>
      </c>
      <c r="G8" s="35">
        <f t="shared" si="6"/>
        <v>0.5770111635</v>
      </c>
      <c r="H8" s="11"/>
      <c r="I8" s="11"/>
      <c r="J8" s="11"/>
      <c r="K8" s="11"/>
      <c r="L8" s="11"/>
      <c r="M8" s="3"/>
    </row>
    <row r="9">
      <c r="A9" s="32" t="s">
        <v>34</v>
      </c>
      <c r="B9" s="22"/>
      <c r="C9" s="33">
        <f t="shared" ref="C9:G9" si="7">C5 * C8</f>
        <v>921064253.8</v>
      </c>
      <c r="D9" s="33">
        <f t="shared" si="7"/>
        <v>845066362.6</v>
      </c>
      <c r="E9" s="33">
        <f t="shared" si="7"/>
        <v>775339130</v>
      </c>
      <c r="F9" s="33">
        <f t="shared" si="7"/>
        <v>711365157.9</v>
      </c>
      <c r="G9" s="33">
        <f t="shared" si="7"/>
        <v>652669739.4</v>
      </c>
      <c r="H9" s="33"/>
      <c r="I9" s="33"/>
      <c r="J9" s="33"/>
      <c r="K9" s="33"/>
      <c r="L9" s="33"/>
      <c r="M9" s="3"/>
    </row>
    <row r="10">
      <c r="A10" s="3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>
      <c r="A11" s="4" t="s">
        <v>10</v>
      </c>
      <c r="B11" s="3"/>
      <c r="C11" s="8">
        <f>Assumptions!B14</f>
        <v>0.0521</v>
      </c>
      <c r="D11" s="8">
        <f t="shared" ref="D11:G11" si="8">C11</f>
        <v>0.0521</v>
      </c>
      <c r="E11" s="8">
        <f t="shared" si="8"/>
        <v>0.0521</v>
      </c>
      <c r="F11" s="8">
        <f t="shared" si="8"/>
        <v>0.0521</v>
      </c>
      <c r="G11" s="8">
        <f t="shared" si="8"/>
        <v>0.0521</v>
      </c>
      <c r="H11" s="10">
        <f>Assumptions!C14</f>
        <v>0.21</v>
      </c>
      <c r="I11" s="10"/>
      <c r="J11" s="10"/>
      <c r="K11" s="10"/>
      <c r="L11" s="10"/>
      <c r="M11" s="10"/>
    </row>
    <row r="12">
      <c r="A12" s="4" t="s">
        <v>16</v>
      </c>
      <c r="B12" s="31"/>
      <c r="C12" s="8">
        <f>Assumptions!$B$20</f>
        <v>0.02415112</v>
      </c>
      <c r="D12" s="8">
        <f t="shared" ref="D12:G12" si="9">C12</f>
        <v>0.02415112</v>
      </c>
      <c r="E12" s="8">
        <f t="shared" si="9"/>
        <v>0.02415112</v>
      </c>
      <c r="F12" s="8">
        <f t="shared" si="9"/>
        <v>0.02415112</v>
      </c>
      <c r="G12" s="8">
        <f t="shared" si="9"/>
        <v>0.02415112</v>
      </c>
      <c r="H12" s="8">
        <v>0.025</v>
      </c>
      <c r="I12" s="8"/>
      <c r="J12" s="8"/>
      <c r="K12" s="8"/>
      <c r="L12" s="8"/>
      <c r="M12" s="8"/>
    </row>
    <row r="13">
      <c r="A13" s="4" t="s">
        <v>15</v>
      </c>
      <c r="B13" s="31"/>
      <c r="C13" s="8">
        <f>Assumptions!B19</f>
        <v>0.1414</v>
      </c>
      <c r="D13" s="8">
        <f t="shared" ref="D13:G13" si="10">C13</f>
        <v>0.1414</v>
      </c>
      <c r="E13" s="8">
        <f t="shared" si="10"/>
        <v>0.1414</v>
      </c>
      <c r="F13" s="8">
        <f t="shared" si="10"/>
        <v>0.1414</v>
      </c>
      <c r="G13" s="8">
        <f t="shared" si="10"/>
        <v>0.1414</v>
      </c>
      <c r="H13" s="8">
        <f>Assumptions!C19</f>
        <v>0.05</v>
      </c>
      <c r="I13" s="8"/>
      <c r="J13" s="8"/>
      <c r="K13" s="8"/>
      <c r="L13" s="8"/>
      <c r="M13" s="8"/>
    </row>
    <row r="14">
      <c r="A14" s="4" t="s">
        <v>35</v>
      </c>
      <c r="B14" s="31"/>
      <c r="C14" s="8">
        <f>Assumptions!$B$18</f>
        <v>0.1708</v>
      </c>
      <c r="D14" s="8">
        <f t="shared" ref="D14:G14" si="11">C14</f>
        <v>0.1708</v>
      </c>
      <c r="E14" s="8">
        <f t="shared" si="11"/>
        <v>0.1708</v>
      </c>
      <c r="F14" s="8">
        <f t="shared" si="11"/>
        <v>0.1708</v>
      </c>
      <c r="G14" s="8">
        <f t="shared" si="11"/>
        <v>0.1708</v>
      </c>
      <c r="H14" s="8">
        <f>Assumptions!C18</f>
        <v>0.1</v>
      </c>
      <c r="I14" s="8"/>
      <c r="J14" s="8"/>
      <c r="K14" s="8"/>
      <c r="L14" s="8"/>
      <c r="M14" s="8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1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4" t="s">
        <v>36</v>
      </c>
      <c r="B18" s="5">
        <f>H5</f>
        <v>1159399549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4" t="s">
        <v>37</v>
      </c>
      <c r="B19" s="8">
        <f>H7</f>
        <v>0.09697446817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4" t="s">
        <v>38</v>
      </c>
      <c r="B20" s="5">
        <f>B18/(B19-H12)</f>
        <v>16108483725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4" t="s">
        <v>39</v>
      </c>
      <c r="B22" s="5">
        <f>B20 /((1 + H7)^5)</f>
        <v>10140796432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4" t="s">
        <v>40</v>
      </c>
      <c r="B23" s="36">
        <f>SUM(C9:G9)</f>
        <v>3905504644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>
      <c r="A24" s="4" t="s">
        <v>41</v>
      </c>
      <c r="B24" s="5">
        <f>B22+B23</f>
        <v>14046301076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>
      <c r="A25" s="4" t="s">
        <v>2</v>
      </c>
      <c r="B25" s="5">
        <v>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7.25" customHeight="1">
      <c r="A26" s="4" t="s">
        <v>1</v>
      </c>
      <c r="B26" s="36">
        <f>Assumptions!B3</f>
        <v>1670273000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>
      <c r="A27" s="4" t="s">
        <v>42</v>
      </c>
      <c r="B27" s="5">
        <f>B24+B25+B26</f>
        <v>15716574076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>
      <c r="A28" s="4" t="s">
        <v>43</v>
      </c>
      <c r="B28" s="5">
        <f>Assumptions!B5</f>
        <v>164000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4" t="s">
        <v>44</v>
      </c>
      <c r="B29" s="5">
        <f>Assumptions!B9</f>
        <v>2174150000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4" t="s">
        <v>26</v>
      </c>
      <c r="B30" s="30">
        <f>B27-B28-B29</f>
        <v>13542260076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>
      <c r="A31" s="4" t="s">
        <v>45</v>
      </c>
      <c r="B31" s="37">
        <f>Assumptions!B8</f>
        <v>588090000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38" t="s">
        <v>46</v>
      </c>
      <c r="B32" s="39">
        <f>B30/B31</f>
        <v>23.02752993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>
      <c r="A33" s="40" t="s">
        <v>47</v>
      </c>
      <c r="B33" s="41">
        <f>Assumptions!B7</f>
        <v>81.93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>
      <c r="A34" s="40" t="s">
        <v>48</v>
      </c>
      <c r="B34" s="42">
        <f>B33/B32</f>
        <v>3.557915254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3"/>
      <c r="B36" s="3"/>
      <c r="C36" s="3"/>
      <c r="D36" s="43" t="s">
        <v>49</v>
      </c>
      <c r="I36" s="3"/>
      <c r="J36" s="3"/>
      <c r="K36" s="3"/>
      <c r="L36" s="3"/>
      <c r="M36" s="3"/>
    </row>
    <row r="37">
      <c r="A37" s="17" t="s">
        <v>50</v>
      </c>
      <c r="B37" s="3"/>
      <c r="C37" s="6">
        <f>B32</f>
        <v>23.02752993</v>
      </c>
      <c r="D37" s="44">
        <v>0.06</v>
      </c>
      <c r="E37" s="44">
        <v>0.07</v>
      </c>
      <c r="F37" s="42">
        <f>B19</f>
        <v>0.09697446817</v>
      </c>
      <c r="G37" s="44">
        <v>0.09</v>
      </c>
      <c r="H37" s="44">
        <v>0.1</v>
      </c>
      <c r="I37" s="3"/>
      <c r="J37" s="3"/>
      <c r="K37" s="3"/>
      <c r="L37" s="3"/>
      <c r="M37" s="3"/>
    </row>
    <row r="38">
      <c r="A38" s="3"/>
      <c r="B38" s="45" t="s">
        <v>51</v>
      </c>
      <c r="C38" s="42">
        <v>0.015</v>
      </c>
      <c r="D38" s="46">
        <f> ((($G5 * (1 + C38) / (D37 - C38)) / (1 + D$37)^5) + B23 + B26 - B29 - B28) / B31</f>
        <v>38.20217445</v>
      </c>
      <c r="E38" s="47">
        <f> ((($G5 * (1 + C38) / (E37 - C38)) / (1 + E$37)^5) + B23 + B26 - B29 - B28) / B31</f>
        <v>31.09145679</v>
      </c>
      <c r="F38" s="47">
        <f> ((($G5 * (1 + C38) / (F37 - C38)) / (1 + F$37)^5) + B23 + B26 - B29 - B28) / B31</f>
        <v>20.77628723</v>
      </c>
      <c r="G38" s="47">
        <f> ((($G5 * (1 + C38) / (G37 - C38)) / (1 + G$37)^5) + B23 + B26 - B29 - B28) / B31</f>
        <v>22.70147802</v>
      </c>
      <c r="H38" s="6">
        <f> ((($G5 * (1 + C38) / (H37 - C38)) / (1 + H$37)^5) + B23 + B26 - B29 - B28) / B31</f>
        <v>20.04488983</v>
      </c>
      <c r="I38" s="3"/>
      <c r="J38" s="3"/>
      <c r="K38" s="3"/>
      <c r="L38" s="3"/>
      <c r="M38" s="3"/>
    </row>
    <row r="39">
      <c r="A39" s="3"/>
      <c r="C39" s="42">
        <v>0.02</v>
      </c>
      <c r="D39" s="47">
        <f> ((($G5 * (1 + C39) / (D37 - C39)) / (1 + D$37)^5) + B23 + B26 - B29 - B28) / B31</f>
        <v>42.43411449</v>
      </c>
      <c r="E39" s="47">
        <f> ((($G5 * (1 + C39) / (E37 - C39)) / (1 + E$37)^5) + B23 + B26 - B29 - B28) / B31</f>
        <v>33.75934524</v>
      </c>
      <c r="F39" s="47">
        <f> ((($G5 * (1 + C39) / (F37 - C39)) / (1 + F$37)^5) + B23 + B26 - B29 - B28) / B31</f>
        <v>21.82879204</v>
      </c>
      <c r="G39" s="6">
        <f> ((($G5 * (1 + C39) / (G37 - C39)) / (1 + G$37)^5) + B23 + B26 - B29 - B28) / B31</f>
        <v>23.99916569</v>
      </c>
      <c r="H39" s="6">
        <f> ((($G5 * (1 + C39) / (H37 - C39)) / (1 + H$37)^5) + B23 + B26 - B29 - B28) / B31</f>
        <v>21.01084243</v>
      </c>
      <c r="I39" s="3"/>
      <c r="J39" s="3"/>
      <c r="K39" s="3"/>
      <c r="L39" s="3"/>
      <c r="M39" s="3"/>
    </row>
    <row r="40">
      <c r="A40" s="3"/>
      <c r="C40" s="42">
        <v>0.025</v>
      </c>
      <c r="D40" s="47">
        <f> ((($G5 * (1 + C40) / (D37 - C40)) / (1 + D$37)^5) + B23 + B26 - B29 - B28) / B31</f>
        <v>47.87518025</v>
      </c>
      <c r="E40" s="47">
        <f> ((($G5 * (1 + C40) / (E37 - C40)) / (1 + E$37)^5) + B23 + B26 - B29 - B28) / B31</f>
        <v>37.02009779</v>
      </c>
      <c r="F40" s="47">
        <f> ((($G5 * (1 + C40) / (F37 - C40)) / (1 + F$37)^5) + B23 + B26 - B29 - B28) / B31</f>
        <v>23.02752993</v>
      </c>
      <c r="G40" s="6">
        <f> ((($G5 * (1 + C40) / (G37 - C40)) / (1 + G$37)^5) + B23 + B26 - B29 - B28) / B31</f>
        <v>25.49649761</v>
      </c>
      <c r="H40" s="6">
        <f> ((($G5 * (1 + C40) / (H37 - C40)) / (1 + H$37)^5) + B23 + B26 - B29 - B28) / B31</f>
        <v>22.10558872</v>
      </c>
      <c r="I40" s="3"/>
      <c r="J40" s="3"/>
      <c r="K40" s="3"/>
      <c r="L40" s="3"/>
      <c r="M40" s="3"/>
    </row>
    <row r="41">
      <c r="A41" s="3"/>
      <c r="C41" s="42">
        <v>0.03</v>
      </c>
      <c r="D41" s="47">
        <f> ((($G5 * (1 + C41) / (D37 - C41)) / (1 + D$37)^5) + B23 + B26 - B29 - B28) / B31</f>
        <v>55.12993459</v>
      </c>
      <c r="E41" s="47">
        <f> ((($G5 * (1 + C41) / (E37 - C41)) / (1 + E$37)^5) + B23 + B26 - B29 - B28) / B31</f>
        <v>41.09603848</v>
      </c>
      <c r="F41" s="47">
        <f> ((($G5 * (1 + C41) / (F37 - C41)) / (1 + F$37)^5) + B23 + B26 - B29 - B28) / B31</f>
        <v>24.40525212</v>
      </c>
      <c r="G41" s="47">
        <f> ((($G5 * (1 + C41) / (G37 - C41)) / (1 + G$37)^5) + B23 + B26 - B29 - B28) / B31</f>
        <v>27.24338485</v>
      </c>
      <c r="H41" s="6">
        <f> ((($G5 * (1 + C41) / (H37 - C41)) / (1 + H$37)^5) + B23 + B26 - B29 - B28) / B31</f>
        <v>23.35672733</v>
      </c>
      <c r="I41" s="3"/>
      <c r="J41" s="3"/>
      <c r="K41" s="3"/>
      <c r="L41" s="3"/>
      <c r="M41" s="48"/>
    </row>
    <row r="42">
      <c r="A42" s="3"/>
      <c r="C42" s="42">
        <v>0.035</v>
      </c>
      <c r="D42" s="47">
        <f> ((($G5 * (1 + C42) / (D37 - C42)) / (1 + D$37)^5) + B23 + B26 - B29 - B28) / B31</f>
        <v>65.28659068</v>
      </c>
      <c r="E42" s="47">
        <f> ((($G5 * (1 + C42) / (E37 - C42)) / (1 + E$37)^5) + B23 + B26 - B29 - B28) / B31</f>
        <v>46.33653365</v>
      </c>
      <c r="F42" s="47">
        <f> ((($G5 * (1 + C42) / (F37 - C42)) / (1 + F$37)^5) + B23 + B26 - B29 - B28) / B31</f>
        <v>26.00527912</v>
      </c>
      <c r="G42" s="47">
        <f> ((($G5 * (1 + C42) / (G37 - C42)) / (1 + G$37)^5) + B23 + B26 - B29 - B28) / B31</f>
        <v>29.30788795</v>
      </c>
      <c r="H42" s="6">
        <f> ((($G5 * (1 + C42) / (H37 - C42)) / (1 + H$37)^5) + B23 + B26 - B29 - B28) / B31</f>
        <v>24.80034881</v>
      </c>
      <c r="I42" s="3"/>
      <c r="J42" s="3"/>
      <c r="K42" s="3"/>
      <c r="L42" s="3"/>
      <c r="M42" s="3"/>
    </row>
  </sheetData>
  <mergeCells count="2">
    <mergeCell ref="D36:H36"/>
    <mergeCell ref="B38:B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52</v>
      </c>
      <c r="B1" s="50" t="s">
        <v>53</v>
      </c>
      <c r="C1" s="50" t="s">
        <v>54</v>
      </c>
      <c r="D1" s="50" t="s">
        <v>55</v>
      </c>
      <c r="E1" s="50" t="s">
        <v>56</v>
      </c>
      <c r="F1" s="50" t="s">
        <v>57</v>
      </c>
      <c r="G1" s="51" t="s">
        <v>58</v>
      </c>
      <c r="H1" s="49" t="s">
        <v>59</v>
      </c>
    </row>
    <row r="2">
      <c r="A2" s="52" t="s">
        <v>60</v>
      </c>
      <c r="B2" s="53">
        <v>46.15</v>
      </c>
      <c r="C2" s="53">
        <v>596.82</v>
      </c>
      <c r="D2" s="53">
        <v>2650.0</v>
      </c>
      <c r="E2" s="53">
        <v>5417.0</v>
      </c>
      <c r="F2" s="53">
        <v>1328.0</v>
      </c>
      <c r="G2" s="53">
        <v>1380.0</v>
      </c>
      <c r="H2" s="53">
        <v>1150.0</v>
      </c>
    </row>
    <row r="3">
      <c r="A3" s="54" t="s">
        <v>61</v>
      </c>
      <c r="B3" s="55">
        <v>17.75</v>
      </c>
      <c r="C3" s="55">
        <v>1310.0</v>
      </c>
      <c r="D3" s="55">
        <v>17920.0</v>
      </c>
      <c r="E3" s="55">
        <v>24880.0</v>
      </c>
      <c r="F3" s="55">
        <v>2420.0</v>
      </c>
      <c r="G3" s="55">
        <v>4926.0</v>
      </c>
      <c r="H3" s="55">
        <v>2760.0</v>
      </c>
    </row>
    <row r="4">
      <c r="A4" s="54" t="s">
        <v>62</v>
      </c>
      <c r="B4" s="55">
        <v>114.19</v>
      </c>
      <c r="C4" s="55">
        <v>344.35</v>
      </c>
      <c r="D4" s="55">
        <v>25370.0</v>
      </c>
      <c r="E4" s="55">
        <v>-1387.0</v>
      </c>
      <c r="F4" s="55">
        <v>6462.0</v>
      </c>
      <c r="G4" s="55">
        <v>9585.0</v>
      </c>
      <c r="H4" s="55">
        <v>4590.0</v>
      </c>
    </row>
    <row r="5">
      <c r="A5" s="54" t="s">
        <v>63</v>
      </c>
      <c r="B5" s="55">
        <v>25.27</v>
      </c>
      <c r="C5" s="55">
        <v>620.23</v>
      </c>
      <c r="D5" s="55">
        <v>3980.0</v>
      </c>
      <c r="E5" s="55">
        <v>6081.0</v>
      </c>
      <c r="F5" s="55">
        <v>2338.0</v>
      </c>
      <c r="G5" s="55">
        <v>3766.0</v>
      </c>
      <c r="H5" s="55">
        <v>1540.0</v>
      </c>
    </row>
    <row r="6">
      <c r="A6" s="54" t="s">
        <v>64</v>
      </c>
      <c r="B6" s="55">
        <v>63.62</v>
      </c>
      <c r="C6" s="55">
        <v>3980.0</v>
      </c>
      <c r="D6" s="55">
        <v>29280.0</v>
      </c>
      <c r="E6" s="55">
        <v>45457.0</v>
      </c>
      <c r="F6" s="55">
        <v>11380.0</v>
      </c>
      <c r="G6" s="55">
        <v>14616.0</v>
      </c>
      <c r="H6" s="55">
        <v>9790.0</v>
      </c>
    </row>
    <row r="8">
      <c r="A8" s="49" t="s">
        <v>65</v>
      </c>
      <c r="B8" s="50" t="s">
        <v>66</v>
      </c>
      <c r="C8" s="50" t="s">
        <v>67</v>
      </c>
      <c r="D8" s="50" t="s">
        <v>68</v>
      </c>
      <c r="E8" s="50" t="s">
        <v>69</v>
      </c>
    </row>
    <row r="9">
      <c r="A9" s="56" t="s">
        <v>60</v>
      </c>
      <c r="B9" s="57">
        <v>13.57</v>
      </c>
      <c r="C9" s="57">
        <v>19.93</v>
      </c>
      <c r="D9" s="57">
        <v>4.32</v>
      </c>
      <c r="E9" s="57">
        <v>0.76</v>
      </c>
    </row>
    <row r="10">
      <c r="A10" s="54" t="s">
        <v>61</v>
      </c>
      <c r="B10" s="55">
        <v>9.44</v>
      </c>
      <c r="C10" s="55">
        <v>5.64</v>
      </c>
      <c r="D10" s="55">
        <v>1.12</v>
      </c>
      <c r="E10" s="55">
        <v>4.55</v>
      </c>
    </row>
    <row r="11">
      <c r="A11" s="54" t="s">
        <v>62</v>
      </c>
      <c r="B11" s="55">
        <v>12.25</v>
      </c>
      <c r="C11" s="55">
        <v>10.5</v>
      </c>
      <c r="D11" s="58">
        <v>-53.4</v>
      </c>
      <c r="E11" s="55">
        <v>0.88</v>
      </c>
    </row>
    <row r="12">
      <c r="A12" s="54" t="s">
        <v>63</v>
      </c>
      <c r="B12" s="55">
        <v>9.15</v>
      </c>
      <c r="C12" s="55">
        <v>4.17</v>
      </c>
      <c r="D12" s="55">
        <v>2.85</v>
      </c>
      <c r="E12" s="55">
        <v>0.56</v>
      </c>
    </row>
    <row r="13">
      <c r="A13" s="59" t="s">
        <v>64</v>
      </c>
      <c r="B13" s="60">
        <v>16.0</v>
      </c>
      <c r="C13" s="60">
        <v>17.7</v>
      </c>
      <c r="D13" s="60">
        <v>5.54</v>
      </c>
      <c r="E13" s="60">
        <v>2.13</v>
      </c>
    </row>
    <row r="14">
      <c r="A14" s="61" t="s">
        <v>70</v>
      </c>
      <c r="B14" s="62">
        <v>11.71</v>
      </c>
      <c r="C14" s="62">
        <v>9.5</v>
      </c>
      <c r="D14" s="62">
        <v>-10.97</v>
      </c>
      <c r="E14" s="62">
        <v>2.03</v>
      </c>
    </row>
    <row r="15">
      <c r="A15" s="63" t="s">
        <v>71</v>
      </c>
      <c r="B15" s="64">
        <v>10.85</v>
      </c>
      <c r="C15" s="64">
        <v>8.07</v>
      </c>
      <c r="D15" s="64">
        <v>1.99</v>
      </c>
      <c r="E15" s="64">
        <v>1.51</v>
      </c>
    </row>
    <row r="17">
      <c r="A17" s="49" t="s">
        <v>72</v>
      </c>
      <c r="B17" s="65"/>
      <c r="C17" s="66"/>
      <c r="D17" s="67"/>
    </row>
    <row r="18">
      <c r="A18" s="56" t="s">
        <v>73</v>
      </c>
      <c r="B18" s="68" t="s">
        <v>74</v>
      </c>
      <c r="C18" s="68" t="s">
        <v>67</v>
      </c>
      <c r="D18" s="68" t="s">
        <v>68</v>
      </c>
    </row>
    <row r="19">
      <c r="A19" s="54" t="s">
        <v>75</v>
      </c>
      <c r="B19" s="69">
        <v>22.56</v>
      </c>
      <c r="C19" s="69">
        <v>17.53</v>
      </c>
      <c r="D19" s="69">
        <v>-99.59</v>
      </c>
    </row>
    <row r="20">
      <c r="A20" s="54" t="s">
        <v>71</v>
      </c>
      <c r="B20" s="69">
        <v>20.9</v>
      </c>
      <c r="C20" s="69">
        <v>14.22</v>
      </c>
      <c r="D20" s="69">
        <v>18.02</v>
      </c>
    </row>
  </sheetData>
  <mergeCells count="1">
    <mergeCell ref="B17:D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76</v>
      </c>
      <c r="B1" s="70">
        <v>2024.0</v>
      </c>
      <c r="C1" s="70">
        <v>2023.0</v>
      </c>
      <c r="D1" s="70">
        <v>2022.0</v>
      </c>
      <c r="E1" s="70">
        <v>2021.0</v>
      </c>
      <c r="F1" s="70">
        <v>2020.0</v>
      </c>
    </row>
    <row r="2">
      <c r="A2" s="56" t="s">
        <v>77</v>
      </c>
      <c r="B2" s="71">
        <v>1152666.0</v>
      </c>
      <c r="C2" s="71">
        <v>639998.0</v>
      </c>
      <c r="D2" s="71">
        <v>285163.0</v>
      </c>
      <c r="E2" s="71">
        <v>111865.0</v>
      </c>
      <c r="F2" s="71">
        <v>84308.0</v>
      </c>
    </row>
    <row r="4">
      <c r="A4" s="72"/>
      <c r="B4" s="70">
        <v>2024.0</v>
      </c>
      <c r="C4" s="70">
        <v>2023.0</v>
      </c>
      <c r="D4" s="70">
        <v>2022.0</v>
      </c>
      <c r="E4" s="70">
        <v>2021.0</v>
      </c>
      <c r="F4" s="70">
        <v>2020.0</v>
      </c>
    </row>
    <row r="5">
      <c r="A5" s="56" t="s">
        <v>78</v>
      </c>
      <c r="B5" s="73">
        <v>14.03</v>
      </c>
      <c r="C5" s="73">
        <v>18.5</v>
      </c>
      <c r="D5" s="73">
        <v>16.02</v>
      </c>
      <c r="E5" s="73">
        <v>15.82</v>
      </c>
      <c r="F5" s="73">
        <v>16.61</v>
      </c>
    </row>
    <row r="7">
      <c r="A7" s="49" t="s">
        <v>79</v>
      </c>
      <c r="B7" s="70">
        <v>2024.0</v>
      </c>
      <c r="C7" s="70">
        <v>2023.0</v>
      </c>
      <c r="D7" s="70">
        <v>2022.0</v>
      </c>
      <c r="E7" s="70">
        <v>2021.0</v>
      </c>
      <c r="F7" s="70">
        <v>2020.0</v>
      </c>
    </row>
    <row r="8">
      <c r="A8" s="56" t="s">
        <v>80</v>
      </c>
      <c r="B8" s="74">
        <v>894132.0</v>
      </c>
      <c r="C8" s="74">
        <v>495303.0</v>
      </c>
      <c r="D8" s="74">
        <v>398762.0</v>
      </c>
      <c r="E8" s="74">
        <v>374705.0</v>
      </c>
      <c r="F8" s="74">
        <v>325885.0</v>
      </c>
    </row>
    <row r="9">
      <c r="A9" s="56" t="s">
        <v>81</v>
      </c>
      <c r="B9" s="74">
        <v>8931960.0</v>
      </c>
      <c r="C9" s="74">
        <v>3179426.0</v>
      </c>
      <c r="D9" s="74">
        <v>2806315.0</v>
      </c>
      <c r="E9" s="74">
        <v>1867259.0</v>
      </c>
      <c r="F9" s="74">
        <v>1592761.0</v>
      </c>
    </row>
    <row r="10">
      <c r="A10" s="56" t="s">
        <v>82</v>
      </c>
      <c r="B10" s="74">
        <v>5417206.0</v>
      </c>
      <c r="C10" s="74">
        <v>1972005.0</v>
      </c>
      <c r="D10" s="74">
        <v>1425575.0</v>
      </c>
      <c r="E10" s="74">
        <v>1096225.0</v>
      </c>
      <c r="F10" s="74">
        <v>1065540.0</v>
      </c>
    </row>
    <row r="11">
      <c r="A11" s="56" t="s">
        <v>83</v>
      </c>
      <c r="B11" s="74">
        <v>2063165.0</v>
      </c>
      <c r="C11" s="74">
        <v>328072.0</v>
      </c>
      <c r="D11" s="74">
        <v>309478.0</v>
      </c>
      <c r="E11" s="74">
        <v>176843.0</v>
      </c>
      <c r="F11" s="74">
        <v>145471.0</v>
      </c>
    </row>
    <row r="12">
      <c r="A12" s="75" t="s">
        <v>84</v>
      </c>
      <c r="B12" s="76">
        <v>2345721.0</v>
      </c>
      <c r="C12" s="76">
        <v>1374652.0</v>
      </c>
      <c r="D12" s="76">
        <v>1470024.0</v>
      </c>
      <c r="E12" s="76">
        <v>968896.0</v>
      </c>
      <c r="F12" s="76">
        <v>707635.0</v>
      </c>
    </row>
    <row r="13">
      <c r="A13" s="49" t="s">
        <v>85</v>
      </c>
      <c r="B13" s="77">
        <v>9826092.0</v>
      </c>
      <c r="C13" s="77">
        <v>3674729.0</v>
      </c>
      <c r="D13" s="77">
        <v>3205077.0</v>
      </c>
      <c r="E13" s="77">
        <v>2241964.0</v>
      </c>
      <c r="F13" s="77">
        <v>1918646.0</v>
      </c>
    </row>
  </sheetData>
  <drawing r:id="rId1"/>
</worksheet>
</file>