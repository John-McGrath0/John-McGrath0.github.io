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d.docs.live.net/c39ef4a545ddbfd7/Documents/"/>
    </mc:Choice>
  </mc:AlternateContent>
  <xr:revisionPtr revIDLastSave="301" documentId="8_{B4448BEF-5D7C-44F2-9393-34966DB100CF}" xr6:coauthVersionLast="47" xr6:coauthVersionMax="47" xr10:uidLastSave="{767E68F2-8E9C-4165-9958-C0BD56E4BFAC}"/>
  <bookViews>
    <workbookView xWindow="-110" yWindow="-110" windowWidth="19420" windowHeight="10300" activeTab="5" xr2:uid="{00000000-000D-0000-FFFF-FFFF00000000}"/>
  </bookViews>
  <sheets>
    <sheet name="Assignment Details" sheetId="1" r:id="rId1"/>
    <sheet name="Data Sheet" sheetId="2" r:id="rId2"/>
    <sheet name="FData" sheetId="3" r:id="rId3"/>
    <sheet name="Model" sheetId="5" r:id="rId4"/>
    <sheet name="IO" sheetId="6" r:id="rId5"/>
    <sheet name="Assumptions" sheetId="4" r:id="rId6"/>
  </sheets>
  <definedNames>
    <definedName name="_xlnm._FilterDatabase" localSheetId="1" hidden="1">'Data Sheet'!$A$1:$F$1093</definedName>
    <definedName name="flight_time">Model!$H$1:$H$1093</definedName>
    <definedName name="mean11am">IO!$H$4</definedName>
    <definedName name="mean3pm">IO!$H$5</definedName>
    <definedName name="mean7pm">IO!$H$6</definedName>
    <definedName name="std_dev11am">IO!$I$4</definedName>
    <definedName name="std_dev3pm">IO!$I$5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0U139gZd50N1mpB+7JDQohkjhsANw3d5QAHJiwr3Khk="/>
    </ext>
  </extLst>
</workbook>
</file>

<file path=xl/calcChain.xml><?xml version="1.0" encoding="utf-8"?>
<calcChain xmlns="http://schemas.openxmlformats.org/spreadsheetml/2006/main">
  <c r="K3" i="5" l="1"/>
  <c r="L3" i="5" s="1"/>
  <c r="K4" i="5"/>
  <c r="L4" i="5" s="1"/>
  <c r="K5" i="5"/>
  <c r="L5" i="5" s="1"/>
  <c r="K6" i="5"/>
  <c r="L6" i="5" s="1"/>
  <c r="K7" i="5"/>
  <c r="L7" i="5" s="1"/>
  <c r="K8" i="5"/>
  <c r="L8" i="5" s="1"/>
  <c r="K9" i="5"/>
  <c r="L9" i="5" s="1"/>
  <c r="K10" i="5"/>
  <c r="L10" i="5" s="1"/>
  <c r="K11" i="5"/>
  <c r="L11" i="5" s="1"/>
  <c r="K12" i="5"/>
  <c r="L12" i="5" s="1"/>
  <c r="K13" i="5"/>
  <c r="L13" i="5" s="1"/>
  <c r="K14" i="5"/>
  <c r="L14" i="5" s="1"/>
  <c r="K15" i="5"/>
  <c r="L15" i="5" s="1"/>
  <c r="M15" i="5" s="1"/>
  <c r="K16" i="5"/>
  <c r="L16" i="5" s="1"/>
  <c r="K17" i="5"/>
  <c r="L17" i="5" s="1"/>
  <c r="K18" i="5"/>
  <c r="L18" i="5" s="1"/>
  <c r="K19" i="5"/>
  <c r="L19" i="5" s="1"/>
  <c r="K20" i="5"/>
  <c r="L20" i="5" s="1"/>
  <c r="K21" i="5"/>
  <c r="L21" i="5" s="1"/>
  <c r="K22" i="5"/>
  <c r="L22" i="5" s="1"/>
  <c r="K23" i="5"/>
  <c r="L23" i="5" s="1"/>
  <c r="K24" i="5"/>
  <c r="L24" i="5" s="1"/>
  <c r="K25" i="5"/>
  <c r="L25" i="5" s="1"/>
  <c r="K26" i="5"/>
  <c r="L26" i="5" s="1"/>
  <c r="K27" i="5"/>
  <c r="L27" i="5" s="1"/>
  <c r="K28" i="5"/>
  <c r="L28" i="5" s="1"/>
  <c r="K29" i="5"/>
  <c r="L29" i="5" s="1"/>
  <c r="K30" i="5"/>
  <c r="L30" i="5" s="1"/>
  <c r="K31" i="5"/>
  <c r="L31" i="5" s="1"/>
  <c r="K32" i="5"/>
  <c r="L32" i="5" s="1"/>
  <c r="K33" i="5"/>
  <c r="L33" i="5" s="1"/>
  <c r="K34" i="5"/>
  <c r="L34" i="5" s="1"/>
  <c r="M34" i="5" s="1"/>
  <c r="K35" i="5"/>
  <c r="L35" i="5" s="1"/>
  <c r="K36" i="5"/>
  <c r="L36" i="5" s="1"/>
  <c r="K37" i="5"/>
  <c r="L37" i="5" s="1"/>
  <c r="K38" i="5"/>
  <c r="L38" i="5" s="1"/>
  <c r="K39" i="5"/>
  <c r="L39" i="5" s="1"/>
  <c r="K40" i="5"/>
  <c r="L40" i="5" s="1"/>
  <c r="K41" i="5"/>
  <c r="L41" i="5" s="1"/>
  <c r="K42" i="5"/>
  <c r="L42" i="5" s="1"/>
  <c r="K43" i="5"/>
  <c r="L43" i="5" s="1"/>
  <c r="K44" i="5"/>
  <c r="L44" i="5" s="1"/>
  <c r="K45" i="5"/>
  <c r="L45" i="5" s="1"/>
  <c r="K46" i="5"/>
  <c r="L46" i="5" s="1"/>
  <c r="K47" i="5"/>
  <c r="L47" i="5" s="1"/>
  <c r="M47" i="5" s="1"/>
  <c r="K48" i="5"/>
  <c r="L48" i="5" s="1"/>
  <c r="K49" i="5"/>
  <c r="L49" i="5" s="1"/>
  <c r="K50" i="5"/>
  <c r="L50" i="5" s="1"/>
  <c r="K51" i="5"/>
  <c r="L51" i="5" s="1"/>
  <c r="K52" i="5"/>
  <c r="L52" i="5" s="1"/>
  <c r="K53" i="5"/>
  <c r="L53" i="5" s="1"/>
  <c r="K54" i="5"/>
  <c r="L54" i="5" s="1"/>
  <c r="K55" i="5"/>
  <c r="L55" i="5" s="1"/>
  <c r="K56" i="5"/>
  <c r="L56" i="5" s="1"/>
  <c r="K57" i="5"/>
  <c r="L57" i="5" s="1"/>
  <c r="K58" i="5"/>
  <c r="L58" i="5" s="1"/>
  <c r="K59" i="5"/>
  <c r="L59" i="5" s="1"/>
  <c r="K60" i="5"/>
  <c r="L60" i="5" s="1"/>
  <c r="K61" i="5"/>
  <c r="L61" i="5" s="1"/>
  <c r="K62" i="5"/>
  <c r="L62" i="5" s="1"/>
  <c r="K63" i="5"/>
  <c r="L63" i="5" s="1"/>
  <c r="K64" i="5"/>
  <c r="L64" i="5" s="1"/>
  <c r="K65" i="5"/>
  <c r="L65" i="5" s="1"/>
  <c r="K66" i="5"/>
  <c r="L66" i="5" s="1"/>
  <c r="M66" i="5" s="1"/>
  <c r="K67" i="5"/>
  <c r="L67" i="5" s="1"/>
  <c r="K68" i="5"/>
  <c r="L68" i="5" s="1"/>
  <c r="K69" i="5"/>
  <c r="L69" i="5" s="1"/>
  <c r="K70" i="5"/>
  <c r="L70" i="5" s="1"/>
  <c r="K71" i="5"/>
  <c r="L71" i="5" s="1"/>
  <c r="K72" i="5"/>
  <c r="L72" i="5" s="1"/>
  <c r="K73" i="5"/>
  <c r="L73" i="5" s="1"/>
  <c r="K74" i="5"/>
  <c r="L74" i="5" s="1"/>
  <c r="K75" i="5"/>
  <c r="L75" i="5" s="1"/>
  <c r="K76" i="5"/>
  <c r="L76" i="5" s="1"/>
  <c r="K77" i="5"/>
  <c r="L77" i="5" s="1"/>
  <c r="K78" i="5"/>
  <c r="L78" i="5" s="1"/>
  <c r="K79" i="5"/>
  <c r="L79" i="5" s="1"/>
  <c r="M79" i="5" s="1"/>
  <c r="K80" i="5"/>
  <c r="L80" i="5" s="1"/>
  <c r="K81" i="5"/>
  <c r="L81" i="5" s="1"/>
  <c r="K82" i="5"/>
  <c r="L82" i="5" s="1"/>
  <c r="K83" i="5"/>
  <c r="L83" i="5" s="1"/>
  <c r="K84" i="5"/>
  <c r="L84" i="5" s="1"/>
  <c r="K85" i="5"/>
  <c r="L85" i="5" s="1"/>
  <c r="K86" i="5"/>
  <c r="L86" i="5" s="1"/>
  <c r="K87" i="5"/>
  <c r="L87" i="5" s="1"/>
  <c r="K88" i="5"/>
  <c r="L88" i="5" s="1"/>
  <c r="K89" i="5"/>
  <c r="L89" i="5" s="1"/>
  <c r="K90" i="5"/>
  <c r="L90" i="5" s="1"/>
  <c r="K91" i="5"/>
  <c r="L91" i="5" s="1"/>
  <c r="K92" i="5"/>
  <c r="L92" i="5" s="1"/>
  <c r="K93" i="5"/>
  <c r="L93" i="5" s="1"/>
  <c r="K94" i="5"/>
  <c r="L94" i="5" s="1"/>
  <c r="K95" i="5"/>
  <c r="L95" i="5" s="1"/>
  <c r="K96" i="5"/>
  <c r="L96" i="5" s="1"/>
  <c r="K97" i="5"/>
  <c r="L97" i="5" s="1"/>
  <c r="K98" i="5"/>
  <c r="L98" i="5" s="1"/>
  <c r="M98" i="5" s="1"/>
  <c r="K99" i="5"/>
  <c r="L99" i="5" s="1"/>
  <c r="K100" i="5"/>
  <c r="L100" i="5" s="1"/>
  <c r="K101" i="5"/>
  <c r="L101" i="5" s="1"/>
  <c r="K102" i="5"/>
  <c r="L102" i="5" s="1"/>
  <c r="K103" i="5"/>
  <c r="L103" i="5" s="1"/>
  <c r="K104" i="5"/>
  <c r="L104" i="5" s="1"/>
  <c r="K105" i="5"/>
  <c r="L105" i="5" s="1"/>
  <c r="K106" i="5"/>
  <c r="L106" i="5" s="1"/>
  <c r="K107" i="5"/>
  <c r="L107" i="5" s="1"/>
  <c r="K108" i="5"/>
  <c r="L108" i="5" s="1"/>
  <c r="K109" i="5"/>
  <c r="L109" i="5" s="1"/>
  <c r="K110" i="5"/>
  <c r="L110" i="5" s="1"/>
  <c r="K111" i="5"/>
  <c r="L111" i="5" s="1"/>
  <c r="M111" i="5" s="1"/>
  <c r="K112" i="5"/>
  <c r="L112" i="5" s="1"/>
  <c r="K113" i="5"/>
  <c r="L113" i="5" s="1"/>
  <c r="K114" i="5"/>
  <c r="L114" i="5" s="1"/>
  <c r="K115" i="5"/>
  <c r="L115" i="5" s="1"/>
  <c r="K116" i="5"/>
  <c r="L116" i="5" s="1"/>
  <c r="K117" i="5"/>
  <c r="L117" i="5" s="1"/>
  <c r="K118" i="5"/>
  <c r="L118" i="5" s="1"/>
  <c r="K119" i="5"/>
  <c r="L119" i="5" s="1"/>
  <c r="K120" i="5"/>
  <c r="L120" i="5" s="1"/>
  <c r="K121" i="5"/>
  <c r="L121" i="5" s="1"/>
  <c r="K122" i="5"/>
  <c r="L122" i="5" s="1"/>
  <c r="K123" i="5"/>
  <c r="L123" i="5" s="1"/>
  <c r="K124" i="5"/>
  <c r="L124" i="5" s="1"/>
  <c r="K125" i="5"/>
  <c r="L125" i="5" s="1"/>
  <c r="K126" i="5"/>
  <c r="L126" i="5" s="1"/>
  <c r="K127" i="5"/>
  <c r="L127" i="5" s="1"/>
  <c r="K128" i="5"/>
  <c r="L128" i="5" s="1"/>
  <c r="K129" i="5"/>
  <c r="L129" i="5" s="1"/>
  <c r="K130" i="5"/>
  <c r="L130" i="5" s="1"/>
  <c r="M130" i="5" s="1"/>
  <c r="K131" i="5"/>
  <c r="L131" i="5" s="1"/>
  <c r="K132" i="5"/>
  <c r="L132" i="5" s="1"/>
  <c r="K133" i="5"/>
  <c r="L133" i="5" s="1"/>
  <c r="K134" i="5"/>
  <c r="L134" i="5" s="1"/>
  <c r="K135" i="5"/>
  <c r="L135" i="5" s="1"/>
  <c r="K136" i="5"/>
  <c r="L136" i="5" s="1"/>
  <c r="K137" i="5"/>
  <c r="L137" i="5" s="1"/>
  <c r="K138" i="5"/>
  <c r="L138" i="5" s="1"/>
  <c r="K139" i="5"/>
  <c r="L139" i="5" s="1"/>
  <c r="K140" i="5"/>
  <c r="L140" i="5" s="1"/>
  <c r="K141" i="5"/>
  <c r="L141" i="5" s="1"/>
  <c r="K142" i="5"/>
  <c r="L142" i="5" s="1"/>
  <c r="K143" i="5"/>
  <c r="L143" i="5" s="1"/>
  <c r="M143" i="5" s="1"/>
  <c r="K144" i="5"/>
  <c r="L144" i="5" s="1"/>
  <c r="K145" i="5"/>
  <c r="L145" i="5" s="1"/>
  <c r="K146" i="5"/>
  <c r="L146" i="5" s="1"/>
  <c r="K147" i="5"/>
  <c r="L147" i="5" s="1"/>
  <c r="K148" i="5"/>
  <c r="L148" i="5" s="1"/>
  <c r="K149" i="5"/>
  <c r="L149" i="5" s="1"/>
  <c r="K150" i="5"/>
  <c r="L150" i="5" s="1"/>
  <c r="K151" i="5"/>
  <c r="L151" i="5" s="1"/>
  <c r="K152" i="5"/>
  <c r="L152" i="5" s="1"/>
  <c r="K153" i="5"/>
  <c r="L153" i="5" s="1"/>
  <c r="K154" i="5"/>
  <c r="L154" i="5" s="1"/>
  <c r="K155" i="5"/>
  <c r="L155" i="5" s="1"/>
  <c r="K156" i="5"/>
  <c r="L156" i="5" s="1"/>
  <c r="K157" i="5"/>
  <c r="L157" i="5" s="1"/>
  <c r="K158" i="5"/>
  <c r="L158" i="5" s="1"/>
  <c r="K159" i="5"/>
  <c r="L159" i="5" s="1"/>
  <c r="K160" i="5"/>
  <c r="L160" i="5" s="1"/>
  <c r="K161" i="5"/>
  <c r="L161" i="5" s="1"/>
  <c r="K162" i="5"/>
  <c r="L162" i="5" s="1"/>
  <c r="M162" i="5" s="1"/>
  <c r="K163" i="5"/>
  <c r="L163" i="5" s="1"/>
  <c r="K164" i="5"/>
  <c r="L164" i="5" s="1"/>
  <c r="K165" i="5"/>
  <c r="L165" i="5" s="1"/>
  <c r="K166" i="5"/>
  <c r="L166" i="5" s="1"/>
  <c r="K167" i="5"/>
  <c r="L167" i="5" s="1"/>
  <c r="K168" i="5"/>
  <c r="L168" i="5" s="1"/>
  <c r="K169" i="5"/>
  <c r="L169" i="5" s="1"/>
  <c r="K170" i="5"/>
  <c r="L170" i="5" s="1"/>
  <c r="K171" i="5"/>
  <c r="L171" i="5" s="1"/>
  <c r="K172" i="5"/>
  <c r="L172" i="5" s="1"/>
  <c r="K173" i="5"/>
  <c r="L173" i="5" s="1"/>
  <c r="K174" i="5"/>
  <c r="L174" i="5" s="1"/>
  <c r="K175" i="5"/>
  <c r="L175" i="5" s="1"/>
  <c r="M175" i="5" s="1"/>
  <c r="K176" i="5"/>
  <c r="L176" i="5" s="1"/>
  <c r="K177" i="5"/>
  <c r="L177" i="5" s="1"/>
  <c r="K178" i="5"/>
  <c r="L178" i="5" s="1"/>
  <c r="K179" i="5"/>
  <c r="L179" i="5" s="1"/>
  <c r="K180" i="5"/>
  <c r="L180" i="5" s="1"/>
  <c r="K181" i="5"/>
  <c r="L181" i="5" s="1"/>
  <c r="K182" i="5"/>
  <c r="L182" i="5" s="1"/>
  <c r="K183" i="5"/>
  <c r="L183" i="5" s="1"/>
  <c r="K184" i="5"/>
  <c r="L184" i="5" s="1"/>
  <c r="K185" i="5"/>
  <c r="L185" i="5" s="1"/>
  <c r="K186" i="5"/>
  <c r="L186" i="5" s="1"/>
  <c r="K187" i="5"/>
  <c r="L187" i="5" s="1"/>
  <c r="K188" i="5"/>
  <c r="L188" i="5" s="1"/>
  <c r="K189" i="5"/>
  <c r="L189" i="5" s="1"/>
  <c r="K190" i="5"/>
  <c r="L190" i="5" s="1"/>
  <c r="K191" i="5"/>
  <c r="L191" i="5" s="1"/>
  <c r="K192" i="5"/>
  <c r="L192" i="5" s="1"/>
  <c r="K193" i="5"/>
  <c r="L193" i="5" s="1"/>
  <c r="K194" i="5"/>
  <c r="L194" i="5" s="1"/>
  <c r="K195" i="5"/>
  <c r="L195" i="5" s="1"/>
  <c r="K196" i="5"/>
  <c r="L196" i="5" s="1"/>
  <c r="K197" i="5"/>
  <c r="L197" i="5" s="1"/>
  <c r="K198" i="5"/>
  <c r="L198" i="5" s="1"/>
  <c r="K199" i="5"/>
  <c r="L199" i="5" s="1"/>
  <c r="K200" i="5"/>
  <c r="L200" i="5" s="1"/>
  <c r="K201" i="5"/>
  <c r="L201" i="5" s="1"/>
  <c r="K202" i="5"/>
  <c r="L202" i="5" s="1"/>
  <c r="K203" i="5"/>
  <c r="L203" i="5" s="1"/>
  <c r="K204" i="5"/>
  <c r="L204" i="5" s="1"/>
  <c r="K205" i="5"/>
  <c r="L205" i="5" s="1"/>
  <c r="K206" i="5"/>
  <c r="L206" i="5" s="1"/>
  <c r="K207" i="5"/>
  <c r="L207" i="5" s="1"/>
  <c r="M207" i="5" s="1"/>
  <c r="K208" i="5"/>
  <c r="L208" i="5" s="1"/>
  <c r="K209" i="5"/>
  <c r="L209" i="5" s="1"/>
  <c r="K210" i="5"/>
  <c r="L210" i="5" s="1"/>
  <c r="K211" i="5"/>
  <c r="L211" i="5" s="1"/>
  <c r="K212" i="5"/>
  <c r="L212" i="5" s="1"/>
  <c r="K213" i="5"/>
  <c r="L213" i="5" s="1"/>
  <c r="K214" i="5"/>
  <c r="L214" i="5" s="1"/>
  <c r="K215" i="5"/>
  <c r="L215" i="5" s="1"/>
  <c r="K216" i="5"/>
  <c r="L216" i="5" s="1"/>
  <c r="K217" i="5"/>
  <c r="L217" i="5" s="1"/>
  <c r="K218" i="5"/>
  <c r="L218" i="5" s="1"/>
  <c r="K219" i="5"/>
  <c r="L219" i="5" s="1"/>
  <c r="K220" i="5"/>
  <c r="L220" i="5" s="1"/>
  <c r="K221" i="5"/>
  <c r="L221" i="5" s="1"/>
  <c r="K222" i="5"/>
  <c r="L222" i="5" s="1"/>
  <c r="K223" i="5"/>
  <c r="L223" i="5" s="1"/>
  <c r="K224" i="5"/>
  <c r="L224" i="5" s="1"/>
  <c r="K225" i="5"/>
  <c r="L225" i="5" s="1"/>
  <c r="K226" i="5"/>
  <c r="L226" i="5" s="1"/>
  <c r="K227" i="5"/>
  <c r="L227" i="5" s="1"/>
  <c r="K228" i="5"/>
  <c r="L228" i="5" s="1"/>
  <c r="K229" i="5"/>
  <c r="L229" i="5" s="1"/>
  <c r="K230" i="5"/>
  <c r="L230" i="5" s="1"/>
  <c r="K231" i="5"/>
  <c r="L231" i="5" s="1"/>
  <c r="K232" i="5"/>
  <c r="L232" i="5" s="1"/>
  <c r="K233" i="5"/>
  <c r="L233" i="5" s="1"/>
  <c r="K234" i="5"/>
  <c r="L234" i="5" s="1"/>
  <c r="K235" i="5"/>
  <c r="L235" i="5" s="1"/>
  <c r="K236" i="5"/>
  <c r="L236" i="5" s="1"/>
  <c r="K237" i="5"/>
  <c r="L237" i="5" s="1"/>
  <c r="K238" i="5"/>
  <c r="L238" i="5" s="1"/>
  <c r="K239" i="5"/>
  <c r="L239" i="5" s="1"/>
  <c r="M239" i="5" s="1"/>
  <c r="K240" i="5"/>
  <c r="L240" i="5" s="1"/>
  <c r="K241" i="5"/>
  <c r="L241" i="5" s="1"/>
  <c r="K242" i="5"/>
  <c r="L242" i="5" s="1"/>
  <c r="K243" i="5"/>
  <c r="L243" i="5" s="1"/>
  <c r="K244" i="5"/>
  <c r="L244" i="5" s="1"/>
  <c r="K245" i="5"/>
  <c r="L245" i="5" s="1"/>
  <c r="K246" i="5"/>
  <c r="L246" i="5" s="1"/>
  <c r="K247" i="5"/>
  <c r="L247" i="5" s="1"/>
  <c r="K248" i="5"/>
  <c r="L248" i="5" s="1"/>
  <c r="K249" i="5"/>
  <c r="L249" i="5" s="1"/>
  <c r="K250" i="5"/>
  <c r="L250" i="5" s="1"/>
  <c r="K251" i="5"/>
  <c r="L251" i="5" s="1"/>
  <c r="K252" i="5"/>
  <c r="L252" i="5" s="1"/>
  <c r="K253" i="5"/>
  <c r="L253" i="5" s="1"/>
  <c r="K254" i="5"/>
  <c r="L254" i="5" s="1"/>
  <c r="K255" i="5"/>
  <c r="L255" i="5" s="1"/>
  <c r="K256" i="5"/>
  <c r="L256" i="5" s="1"/>
  <c r="K257" i="5"/>
  <c r="L257" i="5" s="1"/>
  <c r="K258" i="5"/>
  <c r="L258" i="5" s="1"/>
  <c r="M258" i="5" s="1"/>
  <c r="K259" i="5"/>
  <c r="L259" i="5" s="1"/>
  <c r="K260" i="5"/>
  <c r="L260" i="5" s="1"/>
  <c r="K261" i="5"/>
  <c r="L261" i="5" s="1"/>
  <c r="K262" i="5"/>
  <c r="L262" i="5" s="1"/>
  <c r="K263" i="5"/>
  <c r="L263" i="5" s="1"/>
  <c r="K264" i="5"/>
  <c r="L264" i="5" s="1"/>
  <c r="K265" i="5"/>
  <c r="L265" i="5" s="1"/>
  <c r="K266" i="5"/>
  <c r="L266" i="5" s="1"/>
  <c r="K267" i="5"/>
  <c r="L267" i="5" s="1"/>
  <c r="K268" i="5"/>
  <c r="L268" i="5" s="1"/>
  <c r="K269" i="5"/>
  <c r="L269" i="5" s="1"/>
  <c r="K270" i="5"/>
  <c r="L270" i="5" s="1"/>
  <c r="K271" i="5"/>
  <c r="L271" i="5" s="1"/>
  <c r="M271" i="5" s="1"/>
  <c r="K272" i="5"/>
  <c r="L272" i="5" s="1"/>
  <c r="K273" i="5"/>
  <c r="L273" i="5" s="1"/>
  <c r="K274" i="5"/>
  <c r="L274" i="5" s="1"/>
  <c r="K275" i="5"/>
  <c r="L275" i="5" s="1"/>
  <c r="K276" i="5"/>
  <c r="L276" i="5" s="1"/>
  <c r="K277" i="5"/>
  <c r="L277" i="5" s="1"/>
  <c r="K278" i="5"/>
  <c r="L278" i="5" s="1"/>
  <c r="K279" i="5"/>
  <c r="L279" i="5" s="1"/>
  <c r="K280" i="5"/>
  <c r="L280" i="5" s="1"/>
  <c r="K281" i="5"/>
  <c r="L281" i="5" s="1"/>
  <c r="K282" i="5"/>
  <c r="L282" i="5" s="1"/>
  <c r="K283" i="5"/>
  <c r="L283" i="5" s="1"/>
  <c r="K284" i="5"/>
  <c r="L284" i="5" s="1"/>
  <c r="K285" i="5"/>
  <c r="L285" i="5" s="1"/>
  <c r="K286" i="5"/>
  <c r="L286" i="5" s="1"/>
  <c r="K287" i="5"/>
  <c r="L287" i="5" s="1"/>
  <c r="K288" i="5"/>
  <c r="L288" i="5" s="1"/>
  <c r="K289" i="5"/>
  <c r="L289" i="5" s="1"/>
  <c r="K290" i="5"/>
  <c r="L290" i="5" s="1"/>
  <c r="K291" i="5"/>
  <c r="L291" i="5" s="1"/>
  <c r="K292" i="5"/>
  <c r="L292" i="5" s="1"/>
  <c r="K293" i="5"/>
  <c r="L293" i="5" s="1"/>
  <c r="K294" i="5"/>
  <c r="L294" i="5" s="1"/>
  <c r="K295" i="5"/>
  <c r="L295" i="5" s="1"/>
  <c r="K296" i="5"/>
  <c r="L296" i="5" s="1"/>
  <c r="K297" i="5"/>
  <c r="L297" i="5" s="1"/>
  <c r="K298" i="5"/>
  <c r="L298" i="5" s="1"/>
  <c r="K299" i="5"/>
  <c r="L299" i="5" s="1"/>
  <c r="K300" i="5"/>
  <c r="L300" i="5" s="1"/>
  <c r="K301" i="5"/>
  <c r="L301" i="5" s="1"/>
  <c r="K302" i="5"/>
  <c r="L302" i="5" s="1"/>
  <c r="K303" i="5"/>
  <c r="L303" i="5" s="1"/>
  <c r="M303" i="5" s="1"/>
  <c r="K304" i="5"/>
  <c r="L304" i="5" s="1"/>
  <c r="K305" i="5"/>
  <c r="L305" i="5" s="1"/>
  <c r="K306" i="5"/>
  <c r="L306" i="5" s="1"/>
  <c r="K307" i="5"/>
  <c r="L307" i="5" s="1"/>
  <c r="K308" i="5"/>
  <c r="L308" i="5" s="1"/>
  <c r="K309" i="5"/>
  <c r="L309" i="5" s="1"/>
  <c r="K310" i="5"/>
  <c r="L310" i="5" s="1"/>
  <c r="K311" i="5"/>
  <c r="L311" i="5" s="1"/>
  <c r="K312" i="5"/>
  <c r="L312" i="5" s="1"/>
  <c r="K313" i="5"/>
  <c r="L313" i="5" s="1"/>
  <c r="K314" i="5"/>
  <c r="L314" i="5" s="1"/>
  <c r="K315" i="5"/>
  <c r="L315" i="5" s="1"/>
  <c r="K316" i="5"/>
  <c r="L316" i="5" s="1"/>
  <c r="K317" i="5"/>
  <c r="L317" i="5" s="1"/>
  <c r="K318" i="5"/>
  <c r="L318" i="5" s="1"/>
  <c r="K319" i="5"/>
  <c r="L319" i="5" s="1"/>
  <c r="K320" i="5"/>
  <c r="L320" i="5" s="1"/>
  <c r="K321" i="5"/>
  <c r="L321" i="5" s="1"/>
  <c r="K322" i="5"/>
  <c r="L322" i="5" s="1"/>
  <c r="K323" i="5"/>
  <c r="L323" i="5" s="1"/>
  <c r="K324" i="5"/>
  <c r="L324" i="5" s="1"/>
  <c r="K325" i="5"/>
  <c r="L325" i="5" s="1"/>
  <c r="K326" i="5"/>
  <c r="L326" i="5" s="1"/>
  <c r="K327" i="5"/>
  <c r="L327" i="5" s="1"/>
  <c r="K328" i="5"/>
  <c r="L328" i="5" s="1"/>
  <c r="K329" i="5"/>
  <c r="L329" i="5" s="1"/>
  <c r="K330" i="5"/>
  <c r="L330" i="5" s="1"/>
  <c r="K331" i="5"/>
  <c r="L331" i="5" s="1"/>
  <c r="K332" i="5"/>
  <c r="L332" i="5" s="1"/>
  <c r="K333" i="5"/>
  <c r="L333" i="5" s="1"/>
  <c r="K334" i="5"/>
  <c r="L334" i="5" s="1"/>
  <c r="K335" i="5"/>
  <c r="L335" i="5" s="1"/>
  <c r="M335" i="5" s="1"/>
  <c r="K336" i="5"/>
  <c r="L336" i="5" s="1"/>
  <c r="K337" i="5"/>
  <c r="L337" i="5" s="1"/>
  <c r="K338" i="5"/>
  <c r="L338" i="5" s="1"/>
  <c r="K339" i="5"/>
  <c r="L339" i="5" s="1"/>
  <c r="K340" i="5"/>
  <c r="L340" i="5" s="1"/>
  <c r="K341" i="5"/>
  <c r="L341" i="5" s="1"/>
  <c r="K342" i="5"/>
  <c r="L342" i="5" s="1"/>
  <c r="K343" i="5"/>
  <c r="L343" i="5" s="1"/>
  <c r="K344" i="5"/>
  <c r="L344" i="5" s="1"/>
  <c r="K345" i="5"/>
  <c r="L345" i="5" s="1"/>
  <c r="K346" i="5"/>
  <c r="L346" i="5" s="1"/>
  <c r="K347" i="5"/>
  <c r="L347" i="5" s="1"/>
  <c r="K348" i="5"/>
  <c r="L348" i="5" s="1"/>
  <c r="K349" i="5"/>
  <c r="L349" i="5" s="1"/>
  <c r="K350" i="5"/>
  <c r="L350" i="5" s="1"/>
  <c r="K351" i="5"/>
  <c r="L351" i="5" s="1"/>
  <c r="K352" i="5"/>
  <c r="L352" i="5" s="1"/>
  <c r="K353" i="5"/>
  <c r="L353" i="5" s="1"/>
  <c r="K354" i="5"/>
  <c r="L354" i="5" s="1"/>
  <c r="K355" i="5"/>
  <c r="L355" i="5" s="1"/>
  <c r="K356" i="5"/>
  <c r="L356" i="5" s="1"/>
  <c r="K357" i="5"/>
  <c r="L357" i="5" s="1"/>
  <c r="K358" i="5"/>
  <c r="L358" i="5" s="1"/>
  <c r="K359" i="5"/>
  <c r="L359" i="5" s="1"/>
  <c r="K360" i="5"/>
  <c r="L360" i="5" s="1"/>
  <c r="K361" i="5"/>
  <c r="L361" i="5" s="1"/>
  <c r="K362" i="5"/>
  <c r="L362" i="5" s="1"/>
  <c r="K363" i="5"/>
  <c r="L363" i="5" s="1"/>
  <c r="K364" i="5"/>
  <c r="L364" i="5" s="1"/>
  <c r="K365" i="5"/>
  <c r="L365" i="5" s="1"/>
  <c r="K366" i="5"/>
  <c r="L366" i="5" s="1"/>
  <c r="K367" i="5"/>
  <c r="L367" i="5" s="1"/>
  <c r="M367" i="5" s="1"/>
  <c r="K368" i="5"/>
  <c r="L368" i="5" s="1"/>
  <c r="K369" i="5"/>
  <c r="L369" i="5" s="1"/>
  <c r="K370" i="5"/>
  <c r="L370" i="5" s="1"/>
  <c r="K371" i="5"/>
  <c r="L371" i="5" s="1"/>
  <c r="K372" i="5"/>
  <c r="L372" i="5" s="1"/>
  <c r="K373" i="5"/>
  <c r="L373" i="5" s="1"/>
  <c r="K374" i="5"/>
  <c r="L374" i="5" s="1"/>
  <c r="K375" i="5"/>
  <c r="L375" i="5" s="1"/>
  <c r="K376" i="5"/>
  <c r="L376" i="5" s="1"/>
  <c r="K377" i="5"/>
  <c r="L377" i="5" s="1"/>
  <c r="K378" i="5"/>
  <c r="L378" i="5" s="1"/>
  <c r="K379" i="5"/>
  <c r="L379" i="5" s="1"/>
  <c r="K380" i="5"/>
  <c r="L380" i="5" s="1"/>
  <c r="K381" i="5"/>
  <c r="L381" i="5" s="1"/>
  <c r="K382" i="5"/>
  <c r="L382" i="5" s="1"/>
  <c r="K383" i="5"/>
  <c r="L383" i="5" s="1"/>
  <c r="K384" i="5"/>
  <c r="L384" i="5" s="1"/>
  <c r="K385" i="5"/>
  <c r="L385" i="5" s="1"/>
  <c r="K386" i="5"/>
  <c r="L386" i="5" s="1"/>
  <c r="M386" i="5" s="1"/>
  <c r="K387" i="5"/>
  <c r="L387" i="5" s="1"/>
  <c r="K388" i="5"/>
  <c r="L388" i="5" s="1"/>
  <c r="K389" i="5"/>
  <c r="L389" i="5" s="1"/>
  <c r="K390" i="5"/>
  <c r="L390" i="5" s="1"/>
  <c r="K391" i="5"/>
  <c r="L391" i="5" s="1"/>
  <c r="K392" i="5"/>
  <c r="L392" i="5" s="1"/>
  <c r="K393" i="5"/>
  <c r="L393" i="5" s="1"/>
  <c r="K394" i="5"/>
  <c r="L394" i="5" s="1"/>
  <c r="K395" i="5"/>
  <c r="L395" i="5" s="1"/>
  <c r="K396" i="5"/>
  <c r="L396" i="5" s="1"/>
  <c r="K397" i="5"/>
  <c r="L397" i="5" s="1"/>
  <c r="K398" i="5"/>
  <c r="L398" i="5" s="1"/>
  <c r="K399" i="5"/>
  <c r="L399" i="5" s="1"/>
  <c r="M399" i="5" s="1"/>
  <c r="K400" i="5"/>
  <c r="L400" i="5" s="1"/>
  <c r="K401" i="5"/>
  <c r="L401" i="5" s="1"/>
  <c r="K402" i="5"/>
  <c r="L402" i="5" s="1"/>
  <c r="K403" i="5"/>
  <c r="L403" i="5" s="1"/>
  <c r="K404" i="5"/>
  <c r="L404" i="5" s="1"/>
  <c r="K405" i="5"/>
  <c r="L405" i="5" s="1"/>
  <c r="K406" i="5"/>
  <c r="L406" i="5" s="1"/>
  <c r="K407" i="5"/>
  <c r="L407" i="5" s="1"/>
  <c r="K408" i="5"/>
  <c r="L408" i="5" s="1"/>
  <c r="K409" i="5"/>
  <c r="L409" i="5" s="1"/>
  <c r="K410" i="5"/>
  <c r="L410" i="5" s="1"/>
  <c r="K411" i="5"/>
  <c r="L411" i="5" s="1"/>
  <c r="K412" i="5"/>
  <c r="L412" i="5" s="1"/>
  <c r="K413" i="5"/>
  <c r="L413" i="5" s="1"/>
  <c r="K414" i="5"/>
  <c r="L414" i="5" s="1"/>
  <c r="K415" i="5"/>
  <c r="L415" i="5" s="1"/>
  <c r="K416" i="5"/>
  <c r="L416" i="5" s="1"/>
  <c r="K417" i="5"/>
  <c r="L417" i="5" s="1"/>
  <c r="K418" i="5"/>
  <c r="L418" i="5" s="1"/>
  <c r="K419" i="5"/>
  <c r="L419" i="5" s="1"/>
  <c r="K420" i="5"/>
  <c r="L420" i="5" s="1"/>
  <c r="K421" i="5"/>
  <c r="L421" i="5" s="1"/>
  <c r="K422" i="5"/>
  <c r="L422" i="5" s="1"/>
  <c r="K423" i="5"/>
  <c r="L423" i="5" s="1"/>
  <c r="K424" i="5"/>
  <c r="L424" i="5" s="1"/>
  <c r="K425" i="5"/>
  <c r="L425" i="5" s="1"/>
  <c r="K426" i="5"/>
  <c r="L426" i="5" s="1"/>
  <c r="K427" i="5"/>
  <c r="L427" i="5" s="1"/>
  <c r="K428" i="5"/>
  <c r="L428" i="5" s="1"/>
  <c r="K429" i="5"/>
  <c r="L429" i="5" s="1"/>
  <c r="K430" i="5"/>
  <c r="L430" i="5" s="1"/>
  <c r="K431" i="5"/>
  <c r="L431" i="5" s="1"/>
  <c r="M431" i="5" s="1"/>
  <c r="K432" i="5"/>
  <c r="L432" i="5" s="1"/>
  <c r="K433" i="5"/>
  <c r="L433" i="5" s="1"/>
  <c r="K434" i="5"/>
  <c r="L434" i="5" s="1"/>
  <c r="K435" i="5"/>
  <c r="L435" i="5" s="1"/>
  <c r="K436" i="5"/>
  <c r="L436" i="5" s="1"/>
  <c r="K437" i="5"/>
  <c r="L437" i="5" s="1"/>
  <c r="K438" i="5"/>
  <c r="L438" i="5" s="1"/>
  <c r="K439" i="5"/>
  <c r="L439" i="5" s="1"/>
  <c r="K440" i="5"/>
  <c r="L440" i="5" s="1"/>
  <c r="K441" i="5"/>
  <c r="L441" i="5" s="1"/>
  <c r="K442" i="5"/>
  <c r="L442" i="5" s="1"/>
  <c r="K443" i="5"/>
  <c r="L443" i="5" s="1"/>
  <c r="K444" i="5"/>
  <c r="L444" i="5" s="1"/>
  <c r="K445" i="5"/>
  <c r="L445" i="5" s="1"/>
  <c r="K446" i="5"/>
  <c r="L446" i="5" s="1"/>
  <c r="K447" i="5"/>
  <c r="L447" i="5" s="1"/>
  <c r="K448" i="5"/>
  <c r="L448" i="5" s="1"/>
  <c r="K449" i="5"/>
  <c r="L449" i="5" s="1"/>
  <c r="K450" i="5"/>
  <c r="L450" i="5" s="1"/>
  <c r="K451" i="5"/>
  <c r="L451" i="5" s="1"/>
  <c r="K452" i="5"/>
  <c r="L452" i="5" s="1"/>
  <c r="K453" i="5"/>
  <c r="L453" i="5" s="1"/>
  <c r="K454" i="5"/>
  <c r="L454" i="5" s="1"/>
  <c r="K455" i="5"/>
  <c r="L455" i="5" s="1"/>
  <c r="K456" i="5"/>
  <c r="L456" i="5" s="1"/>
  <c r="K457" i="5"/>
  <c r="L457" i="5" s="1"/>
  <c r="K458" i="5"/>
  <c r="L458" i="5" s="1"/>
  <c r="K459" i="5"/>
  <c r="L459" i="5" s="1"/>
  <c r="K460" i="5"/>
  <c r="L460" i="5" s="1"/>
  <c r="K461" i="5"/>
  <c r="L461" i="5" s="1"/>
  <c r="K462" i="5"/>
  <c r="L462" i="5" s="1"/>
  <c r="K463" i="5"/>
  <c r="L463" i="5" s="1"/>
  <c r="M463" i="5" s="1"/>
  <c r="K464" i="5"/>
  <c r="L464" i="5" s="1"/>
  <c r="K465" i="5"/>
  <c r="L465" i="5" s="1"/>
  <c r="K466" i="5"/>
  <c r="L466" i="5" s="1"/>
  <c r="K467" i="5"/>
  <c r="L467" i="5" s="1"/>
  <c r="K468" i="5"/>
  <c r="L468" i="5" s="1"/>
  <c r="K469" i="5"/>
  <c r="L469" i="5" s="1"/>
  <c r="K470" i="5"/>
  <c r="L470" i="5" s="1"/>
  <c r="K471" i="5"/>
  <c r="L471" i="5" s="1"/>
  <c r="K472" i="5"/>
  <c r="L472" i="5" s="1"/>
  <c r="K473" i="5"/>
  <c r="L473" i="5" s="1"/>
  <c r="K474" i="5"/>
  <c r="L474" i="5" s="1"/>
  <c r="K475" i="5"/>
  <c r="L475" i="5" s="1"/>
  <c r="K476" i="5"/>
  <c r="L476" i="5" s="1"/>
  <c r="K477" i="5"/>
  <c r="L477" i="5" s="1"/>
  <c r="K478" i="5"/>
  <c r="L478" i="5" s="1"/>
  <c r="K479" i="5"/>
  <c r="L479" i="5" s="1"/>
  <c r="K480" i="5"/>
  <c r="L480" i="5" s="1"/>
  <c r="K481" i="5"/>
  <c r="L481" i="5" s="1"/>
  <c r="K482" i="5"/>
  <c r="L482" i="5" s="1"/>
  <c r="K483" i="5"/>
  <c r="L483" i="5" s="1"/>
  <c r="K484" i="5"/>
  <c r="L484" i="5" s="1"/>
  <c r="K485" i="5"/>
  <c r="L485" i="5" s="1"/>
  <c r="K486" i="5"/>
  <c r="L486" i="5" s="1"/>
  <c r="K487" i="5"/>
  <c r="L487" i="5" s="1"/>
  <c r="K488" i="5"/>
  <c r="L488" i="5" s="1"/>
  <c r="K489" i="5"/>
  <c r="L489" i="5" s="1"/>
  <c r="K490" i="5"/>
  <c r="L490" i="5" s="1"/>
  <c r="K491" i="5"/>
  <c r="L491" i="5" s="1"/>
  <c r="K492" i="5"/>
  <c r="L492" i="5" s="1"/>
  <c r="K493" i="5"/>
  <c r="L493" i="5" s="1"/>
  <c r="K494" i="5"/>
  <c r="L494" i="5" s="1"/>
  <c r="K495" i="5"/>
  <c r="L495" i="5" s="1"/>
  <c r="M495" i="5" s="1"/>
  <c r="K496" i="5"/>
  <c r="L496" i="5" s="1"/>
  <c r="K497" i="5"/>
  <c r="L497" i="5" s="1"/>
  <c r="K498" i="5"/>
  <c r="L498" i="5" s="1"/>
  <c r="K499" i="5"/>
  <c r="L499" i="5" s="1"/>
  <c r="K500" i="5"/>
  <c r="L500" i="5" s="1"/>
  <c r="K501" i="5"/>
  <c r="L501" i="5" s="1"/>
  <c r="K502" i="5"/>
  <c r="L502" i="5" s="1"/>
  <c r="K503" i="5"/>
  <c r="L503" i="5" s="1"/>
  <c r="K504" i="5"/>
  <c r="L504" i="5" s="1"/>
  <c r="K505" i="5"/>
  <c r="L505" i="5" s="1"/>
  <c r="K506" i="5"/>
  <c r="L506" i="5" s="1"/>
  <c r="K507" i="5"/>
  <c r="L507" i="5" s="1"/>
  <c r="K508" i="5"/>
  <c r="L508" i="5" s="1"/>
  <c r="K509" i="5"/>
  <c r="L509" i="5" s="1"/>
  <c r="K510" i="5"/>
  <c r="L510" i="5" s="1"/>
  <c r="K511" i="5"/>
  <c r="L511" i="5" s="1"/>
  <c r="K512" i="5"/>
  <c r="L512" i="5" s="1"/>
  <c r="K513" i="5"/>
  <c r="L513" i="5" s="1"/>
  <c r="K514" i="5"/>
  <c r="L514" i="5" s="1"/>
  <c r="M514" i="5" s="1"/>
  <c r="K515" i="5"/>
  <c r="L515" i="5" s="1"/>
  <c r="K516" i="5"/>
  <c r="L516" i="5" s="1"/>
  <c r="K517" i="5"/>
  <c r="L517" i="5" s="1"/>
  <c r="K518" i="5"/>
  <c r="L518" i="5" s="1"/>
  <c r="K519" i="5"/>
  <c r="L519" i="5" s="1"/>
  <c r="K520" i="5"/>
  <c r="L520" i="5" s="1"/>
  <c r="K521" i="5"/>
  <c r="L521" i="5" s="1"/>
  <c r="K522" i="5"/>
  <c r="L522" i="5" s="1"/>
  <c r="K523" i="5"/>
  <c r="L523" i="5" s="1"/>
  <c r="K524" i="5"/>
  <c r="L524" i="5" s="1"/>
  <c r="K525" i="5"/>
  <c r="L525" i="5" s="1"/>
  <c r="K526" i="5"/>
  <c r="L526" i="5" s="1"/>
  <c r="K527" i="5"/>
  <c r="L527" i="5" s="1"/>
  <c r="M527" i="5" s="1"/>
  <c r="K528" i="5"/>
  <c r="L528" i="5" s="1"/>
  <c r="K529" i="5"/>
  <c r="L529" i="5" s="1"/>
  <c r="K530" i="5"/>
  <c r="L530" i="5" s="1"/>
  <c r="K531" i="5"/>
  <c r="L531" i="5" s="1"/>
  <c r="K532" i="5"/>
  <c r="L532" i="5" s="1"/>
  <c r="K533" i="5"/>
  <c r="L533" i="5" s="1"/>
  <c r="K534" i="5"/>
  <c r="L534" i="5" s="1"/>
  <c r="K535" i="5"/>
  <c r="L535" i="5" s="1"/>
  <c r="K536" i="5"/>
  <c r="L536" i="5" s="1"/>
  <c r="K537" i="5"/>
  <c r="L537" i="5" s="1"/>
  <c r="K538" i="5"/>
  <c r="L538" i="5" s="1"/>
  <c r="K539" i="5"/>
  <c r="L539" i="5" s="1"/>
  <c r="K540" i="5"/>
  <c r="L540" i="5" s="1"/>
  <c r="K541" i="5"/>
  <c r="L541" i="5" s="1"/>
  <c r="K542" i="5"/>
  <c r="L542" i="5" s="1"/>
  <c r="K543" i="5"/>
  <c r="L543" i="5" s="1"/>
  <c r="K544" i="5"/>
  <c r="L544" i="5" s="1"/>
  <c r="K545" i="5"/>
  <c r="L545" i="5" s="1"/>
  <c r="K546" i="5"/>
  <c r="L546" i="5" s="1"/>
  <c r="K547" i="5"/>
  <c r="L547" i="5" s="1"/>
  <c r="K548" i="5"/>
  <c r="L548" i="5" s="1"/>
  <c r="K549" i="5"/>
  <c r="L549" i="5" s="1"/>
  <c r="K550" i="5"/>
  <c r="L550" i="5" s="1"/>
  <c r="K551" i="5"/>
  <c r="L551" i="5" s="1"/>
  <c r="K552" i="5"/>
  <c r="L552" i="5" s="1"/>
  <c r="K553" i="5"/>
  <c r="L553" i="5" s="1"/>
  <c r="K554" i="5"/>
  <c r="L554" i="5" s="1"/>
  <c r="K555" i="5"/>
  <c r="L555" i="5" s="1"/>
  <c r="K556" i="5"/>
  <c r="L556" i="5" s="1"/>
  <c r="K557" i="5"/>
  <c r="L557" i="5" s="1"/>
  <c r="K558" i="5"/>
  <c r="L558" i="5" s="1"/>
  <c r="K559" i="5"/>
  <c r="L559" i="5" s="1"/>
  <c r="M559" i="5" s="1"/>
  <c r="K560" i="5"/>
  <c r="L560" i="5" s="1"/>
  <c r="K561" i="5"/>
  <c r="L561" i="5" s="1"/>
  <c r="K562" i="5"/>
  <c r="L562" i="5" s="1"/>
  <c r="K563" i="5"/>
  <c r="L563" i="5" s="1"/>
  <c r="K564" i="5"/>
  <c r="L564" i="5" s="1"/>
  <c r="K565" i="5"/>
  <c r="L565" i="5" s="1"/>
  <c r="K566" i="5"/>
  <c r="L566" i="5" s="1"/>
  <c r="K567" i="5"/>
  <c r="L567" i="5" s="1"/>
  <c r="K568" i="5"/>
  <c r="L568" i="5" s="1"/>
  <c r="K569" i="5"/>
  <c r="L569" i="5" s="1"/>
  <c r="K570" i="5"/>
  <c r="L570" i="5" s="1"/>
  <c r="K571" i="5"/>
  <c r="L571" i="5" s="1"/>
  <c r="K572" i="5"/>
  <c r="L572" i="5" s="1"/>
  <c r="K573" i="5"/>
  <c r="L573" i="5" s="1"/>
  <c r="K574" i="5"/>
  <c r="L574" i="5" s="1"/>
  <c r="K575" i="5"/>
  <c r="L575" i="5" s="1"/>
  <c r="K576" i="5"/>
  <c r="L576" i="5" s="1"/>
  <c r="K577" i="5"/>
  <c r="L577" i="5" s="1"/>
  <c r="K578" i="5"/>
  <c r="L578" i="5" s="1"/>
  <c r="K579" i="5"/>
  <c r="L579" i="5" s="1"/>
  <c r="K580" i="5"/>
  <c r="L580" i="5" s="1"/>
  <c r="K581" i="5"/>
  <c r="L581" i="5" s="1"/>
  <c r="K582" i="5"/>
  <c r="L582" i="5" s="1"/>
  <c r="K583" i="5"/>
  <c r="L583" i="5" s="1"/>
  <c r="K584" i="5"/>
  <c r="L584" i="5" s="1"/>
  <c r="K585" i="5"/>
  <c r="L585" i="5" s="1"/>
  <c r="K586" i="5"/>
  <c r="L586" i="5" s="1"/>
  <c r="K587" i="5"/>
  <c r="L587" i="5" s="1"/>
  <c r="K588" i="5"/>
  <c r="L588" i="5" s="1"/>
  <c r="K589" i="5"/>
  <c r="L589" i="5" s="1"/>
  <c r="K590" i="5"/>
  <c r="L590" i="5" s="1"/>
  <c r="K591" i="5"/>
  <c r="L591" i="5" s="1"/>
  <c r="K592" i="5"/>
  <c r="L592" i="5" s="1"/>
  <c r="K593" i="5"/>
  <c r="L593" i="5" s="1"/>
  <c r="K594" i="5"/>
  <c r="L594" i="5" s="1"/>
  <c r="K595" i="5"/>
  <c r="L595" i="5" s="1"/>
  <c r="K596" i="5"/>
  <c r="L596" i="5" s="1"/>
  <c r="K597" i="5"/>
  <c r="L597" i="5" s="1"/>
  <c r="K598" i="5"/>
  <c r="L598" i="5" s="1"/>
  <c r="K599" i="5"/>
  <c r="L599" i="5" s="1"/>
  <c r="K600" i="5"/>
  <c r="L600" i="5" s="1"/>
  <c r="K601" i="5"/>
  <c r="L601" i="5" s="1"/>
  <c r="M601" i="5" s="1"/>
  <c r="K602" i="5"/>
  <c r="L602" i="5" s="1"/>
  <c r="M602" i="5" s="1"/>
  <c r="K603" i="5"/>
  <c r="L603" i="5" s="1"/>
  <c r="K604" i="5"/>
  <c r="L604" i="5" s="1"/>
  <c r="K605" i="5"/>
  <c r="L605" i="5" s="1"/>
  <c r="K606" i="5"/>
  <c r="L606" i="5" s="1"/>
  <c r="K607" i="5"/>
  <c r="L607" i="5" s="1"/>
  <c r="K608" i="5"/>
  <c r="L608" i="5" s="1"/>
  <c r="K609" i="5"/>
  <c r="L609" i="5" s="1"/>
  <c r="K610" i="5"/>
  <c r="L610" i="5" s="1"/>
  <c r="K611" i="5"/>
  <c r="L611" i="5" s="1"/>
  <c r="K612" i="5"/>
  <c r="L612" i="5" s="1"/>
  <c r="K613" i="5"/>
  <c r="L613" i="5" s="1"/>
  <c r="K614" i="5"/>
  <c r="L614" i="5" s="1"/>
  <c r="K615" i="5"/>
  <c r="L615" i="5" s="1"/>
  <c r="K616" i="5"/>
  <c r="L616" i="5" s="1"/>
  <c r="K617" i="5"/>
  <c r="L617" i="5" s="1"/>
  <c r="K618" i="5"/>
  <c r="L618" i="5" s="1"/>
  <c r="K619" i="5"/>
  <c r="L619" i="5" s="1"/>
  <c r="K620" i="5"/>
  <c r="L620" i="5" s="1"/>
  <c r="K621" i="5"/>
  <c r="L621" i="5" s="1"/>
  <c r="K622" i="5"/>
  <c r="L622" i="5" s="1"/>
  <c r="K623" i="5"/>
  <c r="L623" i="5" s="1"/>
  <c r="M623" i="5" s="1"/>
  <c r="K624" i="5"/>
  <c r="L624" i="5" s="1"/>
  <c r="K625" i="5"/>
  <c r="L625" i="5" s="1"/>
  <c r="K626" i="5"/>
  <c r="L626" i="5" s="1"/>
  <c r="K627" i="5"/>
  <c r="L627" i="5" s="1"/>
  <c r="K628" i="5"/>
  <c r="L628" i="5" s="1"/>
  <c r="K629" i="5"/>
  <c r="L629" i="5" s="1"/>
  <c r="K630" i="5"/>
  <c r="L630" i="5" s="1"/>
  <c r="K631" i="5"/>
  <c r="L631" i="5" s="1"/>
  <c r="K632" i="5"/>
  <c r="L632" i="5" s="1"/>
  <c r="K633" i="5"/>
  <c r="L633" i="5" s="1"/>
  <c r="K634" i="5"/>
  <c r="L634" i="5" s="1"/>
  <c r="K635" i="5"/>
  <c r="L635" i="5" s="1"/>
  <c r="K636" i="5"/>
  <c r="L636" i="5" s="1"/>
  <c r="K637" i="5"/>
  <c r="L637" i="5" s="1"/>
  <c r="K638" i="5"/>
  <c r="L638" i="5" s="1"/>
  <c r="K639" i="5"/>
  <c r="L639" i="5" s="1"/>
  <c r="K640" i="5"/>
  <c r="L640" i="5" s="1"/>
  <c r="K641" i="5"/>
  <c r="L641" i="5" s="1"/>
  <c r="K642" i="5"/>
  <c r="L642" i="5" s="1"/>
  <c r="K643" i="5"/>
  <c r="L643" i="5" s="1"/>
  <c r="K644" i="5"/>
  <c r="L644" i="5" s="1"/>
  <c r="K645" i="5"/>
  <c r="L645" i="5" s="1"/>
  <c r="K646" i="5"/>
  <c r="L646" i="5" s="1"/>
  <c r="K647" i="5"/>
  <c r="L647" i="5" s="1"/>
  <c r="K648" i="5"/>
  <c r="L648" i="5" s="1"/>
  <c r="K649" i="5"/>
  <c r="L649" i="5" s="1"/>
  <c r="K650" i="5"/>
  <c r="L650" i="5" s="1"/>
  <c r="K651" i="5"/>
  <c r="L651" i="5" s="1"/>
  <c r="K652" i="5"/>
  <c r="L652" i="5" s="1"/>
  <c r="K653" i="5"/>
  <c r="L653" i="5" s="1"/>
  <c r="K654" i="5"/>
  <c r="L654" i="5" s="1"/>
  <c r="K655" i="5"/>
  <c r="L655" i="5" s="1"/>
  <c r="K656" i="5"/>
  <c r="L656" i="5" s="1"/>
  <c r="K657" i="5"/>
  <c r="L657" i="5" s="1"/>
  <c r="K658" i="5"/>
  <c r="L658" i="5" s="1"/>
  <c r="K659" i="5"/>
  <c r="L659" i="5" s="1"/>
  <c r="K660" i="5"/>
  <c r="L660" i="5" s="1"/>
  <c r="K661" i="5"/>
  <c r="L661" i="5" s="1"/>
  <c r="K662" i="5"/>
  <c r="L662" i="5" s="1"/>
  <c r="K663" i="5"/>
  <c r="L663" i="5" s="1"/>
  <c r="K664" i="5"/>
  <c r="L664" i="5" s="1"/>
  <c r="K665" i="5"/>
  <c r="L665" i="5" s="1"/>
  <c r="M665" i="5" s="1"/>
  <c r="K666" i="5"/>
  <c r="L666" i="5" s="1"/>
  <c r="M666" i="5" s="1"/>
  <c r="K667" i="5"/>
  <c r="L667" i="5" s="1"/>
  <c r="K668" i="5"/>
  <c r="L668" i="5" s="1"/>
  <c r="K669" i="5"/>
  <c r="L669" i="5" s="1"/>
  <c r="K670" i="5"/>
  <c r="L670" i="5" s="1"/>
  <c r="K671" i="5"/>
  <c r="L671" i="5" s="1"/>
  <c r="K672" i="5"/>
  <c r="L672" i="5" s="1"/>
  <c r="K673" i="5"/>
  <c r="L673" i="5" s="1"/>
  <c r="K674" i="5"/>
  <c r="L674" i="5" s="1"/>
  <c r="K675" i="5"/>
  <c r="L675" i="5" s="1"/>
  <c r="K676" i="5"/>
  <c r="L676" i="5" s="1"/>
  <c r="K677" i="5"/>
  <c r="L677" i="5" s="1"/>
  <c r="K678" i="5"/>
  <c r="L678" i="5" s="1"/>
  <c r="K679" i="5"/>
  <c r="L679" i="5" s="1"/>
  <c r="K680" i="5"/>
  <c r="L680" i="5" s="1"/>
  <c r="K681" i="5"/>
  <c r="L681" i="5" s="1"/>
  <c r="K682" i="5"/>
  <c r="L682" i="5" s="1"/>
  <c r="K683" i="5"/>
  <c r="L683" i="5" s="1"/>
  <c r="M683" i="5" s="1"/>
  <c r="K684" i="5"/>
  <c r="L684" i="5" s="1"/>
  <c r="K685" i="5"/>
  <c r="L685" i="5" s="1"/>
  <c r="K686" i="5"/>
  <c r="L686" i="5" s="1"/>
  <c r="K687" i="5"/>
  <c r="L687" i="5" s="1"/>
  <c r="K688" i="5"/>
  <c r="L688" i="5" s="1"/>
  <c r="K689" i="5"/>
  <c r="L689" i="5" s="1"/>
  <c r="K690" i="5"/>
  <c r="L690" i="5" s="1"/>
  <c r="K691" i="5"/>
  <c r="L691" i="5" s="1"/>
  <c r="K692" i="5"/>
  <c r="L692" i="5" s="1"/>
  <c r="K693" i="5"/>
  <c r="L693" i="5" s="1"/>
  <c r="K694" i="5"/>
  <c r="L694" i="5" s="1"/>
  <c r="K695" i="5"/>
  <c r="L695" i="5" s="1"/>
  <c r="K696" i="5"/>
  <c r="L696" i="5" s="1"/>
  <c r="K697" i="5"/>
  <c r="L697" i="5" s="1"/>
  <c r="K698" i="5"/>
  <c r="L698" i="5" s="1"/>
  <c r="K699" i="5"/>
  <c r="L699" i="5" s="1"/>
  <c r="M699" i="5" s="1"/>
  <c r="K700" i="5"/>
  <c r="L700" i="5" s="1"/>
  <c r="K701" i="5"/>
  <c r="L701" i="5" s="1"/>
  <c r="K702" i="5"/>
  <c r="L702" i="5" s="1"/>
  <c r="K703" i="5"/>
  <c r="L703" i="5" s="1"/>
  <c r="K704" i="5"/>
  <c r="L704" i="5" s="1"/>
  <c r="K705" i="5"/>
  <c r="L705" i="5" s="1"/>
  <c r="K706" i="5"/>
  <c r="L706" i="5" s="1"/>
  <c r="K707" i="5"/>
  <c r="L707" i="5" s="1"/>
  <c r="K708" i="5"/>
  <c r="L708" i="5" s="1"/>
  <c r="K709" i="5"/>
  <c r="L709" i="5" s="1"/>
  <c r="K710" i="5"/>
  <c r="L710" i="5" s="1"/>
  <c r="K711" i="5"/>
  <c r="L711" i="5" s="1"/>
  <c r="K712" i="5"/>
  <c r="L712" i="5" s="1"/>
  <c r="K713" i="5"/>
  <c r="L713" i="5" s="1"/>
  <c r="K714" i="5"/>
  <c r="L714" i="5" s="1"/>
  <c r="K715" i="5"/>
  <c r="L715" i="5" s="1"/>
  <c r="M715" i="5" s="1"/>
  <c r="K716" i="5"/>
  <c r="L716" i="5" s="1"/>
  <c r="K717" i="5"/>
  <c r="L717" i="5" s="1"/>
  <c r="K718" i="5"/>
  <c r="L718" i="5" s="1"/>
  <c r="K719" i="5"/>
  <c r="L719" i="5" s="1"/>
  <c r="K720" i="5"/>
  <c r="L720" i="5" s="1"/>
  <c r="K721" i="5"/>
  <c r="L721" i="5" s="1"/>
  <c r="K722" i="5"/>
  <c r="L722" i="5" s="1"/>
  <c r="K723" i="5"/>
  <c r="L723" i="5" s="1"/>
  <c r="K724" i="5"/>
  <c r="L724" i="5" s="1"/>
  <c r="K725" i="5"/>
  <c r="L725" i="5" s="1"/>
  <c r="K726" i="5"/>
  <c r="L726" i="5" s="1"/>
  <c r="K727" i="5"/>
  <c r="L727" i="5" s="1"/>
  <c r="K728" i="5"/>
  <c r="L728" i="5" s="1"/>
  <c r="K729" i="5"/>
  <c r="L729" i="5" s="1"/>
  <c r="K730" i="5"/>
  <c r="L730" i="5" s="1"/>
  <c r="K731" i="5"/>
  <c r="L731" i="5" s="1"/>
  <c r="M731" i="5" s="1"/>
  <c r="K732" i="5"/>
  <c r="L732" i="5" s="1"/>
  <c r="K733" i="5"/>
  <c r="L733" i="5" s="1"/>
  <c r="K734" i="5"/>
  <c r="L734" i="5" s="1"/>
  <c r="K735" i="5"/>
  <c r="L735" i="5" s="1"/>
  <c r="K736" i="5"/>
  <c r="L736" i="5" s="1"/>
  <c r="K737" i="5"/>
  <c r="L737" i="5" s="1"/>
  <c r="K738" i="5"/>
  <c r="L738" i="5" s="1"/>
  <c r="K739" i="5"/>
  <c r="L739" i="5" s="1"/>
  <c r="K740" i="5"/>
  <c r="L740" i="5" s="1"/>
  <c r="K741" i="5"/>
  <c r="L741" i="5" s="1"/>
  <c r="K742" i="5"/>
  <c r="L742" i="5" s="1"/>
  <c r="K743" i="5"/>
  <c r="L743" i="5" s="1"/>
  <c r="K744" i="5"/>
  <c r="L744" i="5" s="1"/>
  <c r="K745" i="5"/>
  <c r="L745" i="5" s="1"/>
  <c r="K746" i="5"/>
  <c r="L746" i="5" s="1"/>
  <c r="K747" i="5"/>
  <c r="L747" i="5" s="1"/>
  <c r="M747" i="5" s="1"/>
  <c r="K748" i="5"/>
  <c r="L748" i="5" s="1"/>
  <c r="K749" i="5"/>
  <c r="L749" i="5" s="1"/>
  <c r="K750" i="5"/>
  <c r="L750" i="5" s="1"/>
  <c r="K751" i="5"/>
  <c r="L751" i="5" s="1"/>
  <c r="K752" i="5"/>
  <c r="L752" i="5" s="1"/>
  <c r="K753" i="5"/>
  <c r="L753" i="5" s="1"/>
  <c r="K754" i="5"/>
  <c r="L754" i="5" s="1"/>
  <c r="K755" i="5"/>
  <c r="L755" i="5" s="1"/>
  <c r="K756" i="5"/>
  <c r="L756" i="5" s="1"/>
  <c r="K757" i="5"/>
  <c r="L757" i="5" s="1"/>
  <c r="K758" i="5"/>
  <c r="L758" i="5" s="1"/>
  <c r="K759" i="5"/>
  <c r="L759" i="5" s="1"/>
  <c r="K760" i="5"/>
  <c r="L760" i="5" s="1"/>
  <c r="K761" i="5"/>
  <c r="L761" i="5" s="1"/>
  <c r="K762" i="5"/>
  <c r="L762" i="5" s="1"/>
  <c r="K763" i="5"/>
  <c r="L763" i="5" s="1"/>
  <c r="M763" i="5" s="1"/>
  <c r="K764" i="5"/>
  <c r="L764" i="5" s="1"/>
  <c r="K765" i="5"/>
  <c r="L765" i="5" s="1"/>
  <c r="K766" i="5"/>
  <c r="L766" i="5" s="1"/>
  <c r="K767" i="5"/>
  <c r="L767" i="5" s="1"/>
  <c r="K768" i="5"/>
  <c r="L768" i="5" s="1"/>
  <c r="K769" i="5"/>
  <c r="L769" i="5" s="1"/>
  <c r="K770" i="5"/>
  <c r="L770" i="5" s="1"/>
  <c r="K771" i="5"/>
  <c r="L771" i="5" s="1"/>
  <c r="K772" i="5"/>
  <c r="L772" i="5" s="1"/>
  <c r="K773" i="5"/>
  <c r="L773" i="5" s="1"/>
  <c r="K774" i="5"/>
  <c r="L774" i="5" s="1"/>
  <c r="K775" i="5"/>
  <c r="L775" i="5" s="1"/>
  <c r="K776" i="5"/>
  <c r="L776" i="5" s="1"/>
  <c r="K777" i="5"/>
  <c r="L777" i="5" s="1"/>
  <c r="K778" i="5"/>
  <c r="L778" i="5" s="1"/>
  <c r="K779" i="5"/>
  <c r="L779" i="5" s="1"/>
  <c r="K780" i="5"/>
  <c r="L780" i="5" s="1"/>
  <c r="K781" i="5"/>
  <c r="L781" i="5" s="1"/>
  <c r="K782" i="5"/>
  <c r="L782" i="5" s="1"/>
  <c r="K783" i="5"/>
  <c r="L783" i="5" s="1"/>
  <c r="K784" i="5"/>
  <c r="L784" i="5" s="1"/>
  <c r="K785" i="5"/>
  <c r="L785" i="5" s="1"/>
  <c r="K786" i="5"/>
  <c r="L786" i="5" s="1"/>
  <c r="K787" i="5"/>
  <c r="L787" i="5" s="1"/>
  <c r="K788" i="5"/>
  <c r="L788" i="5" s="1"/>
  <c r="K789" i="5"/>
  <c r="L789" i="5" s="1"/>
  <c r="K790" i="5"/>
  <c r="L790" i="5" s="1"/>
  <c r="K791" i="5"/>
  <c r="L791" i="5" s="1"/>
  <c r="K792" i="5"/>
  <c r="L792" i="5" s="1"/>
  <c r="K793" i="5"/>
  <c r="L793" i="5" s="1"/>
  <c r="K794" i="5"/>
  <c r="L794" i="5" s="1"/>
  <c r="K795" i="5"/>
  <c r="L795" i="5" s="1"/>
  <c r="K796" i="5"/>
  <c r="L796" i="5" s="1"/>
  <c r="K797" i="5"/>
  <c r="L797" i="5" s="1"/>
  <c r="K798" i="5"/>
  <c r="L798" i="5" s="1"/>
  <c r="K799" i="5"/>
  <c r="L799" i="5" s="1"/>
  <c r="K800" i="5"/>
  <c r="L800" i="5" s="1"/>
  <c r="K801" i="5"/>
  <c r="L801" i="5" s="1"/>
  <c r="K802" i="5"/>
  <c r="L802" i="5" s="1"/>
  <c r="K803" i="5"/>
  <c r="L803" i="5" s="1"/>
  <c r="K804" i="5"/>
  <c r="L804" i="5" s="1"/>
  <c r="K805" i="5"/>
  <c r="L805" i="5" s="1"/>
  <c r="K806" i="5"/>
  <c r="L806" i="5" s="1"/>
  <c r="K807" i="5"/>
  <c r="L807" i="5" s="1"/>
  <c r="K808" i="5"/>
  <c r="L808" i="5" s="1"/>
  <c r="K809" i="5"/>
  <c r="L809" i="5" s="1"/>
  <c r="K810" i="5"/>
  <c r="L810" i="5" s="1"/>
  <c r="K811" i="5"/>
  <c r="L811" i="5" s="1"/>
  <c r="K812" i="5"/>
  <c r="L812" i="5" s="1"/>
  <c r="K813" i="5"/>
  <c r="L813" i="5" s="1"/>
  <c r="K814" i="5"/>
  <c r="L814" i="5" s="1"/>
  <c r="K815" i="5"/>
  <c r="L815" i="5" s="1"/>
  <c r="K816" i="5"/>
  <c r="L816" i="5" s="1"/>
  <c r="K817" i="5"/>
  <c r="L817" i="5" s="1"/>
  <c r="K818" i="5"/>
  <c r="L818" i="5" s="1"/>
  <c r="K819" i="5"/>
  <c r="L819" i="5" s="1"/>
  <c r="K820" i="5"/>
  <c r="L820" i="5" s="1"/>
  <c r="K821" i="5"/>
  <c r="L821" i="5" s="1"/>
  <c r="K822" i="5"/>
  <c r="L822" i="5" s="1"/>
  <c r="K823" i="5"/>
  <c r="L823" i="5" s="1"/>
  <c r="K824" i="5"/>
  <c r="L824" i="5" s="1"/>
  <c r="K825" i="5"/>
  <c r="L825" i="5" s="1"/>
  <c r="K826" i="5"/>
  <c r="L826" i="5" s="1"/>
  <c r="K827" i="5"/>
  <c r="L827" i="5" s="1"/>
  <c r="K828" i="5"/>
  <c r="L828" i="5" s="1"/>
  <c r="K829" i="5"/>
  <c r="L829" i="5" s="1"/>
  <c r="K830" i="5"/>
  <c r="L830" i="5" s="1"/>
  <c r="K831" i="5"/>
  <c r="L831" i="5" s="1"/>
  <c r="K832" i="5"/>
  <c r="L832" i="5" s="1"/>
  <c r="K833" i="5"/>
  <c r="L833" i="5" s="1"/>
  <c r="K834" i="5"/>
  <c r="L834" i="5" s="1"/>
  <c r="K835" i="5"/>
  <c r="L835" i="5" s="1"/>
  <c r="K836" i="5"/>
  <c r="L836" i="5" s="1"/>
  <c r="K837" i="5"/>
  <c r="L837" i="5" s="1"/>
  <c r="K838" i="5"/>
  <c r="L838" i="5" s="1"/>
  <c r="K839" i="5"/>
  <c r="L839" i="5" s="1"/>
  <c r="K840" i="5"/>
  <c r="L840" i="5" s="1"/>
  <c r="K841" i="5"/>
  <c r="L841" i="5" s="1"/>
  <c r="K842" i="5"/>
  <c r="L842" i="5" s="1"/>
  <c r="K843" i="5"/>
  <c r="L843" i="5" s="1"/>
  <c r="M843" i="5" s="1"/>
  <c r="K844" i="5"/>
  <c r="L844" i="5" s="1"/>
  <c r="K845" i="5"/>
  <c r="L845" i="5" s="1"/>
  <c r="K846" i="5"/>
  <c r="L846" i="5" s="1"/>
  <c r="K847" i="5"/>
  <c r="L847" i="5" s="1"/>
  <c r="K848" i="5"/>
  <c r="L848" i="5" s="1"/>
  <c r="K849" i="5"/>
  <c r="L849" i="5" s="1"/>
  <c r="K850" i="5"/>
  <c r="L850" i="5" s="1"/>
  <c r="K851" i="5"/>
  <c r="L851" i="5" s="1"/>
  <c r="K852" i="5"/>
  <c r="L852" i="5" s="1"/>
  <c r="K853" i="5"/>
  <c r="L853" i="5" s="1"/>
  <c r="K854" i="5"/>
  <c r="L854" i="5" s="1"/>
  <c r="K855" i="5"/>
  <c r="L855" i="5" s="1"/>
  <c r="K856" i="5"/>
  <c r="L856" i="5" s="1"/>
  <c r="K857" i="5"/>
  <c r="L857" i="5" s="1"/>
  <c r="K858" i="5"/>
  <c r="L858" i="5" s="1"/>
  <c r="K859" i="5"/>
  <c r="L859" i="5" s="1"/>
  <c r="K860" i="5"/>
  <c r="L860" i="5" s="1"/>
  <c r="K861" i="5"/>
  <c r="L861" i="5" s="1"/>
  <c r="K862" i="5"/>
  <c r="L862" i="5" s="1"/>
  <c r="K863" i="5"/>
  <c r="L863" i="5" s="1"/>
  <c r="K864" i="5"/>
  <c r="L864" i="5" s="1"/>
  <c r="K865" i="5"/>
  <c r="L865" i="5" s="1"/>
  <c r="K866" i="5"/>
  <c r="L866" i="5" s="1"/>
  <c r="K867" i="5"/>
  <c r="L867" i="5" s="1"/>
  <c r="K868" i="5"/>
  <c r="L868" i="5" s="1"/>
  <c r="K869" i="5"/>
  <c r="L869" i="5" s="1"/>
  <c r="K870" i="5"/>
  <c r="L870" i="5" s="1"/>
  <c r="K871" i="5"/>
  <c r="L871" i="5" s="1"/>
  <c r="K872" i="5"/>
  <c r="L872" i="5" s="1"/>
  <c r="M872" i="5" s="1"/>
  <c r="K873" i="5"/>
  <c r="L873" i="5" s="1"/>
  <c r="K874" i="5"/>
  <c r="L874" i="5" s="1"/>
  <c r="K875" i="5"/>
  <c r="L875" i="5" s="1"/>
  <c r="K876" i="5"/>
  <c r="L876" i="5" s="1"/>
  <c r="K877" i="5"/>
  <c r="L877" i="5" s="1"/>
  <c r="K878" i="5"/>
  <c r="L878" i="5" s="1"/>
  <c r="K879" i="5"/>
  <c r="L879" i="5" s="1"/>
  <c r="M879" i="5" s="1"/>
  <c r="K880" i="5"/>
  <c r="L880" i="5" s="1"/>
  <c r="M880" i="5" s="1"/>
  <c r="K881" i="5"/>
  <c r="L881" i="5" s="1"/>
  <c r="M881" i="5" s="1"/>
  <c r="K882" i="5"/>
  <c r="L882" i="5" s="1"/>
  <c r="K883" i="5"/>
  <c r="L883" i="5" s="1"/>
  <c r="K884" i="5"/>
  <c r="L884" i="5" s="1"/>
  <c r="K885" i="5"/>
  <c r="L885" i="5" s="1"/>
  <c r="K886" i="5"/>
  <c r="L886" i="5" s="1"/>
  <c r="K887" i="5"/>
  <c r="L887" i="5" s="1"/>
  <c r="K888" i="5"/>
  <c r="L888" i="5" s="1"/>
  <c r="K889" i="5"/>
  <c r="L889" i="5" s="1"/>
  <c r="M889" i="5" s="1"/>
  <c r="K890" i="5"/>
  <c r="L890" i="5" s="1"/>
  <c r="K891" i="5"/>
  <c r="L891" i="5" s="1"/>
  <c r="K892" i="5"/>
  <c r="L892" i="5" s="1"/>
  <c r="K893" i="5"/>
  <c r="L893" i="5" s="1"/>
  <c r="K894" i="5"/>
  <c r="L894" i="5" s="1"/>
  <c r="K895" i="5"/>
  <c r="L895" i="5" s="1"/>
  <c r="K896" i="5"/>
  <c r="L896" i="5" s="1"/>
  <c r="K897" i="5"/>
  <c r="L897" i="5" s="1"/>
  <c r="M897" i="5" s="1"/>
  <c r="K898" i="5"/>
  <c r="L898" i="5" s="1"/>
  <c r="K899" i="5"/>
  <c r="L899" i="5" s="1"/>
  <c r="K900" i="5"/>
  <c r="L900" i="5" s="1"/>
  <c r="K901" i="5"/>
  <c r="L901" i="5" s="1"/>
  <c r="K902" i="5"/>
  <c r="L902" i="5" s="1"/>
  <c r="K903" i="5"/>
  <c r="L903" i="5" s="1"/>
  <c r="K904" i="5"/>
  <c r="L904" i="5" s="1"/>
  <c r="K905" i="5"/>
  <c r="L905" i="5" s="1"/>
  <c r="K906" i="5"/>
  <c r="L906" i="5" s="1"/>
  <c r="K907" i="5"/>
  <c r="L907" i="5" s="1"/>
  <c r="K908" i="5"/>
  <c r="L908" i="5" s="1"/>
  <c r="K909" i="5"/>
  <c r="L909" i="5" s="1"/>
  <c r="K910" i="5"/>
  <c r="L910" i="5" s="1"/>
  <c r="K911" i="5"/>
  <c r="L911" i="5" s="1"/>
  <c r="K912" i="5"/>
  <c r="L912" i="5" s="1"/>
  <c r="K913" i="5"/>
  <c r="L913" i="5" s="1"/>
  <c r="M913" i="5" s="1"/>
  <c r="K914" i="5"/>
  <c r="L914" i="5" s="1"/>
  <c r="K915" i="5"/>
  <c r="L915" i="5" s="1"/>
  <c r="K916" i="5"/>
  <c r="L916" i="5" s="1"/>
  <c r="K917" i="5"/>
  <c r="L917" i="5" s="1"/>
  <c r="K918" i="5"/>
  <c r="L918" i="5" s="1"/>
  <c r="K919" i="5"/>
  <c r="L919" i="5" s="1"/>
  <c r="K920" i="5"/>
  <c r="L920" i="5" s="1"/>
  <c r="K921" i="5"/>
  <c r="L921" i="5" s="1"/>
  <c r="K922" i="5"/>
  <c r="L922" i="5" s="1"/>
  <c r="K923" i="5"/>
  <c r="L923" i="5" s="1"/>
  <c r="K924" i="5"/>
  <c r="L924" i="5" s="1"/>
  <c r="K925" i="5"/>
  <c r="L925" i="5" s="1"/>
  <c r="K926" i="5"/>
  <c r="L926" i="5" s="1"/>
  <c r="K927" i="5"/>
  <c r="L927" i="5" s="1"/>
  <c r="M927" i="5" s="1"/>
  <c r="K928" i="5"/>
  <c r="L928" i="5" s="1"/>
  <c r="K929" i="5"/>
  <c r="L929" i="5" s="1"/>
  <c r="K930" i="5"/>
  <c r="L930" i="5" s="1"/>
  <c r="K931" i="5"/>
  <c r="L931" i="5" s="1"/>
  <c r="K932" i="5"/>
  <c r="L932" i="5" s="1"/>
  <c r="K933" i="5"/>
  <c r="L933" i="5" s="1"/>
  <c r="K934" i="5"/>
  <c r="L934" i="5" s="1"/>
  <c r="K935" i="5"/>
  <c r="L935" i="5" s="1"/>
  <c r="M935" i="5" s="1"/>
  <c r="K936" i="5"/>
  <c r="L936" i="5" s="1"/>
  <c r="M936" i="5" s="1"/>
  <c r="K937" i="5"/>
  <c r="L937" i="5" s="1"/>
  <c r="K938" i="5"/>
  <c r="L938" i="5" s="1"/>
  <c r="K939" i="5"/>
  <c r="L939" i="5" s="1"/>
  <c r="K940" i="5"/>
  <c r="L940" i="5" s="1"/>
  <c r="K941" i="5"/>
  <c r="L941" i="5" s="1"/>
  <c r="K942" i="5"/>
  <c r="L942" i="5" s="1"/>
  <c r="K943" i="5"/>
  <c r="L943" i="5" s="1"/>
  <c r="K944" i="5"/>
  <c r="L944" i="5" s="1"/>
  <c r="K945" i="5"/>
  <c r="L945" i="5" s="1"/>
  <c r="M945" i="5" s="1"/>
  <c r="K946" i="5"/>
  <c r="L946" i="5" s="1"/>
  <c r="K947" i="5"/>
  <c r="L947" i="5" s="1"/>
  <c r="K948" i="5"/>
  <c r="L948" i="5" s="1"/>
  <c r="K949" i="5"/>
  <c r="L949" i="5" s="1"/>
  <c r="K950" i="5"/>
  <c r="L950" i="5" s="1"/>
  <c r="K951" i="5"/>
  <c r="L951" i="5" s="1"/>
  <c r="K952" i="5"/>
  <c r="L952" i="5" s="1"/>
  <c r="M952" i="5" s="1"/>
  <c r="K953" i="5"/>
  <c r="L953" i="5" s="1"/>
  <c r="M953" i="5" s="1"/>
  <c r="K954" i="5"/>
  <c r="L954" i="5" s="1"/>
  <c r="K955" i="5"/>
  <c r="L955" i="5" s="1"/>
  <c r="K956" i="5"/>
  <c r="L956" i="5" s="1"/>
  <c r="K957" i="5"/>
  <c r="L957" i="5" s="1"/>
  <c r="K958" i="5"/>
  <c r="L958" i="5" s="1"/>
  <c r="K959" i="5"/>
  <c r="L959" i="5" s="1"/>
  <c r="K960" i="5"/>
  <c r="L960" i="5" s="1"/>
  <c r="K961" i="5"/>
  <c r="L961" i="5" s="1"/>
  <c r="M961" i="5" s="1"/>
  <c r="K962" i="5"/>
  <c r="L962" i="5" s="1"/>
  <c r="K963" i="5"/>
  <c r="L963" i="5" s="1"/>
  <c r="K964" i="5"/>
  <c r="L964" i="5" s="1"/>
  <c r="K965" i="5"/>
  <c r="L965" i="5" s="1"/>
  <c r="K966" i="5"/>
  <c r="L966" i="5" s="1"/>
  <c r="K967" i="5"/>
  <c r="L967" i="5" s="1"/>
  <c r="K968" i="5"/>
  <c r="L968" i="5" s="1"/>
  <c r="K969" i="5"/>
  <c r="L969" i="5" s="1"/>
  <c r="K970" i="5"/>
  <c r="L970" i="5" s="1"/>
  <c r="K971" i="5"/>
  <c r="L971" i="5" s="1"/>
  <c r="K972" i="5"/>
  <c r="L972" i="5" s="1"/>
  <c r="K973" i="5"/>
  <c r="L973" i="5" s="1"/>
  <c r="K974" i="5"/>
  <c r="L974" i="5" s="1"/>
  <c r="K975" i="5"/>
  <c r="L975" i="5" s="1"/>
  <c r="K976" i="5"/>
  <c r="L976" i="5" s="1"/>
  <c r="K977" i="5"/>
  <c r="L977" i="5" s="1"/>
  <c r="M977" i="5" s="1"/>
  <c r="K978" i="5"/>
  <c r="L978" i="5" s="1"/>
  <c r="K979" i="5"/>
  <c r="L979" i="5" s="1"/>
  <c r="K980" i="5"/>
  <c r="L980" i="5" s="1"/>
  <c r="K981" i="5"/>
  <c r="L981" i="5" s="1"/>
  <c r="K982" i="5"/>
  <c r="L982" i="5" s="1"/>
  <c r="K983" i="5"/>
  <c r="L983" i="5" s="1"/>
  <c r="K984" i="5"/>
  <c r="L984" i="5" s="1"/>
  <c r="K985" i="5"/>
  <c r="L985" i="5" s="1"/>
  <c r="K986" i="5"/>
  <c r="L986" i="5" s="1"/>
  <c r="K987" i="5"/>
  <c r="L987" i="5" s="1"/>
  <c r="K988" i="5"/>
  <c r="L988" i="5" s="1"/>
  <c r="K989" i="5"/>
  <c r="L989" i="5" s="1"/>
  <c r="K990" i="5"/>
  <c r="L990" i="5" s="1"/>
  <c r="K991" i="5"/>
  <c r="L991" i="5" s="1"/>
  <c r="M991" i="5" s="1"/>
  <c r="K992" i="5"/>
  <c r="L992" i="5" s="1"/>
  <c r="K993" i="5"/>
  <c r="L993" i="5" s="1"/>
  <c r="K994" i="5"/>
  <c r="L994" i="5" s="1"/>
  <c r="K995" i="5"/>
  <c r="L995" i="5" s="1"/>
  <c r="K996" i="5"/>
  <c r="L996" i="5" s="1"/>
  <c r="K997" i="5"/>
  <c r="L997" i="5" s="1"/>
  <c r="K998" i="5"/>
  <c r="L998" i="5" s="1"/>
  <c r="K999" i="5"/>
  <c r="L999" i="5" s="1"/>
  <c r="K1000" i="5"/>
  <c r="L1000" i="5" s="1"/>
  <c r="M1000" i="5" s="1"/>
  <c r="K1001" i="5"/>
  <c r="L1001" i="5" s="1"/>
  <c r="K1002" i="5"/>
  <c r="L1002" i="5" s="1"/>
  <c r="K1003" i="5"/>
  <c r="L1003" i="5" s="1"/>
  <c r="K1004" i="5"/>
  <c r="L1004" i="5" s="1"/>
  <c r="K1005" i="5"/>
  <c r="L1005" i="5" s="1"/>
  <c r="K1006" i="5"/>
  <c r="L1006" i="5" s="1"/>
  <c r="K1007" i="5"/>
  <c r="L1007" i="5" s="1"/>
  <c r="M1007" i="5" s="1"/>
  <c r="K1008" i="5"/>
  <c r="L1008" i="5" s="1"/>
  <c r="M1008" i="5" s="1"/>
  <c r="K1009" i="5"/>
  <c r="L1009" i="5" s="1"/>
  <c r="M1009" i="5" s="1"/>
  <c r="K1010" i="5"/>
  <c r="L1010" i="5" s="1"/>
  <c r="K1011" i="5"/>
  <c r="L1011" i="5" s="1"/>
  <c r="K1012" i="5"/>
  <c r="L1012" i="5" s="1"/>
  <c r="K1013" i="5"/>
  <c r="L1013" i="5" s="1"/>
  <c r="K1014" i="5"/>
  <c r="L1014" i="5" s="1"/>
  <c r="K1015" i="5"/>
  <c r="L1015" i="5" s="1"/>
  <c r="K1016" i="5"/>
  <c r="L1016" i="5" s="1"/>
  <c r="K1017" i="5"/>
  <c r="L1017" i="5" s="1"/>
  <c r="M1017" i="5" s="1"/>
  <c r="K1018" i="5"/>
  <c r="L1018" i="5" s="1"/>
  <c r="K1019" i="5"/>
  <c r="L1019" i="5" s="1"/>
  <c r="K1020" i="5"/>
  <c r="L1020" i="5" s="1"/>
  <c r="K1021" i="5"/>
  <c r="L1021" i="5" s="1"/>
  <c r="K1022" i="5"/>
  <c r="L1022" i="5" s="1"/>
  <c r="K1023" i="5"/>
  <c r="L1023" i="5" s="1"/>
  <c r="K1024" i="5"/>
  <c r="L1024" i="5" s="1"/>
  <c r="K1025" i="5"/>
  <c r="L1025" i="5" s="1"/>
  <c r="M1025" i="5" s="1"/>
  <c r="K1026" i="5"/>
  <c r="L1026" i="5" s="1"/>
  <c r="K1027" i="5"/>
  <c r="L1027" i="5" s="1"/>
  <c r="K1028" i="5"/>
  <c r="L1028" i="5" s="1"/>
  <c r="K1029" i="5"/>
  <c r="L1029" i="5" s="1"/>
  <c r="K1030" i="5"/>
  <c r="L1030" i="5" s="1"/>
  <c r="K1031" i="5"/>
  <c r="L1031" i="5" s="1"/>
  <c r="K1032" i="5"/>
  <c r="L1032" i="5" s="1"/>
  <c r="K1033" i="5"/>
  <c r="L1033" i="5" s="1"/>
  <c r="K1034" i="5"/>
  <c r="L1034" i="5" s="1"/>
  <c r="K1035" i="5"/>
  <c r="L1035" i="5" s="1"/>
  <c r="K1036" i="5"/>
  <c r="L1036" i="5" s="1"/>
  <c r="K1037" i="5"/>
  <c r="L1037" i="5" s="1"/>
  <c r="K1038" i="5"/>
  <c r="L1038" i="5" s="1"/>
  <c r="K1039" i="5"/>
  <c r="L1039" i="5" s="1"/>
  <c r="K1040" i="5"/>
  <c r="L1040" i="5" s="1"/>
  <c r="K1041" i="5"/>
  <c r="L1041" i="5" s="1"/>
  <c r="K1042" i="5"/>
  <c r="L1042" i="5" s="1"/>
  <c r="K1043" i="5"/>
  <c r="L1043" i="5" s="1"/>
  <c r="K1044" i="5"/>
  <c r="L1044" i="5" s="1"/>
  <c r="K1045" i="5"/>
  <c r="L1045" i="5" s="1"/>
  <c r="K1046" i="5"/>
  <c r="L1046" i="5" s="1"/>
  <c r="K1047" i="5"/>
  <c r="L1047" i="5" s="1"/>
  <c r="K1048" i="5"/>
  <c r="L1048" i="5" s="1"/>
  <c r="K1049" i="5"/>
  <c r="L1049" i="5" s="1"/>
  <c r="K1050" i="5"/>
  <c r="L1050" i="5" s="1"/>
  <c r="K1051" i="5"/>
  <c r="L1051" i="5" s="1"/>
  <c r="K1052" i="5"/>
  <c r="L1052" i="5" s="1"/>
  <c r="K1053" i="5"/>
  <c r="L1053" i="5" s="1"/>
  <c r="K1054" i="5"/>
  <c r="L1054" i="5" s="1"/>
  <c r="K1055" i="5"/>
  <c r="L1055" i="5" s="1"/>
  <c r="M1055" i="5" s="1"/>
  <c r="K1056" i="5"/>
  <c r="L1056" i="5" s="1"/>
  <c r="K1057" i="5"/>
  <c r="L1057" i="5" s="1"/>
  <c r="K1058" i="5"/>
  <c r="L1058" i="5" s="1"/>
  <c r="K1059" i="5"/>
  <c r="L1059" i="5" s="1"/>
  <c r="K1060" i="5"/>
  <c r="L1060" i="5" s="1"/>
  <c r="K1061" i="5"/>
  <c r="L1061" i="5" s="1"/>
  <c r="K1062" i="5"/>
  <c r="L1062" i="5" s="1"/>
  <c r="M1062" i="5" s="1"/>
  <c r="K1063" i="5"/>
  <c r="L1063" i="5" s="1"/>
  <c r="M1063" i="5" s="1"/>
  <c r="K1064" i="5"/>
  <c r="L1064" i="5" s="1"/>
  <c r="M1064" i="5" s="1"/>
  <c r="K1065" i="5"/>
  <c r="L1065" i="5" s="1"/>
  <c r="K1066" i="5"/>
  <c r="L1066" i="5" s="1"/>
  <c r="K1067" i="5"/>
  <c r="L1067" i="5" s="1"/>
  <c r="K1068" i="5"/>
  <c r="L1068" i="5" s="1"/>
  <c r="K1069" i="5"/>
  <c r="L1069" i="5" s="1"/>
  <c r="K1070" i="5"/>
  <c r="L1070" i="5" s="1"/>
  <c r="K1071" i="5"/>
  <c r="L1071" i="5" s="1"/>
  <c r="K1072" i="5"/>
  <c r="L1072" i="5" s="1"/>
  <c r="K1073" i="5"/>
  <c r="L1073" i="5" s="1"/>
  <c r="M1073" i="5" s="1"/>
  <c r="K1074" i="5"/>
  <c r="L1074" i="5" s="1"/>
  <c r="K1075" i="5"/>
  <c r="L1075" i="5" s="1"/>
  <c r="K1076" i="5"/>
  <c r="L1076" i="5" s="1"/>
  <c r="K1077" i="5"/>
  <c r="L1077" i="5" s="1"/>
  <c r="K1078" i="5"/>
  <c r="L1078" i="5" s="1"/>
  <c r="K1079" i="5"/>
  <c r="L1079" i="5" s="1"/>
  <c r="K1080" i="5"/>
  <c r="L1080" i="5" s="1"/>
  <c r="M1080" i="5" s="1"/>
  <c r="K1081" i="5"/>
  <c r="L1081" i="5" s="1"/>
  <c r="M1081" i="5" s="1"/>
  <c r="K1082" i="5"/>
  <c r="L1082" i="5" s="1"/>
  <c r="K1083" i="5"/>
  <c r="L1083" i="5" s="1"/>
  <c r="K1084" i="5"/>
  <c r="L1084" i="5" s="1"/>
  <c r="K1085" i="5"/>
  <c r="L1085" i="5" s="1"/>
  <c r="K1086" i="5"/>
  <c r="L1086" i="5" s="1"/>
  <c r="K1087" i="5"/>
  <c r="L1087" i="5" s="1"/>
  <c r="K1088" i="5"/>
  <c r="L1088" i="5" s="1"/>
  <c r="K1089" i="5"/>
  <c r="L1089" i="5" s="1"/>
  <c r="K1090" i="5"/>
  <c r="L1090" i="5" s="1"/>
  <c r="K1091" i="5"/>
  <c r="L1091" i="5" s="1"/>
  <c r="K1092" i="5"/>
  <c r="L1092" i="5" s="1"/>
  <c r="K1093" i="5"/>
  <c r="L1093" i="5" s="1"/>
  <c r="K2" i="5"/>
  <c r="L2" i="5" s="1"/>
  <c r="M2" i="5" s="1"/>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2" i="5"/>
  <c r="A16" i="6"/>
  <c r="C1093" i="5"/>
  <c r="C1092" i="5"/>
  <c r="C1091" i="5"/>
  <c r="C1090" i="5"/>
  <c r="C1089" i="5"/>
  <c r="C1088" i="5"/>
  <c r="C1087" i="5"/>
  <c r="C1086" i="5"/>
  <c r="C1085" i="5"/>
  <c r="C1084" i="5"/>
  <c r="C1083" i="5"/>
  <c r="C1082" i="5"/>
  <c r="C1081" i="5"/>
  <c r="C1080" i="5"/>
  <c r="C1079" i="5"/>
  <c r="C1078" i="5"/>
  <c r="C1077" i="5"/>
  <c r="C1076" i="5"/>
  <c r="C1075" i="5"/>
  <c r="C1074" i="5"/>
  <c r="C1073" i="5"/>
  <c r="C1072" i="5"/>
  <c r="C1071" i="5"/>
  <c r="C1070" i="5"/>
  <c r="C1069" i="5"/>
  <c r="C1068" i="5"/>
  <c r="C1067" i="5"/>
  <c r="C1066" i="5"/>
  <c r="C1065" i="5"/>
  <c r="C1064" i="5"/>
  <c r="C1063" i="5"/>
  <c r="C1062" i="5"/>
  <c r="C1061" i="5"/>
  <c r="C1060" i="5"/>
  <c r="C1059" i="5"/>
  <c r="C1058" i="5"/>
  <c r="C1057" i="5"/>
  <c r="C1056" i="5"/>
  <c r="C1055" i="5"/>
  <c r="C1054" i="5"/>
  <c r="C1053" i="5"/>
  <c r="C1052" i="5"/>
  <c r="C1051" i="5"/>
  <c r="C1050" i="5"/>
  <c r="C1049" i="5"/>
  <c r="C1048" i="5"/>
  <c r="C1047" i="5"/>
  <c r="C1046" i="5"/>
  <c r="C1045" i="5"/>
  <c r="C1044" i="5"/>
  <c r="C1043" i="5"/>
  <c r="C1042" i="5"/>
  <c r="C1041" i="5"/>
  <c r="C1040" i="5"/>
  <c r="C1039" i="5"/>
  <c r="C1038" i="5"/>
  <c r="C1037" i="5"/>
  <c r="C1036" i="5"/>
  <c r="C1035" i="5"/>
  <c r="C1034" i="5"/>
  <c r="C1033" i="5"/>
  <c r="C1032" i="5"/>
  <c r="C1031" i="5"/>
  <c r="C1030" i="5"/>
  <c r="C1029" i="5"/>
  <c r="C1028" i="5"/>
  <c r="C1027" i="5"/>
  <c r="C1026" i="5"/>
  <c r="C1025" i="5"/>
  <c r="C1024" i="5"/>
  <c r="C1023" i="5"/>
  <c r="C1022" i="5"/>
  <c r="C1021" i="5"/>
  <c r="C1020" i="5"/>
  <c r="C1019" i="5"/>
  <c r="C1018" i="5"/>
  <c r="C1017" i="5"/>
  <c r="C1016" i="5"/>
  <c r="C1015" i="5"/>
  <c r="C1014" i="5"/>
  <c r="C1013" i="5"/>
  <c r="C1012" i="5"/>
  <c r="C1011" i="5"/>
  <c r="C1010" i="5"/>
  <c r="C1009" i="5"/>
  <c r="C1008" i="5"/>
  <c r="C1007" i="5"/>
  <c r="C1006" i="5"/>
  <c r="C1005" i="5"/>
  <c r="C1004" i="5"/>
  <c r="C1003" i="5"/>
  <c r="C1002" i="5"/>
  <c r="C1001" i="5"/>
  <c r="C1000" i="5"/>
  <c r="C999" i="5"/>
  <c r="C998" i="5"/>
  <c r="C997" i="5"/>
  <c r="C996" i="5"/>
  <c r="C995" i="5"/>
  <c r="C994" i="5"/>
  <c r="C993" i="5"/>
  <c r="C992" i="5"/>
  <c r="C991" i="5"/>
  <c r="C990" i="5"/>
  <c r="C989" i="5"/>
  <c r="C988" i="5"/>
  <c r="C987" i="5"/>
  <c r="C986" i="5"/>
  <c r="C985" i="5"/>
  <c r="C984" i="5"/>
  <c r="C983" i="5"/>
  <c r="C982" i="5"/>
  <c r="C981" i="5"/>
  <c r="C980" i="5"/>
  <c r="C979" i="5"/>
  <c r="C978" i="5"/>
  <c r="C977" i="5"/>
  <c r="C976" i="5"/>
  <c r="C975" i="5"/>
  <c r="C974" i="5"/>
  <c r="C973" i="5"/>
  <c r="C972" i="5"/>
  <c r="C971" i="5"/>
  <c r="C970" i="5"/>
  <c r="C969" i="5"/>
  <c r="C968" i="5"/>
  <c r="C967" i="5"/>
  <c r="C966" i="5"/>
  <c r="C965" i="5"/>
  <c r="C964" i="5"/>
  <c r="C963" i="5"/>
  <c r="C962" i="5"/>
  <c r="C961" i="5"/>
  <c r="C960" i="5"/>
  <c r="C959" i="5"/>
  <c r="C958" i="5"/>
  <c r="C957" i="5"/>
  <c r="C956" i="5"/>
  <c r="C955" i="5"/>
  <c r="C954" i="5"/>
  <c r="C953" i="5"/>
  <c r="C952" i="5"/>
  <c r="C951" i="5"/>
  <c r="C950" i="5"/>
  <c r="C949" i="5"/>
  <c r="C948" i="5"/>
  <c r="C947" i="5"/>
  <c r="C946" i="5"/>
  <c r="C945" i="5"/>
  <c r="C944" i="5"/>
  <c r="C943" i="5"/>
  <c r="C942" i="5"/>
  <c r="C941" i="5"/>
  <c r="C940" i="5"/>
  <c r="C939" i="5"/>
  <c r="C938" i="5"/>
  <c r="C937" i="5"/>
  <c r="C936" i="5"/>
  <c r="C935" i="5"/>
  <c r="C934" i="5"/>
  <c r="C933" i="5"/>
  <c r="C932" i="5"/>
  <c r="C931" i="5"/>
  <c r="C930" i="5"/>
  <c r="C929" i="5"/>
  <c r="C928" i="5"/>
  <c r="C927" i="5"/>
  <c r="C926" i="5"/>
  <c r="C925" i="5"/>
  <c r="C924" i="5"/>
  <c r="C923" i="5"/>
  <c r="C922" i="5"/>
  <c r="C921" i="5"/>
  <c r="C920" i="5"/>
  <c r="C919" i="5"/>
  <c r="C918" i="5"/>
  <c r="C917" i="5"/>
  <c r="C916" i="5"/>
  <c r="C915" i="5"/>
  <c r="C914" i="5"/>
  <c r="C913" i="5"/>
  <c r="C912" i="5"/>
  <c r="C911" i="5"/>
  <c r="C910" i="5"/>
  <c r="C909" i="5"/>
  <c r="C908" i="5"/>
  <c r="C907" i="5"/>
  <c r="C906" i="5"/>
  <c r="C905" i="5"/>
  <c r="C904" i="5"/>
  <c r="C903" i="5"/>
  <c r="C902" i="5"/>
  <c r="C901" i="5"/>
  <c r="C900" i="5"/>
  <c r="C899" i="5"/>
  <c r="C898" i="5"/>
  <c r="C897" i="5"/>
  <c r="C896" i="5"/>
  <c r="C895" i="5"/>
  <c r="C894" i="5"/>
  <c r="C893" i="5"/>
  <c r="C892" i="5"/>
  <c r="C891" i="5"/>
  <c r="C890" i="5"/>
  <c r="C889" i="5"/>
  <c r="C888" i="5"/>
  <c r="C887" i="5"/>
  <c r="C886" i="5"/>
  <c r="C885" i="5"/>
  <c r="C884" i="5"/>
  <c r="C883" i="5"/>
  <c r="C882" i="5"/>
  <c r="C881" i="5"/>
  <c r="C880" i="5"/>
  <c r="C879" i="5"/>
  <c r="C878" i="5"/>
  <c r="C877" i="5"/>
  <c r="C876" i="5"/>
  <c r="C875" i="5"/>
  <c r="C874" i="5"/>
  <c r="C873" i="5"/>
  <c r="C872" i="5"/>
  <c r="C871" i="5"/>
  <c r="C870" i="5"/>
  <c r="C869" i="5"/>
  <c r="C868" i="5"/>
  <c r="C867" i="5"/>
  <c r="C866" i="5"/>
  <c r="C865" i="5"/>
  <c r="C864" i="5"/>
  <c r="C863" i="5"/>
  <c r="C862" i="5"/>
  <c r="C861" i="5"/>
  <c r="C860" i="5"/>
  <c r="C859" i="5"/>
  <c r="C858" i="5"/>
  <c r="C857" i="5"/>
  <c r="C856" i="5"/>
  <c r="C855" i="5"/>
  <c r="C854" i="5"/>
  <c r="C853" i="5"/>
  <c r="C852" i="5"/>
  <c r="C851" i="5"/>
  <c r="C850" i="5"/>
  <c r="C849" i="5"/>
  <c r="C848" i="5"/>
  <c r="C847" i="5"/>
  <c r="C846" i="5"/>
  <c r="C845" i="5"/>
  <c r="C844" i="5"/>
  <c r="C843" i="5"/>
  <c r="C842" i="5"/>
  <c r="C841" i="5"/>
  <c r="C840" i="5"/>
  <c r="C839" i="5"/>
  <c r="C838" i="5"/>
  <c r="C837" i="5"/>
  <c r="C836" i="5"/>
  <c r="C835" i="5"/>
  <c r="C834" i="5"/>
  <c r="C833" i="5"/>
  <c r="C832" i="5"/>
  <c r="C831" i="5"/>
  <c r="C830" i="5"/>
  <c r="C829" i="5"/>
  <c r="C828" i="5"/>
  <c r="C827" i="5"/>
  <c r="C826" i="5"/>
  <c r="C825" i="5"/>
  <c r="C824" i="5"/>
  <c r="C823" i="5"/>
  <c r="C822" i="5"/>
  <c r="C821" i="5"/>
  <c r="C820" i="5"/>
  <c r="C819" i="5"/>
  <c r="C818" i="5"/>
  <c r="C817" i="5"/>
  <c r="C816" i="5"/>
  <c r="C815" i="5"/>
  <c r="C814" i="5"/>
  <c r="C813" i="5"/>
  <c r="C812" i="5"/>
  <c r="C811" i="5"/>
  <c r="C810" i="5"/>
  <c r="C809" i="5"/>
  <c r="C808" i="5"/>
  <c r="C807" i="5"/>
  <c r="C806" i="5"/>
  <c r="C805" i="5"/>
  <c r="C804" i="5"/>
  <c r="C803" i="5"/>
  <c r="C802" i="5"/>
  <c r="C801" i="5"/>
  <c r="C800" i="5"/>
  <c r="C799" i="5"/>
  <c r="C798" i="5"/>
  <c r="C797" i="5"/>
  <c r="C796" i="5"/>
  <c r="C795" i="5"/>
  <c r="C794" i="5"/>
  <c r="C793" i="5"/>
  <c r="C792" i="5"/>
  <c r="C791" i="5"/>
  <c r="C790" i="5"/>
  <c r="C789" i="5"/>
  <c r="C788" i="5"/>
  <c r="C787" i="5"/>
  <c r="C786" i="5"/>
  <c r="C785" i="5"/>
  <c r="C784" i="5"/>
  <c r="C783" i="5"/>
  <c r="C782" i="5"/>
  <c r="C781" i="5"/>
  <c r="C780" i="5"/>
  <c r="C779" i="5"/>
  <c r="C778" i="5"/>
  <c r="C777" i="5"/>
  <c r="C776" i="5"/>
  <c r="C775" i="5"/>
  <c r="C774" i="5"/>
  <c r="C773" i="5"/>
  <c r="C772" i="5"/>
  <c r="C771" i="5"/>
  <c r="C770" i="5"/>
  <c r="C769" i="5"/>
  <c r="C768" i="5"/>
  <c r="C767" i="5"/>
  <c r="C766" i="5"/>
  <c r="C765" i="5"/>
  <c r="C764" i="5"/>
  <c r="C763" i="5"/>
  <c r="C762" i="5"/>
  <c r="C761" i="5"/>
  <c r="C760" i="5"/>
  <c r="C759" i="5"/>
  <c r="C758" i="5"/>
  <c r="C757" i="5"/>
  <c r="C756" i="5"/>
  <c r="C755" i="5"/>
  <c r="C754" i="5"/>
  <c r="C753" i="5"/>
  <c r="C752" i="5"/>
  <c r="C751" i="5"/>
  <c r="C750" i="5"/>
  <c r="C749" i="5"/>
  <c r="C748" i="5"/>
  <c r="C747" i="5"/>
  <c r="C746" i="5"/>
  <c r="C745" i="5"/>
  <c r="C744" i="5"/>
  <c r="C743" i="5"/>
  <c r="C742" i="5"/>
  <c r="C741" i="5"/>
  <c r="C740" i="5"/>
  <c r="C739" i="5"/>
  <c r="C738" i="5"/>
  <c r="C737" i="5"/>
  <c r="C736" i="5"/>
  <c r="C735" i="5"/>
  <c r="C734" i="5"/>
  <c r="C733" i="5"/>
  <c r="C732" i="5"/>
  <c r="C731" i="5"/>
  <c r="C730" i="5"/>
  <c r="C729" i="5"/>
  <c r="C728" i="5"/>
  <c r="C727" i="5"/>
  <c r="C726" i="5"/>
  <c r="C725" i="5"/>
  <c r="C724" i="5"/>
  <c r="C723" i="5"/>
  <c r="C722" i="5"/>
  <c r="C721" i="5"/>
  <c r="C720" i="5"/>
  <c r="C719" i="5"/>
  <c r="C718" i="5"/>
  <c r="C717" i="5"/>
  <c r="C716" i="5"/>
  <c r="C715" i="5"/>
  <c r="C714" i="5"/>
  <c r="C713" i="5"/>
  <c r="C712" i="5"/>
  <c r="C711" i="5"/>
  <c r="C710" i="5"/>
  <c r="C709" i="5"/>
  <c r="C708" i="5"/>
  <c r="C707" i="5"/>
  <c r="C706" i="5"/>
  <c r="C705" i="5"/>
  <c r="C704" i="5"/>
  <c r="C703" i="5"/>
  <c r="C702" i="5"/>
  <c r="C701" i="5"/>
  <c r="C700" i="5"/>
  <c r="C699" i="5"/>
  <c r="C698" i="5"/>
  <c r="C697" i="5"/>
  <c r="C696" i="5"/>
  <c r="C695" i="5"/>
  <c r="C694" i="5"/>
  <c r="C693" i="5"/>
  <c r="C692" i="5"/>
  <c r="C691" i="5"/>
  <c r="C690" i="5"/>
  <c r="C689" i="5"/>
  <c r="C688" i="5"/>
  <c r="C687" i="5"/>
  <c r="C686" i="5"/>
  <c r="C685" i="5"/>
  <c r="C684" i="5"/>
  <c r="C683" i="5"/>
  <c r="C682" i="5"/>
  <c r="C681" i="5"/>
  <c r="C680" i="5"/>
  <c r="C679" i="5"/>
  <c r="C678" i="5"/>
  <c r="C677" i="5"/>
  <c r="C676" i="5"/>
  <c r="C675" i="5"/>
  <c r="C674" i="5"/>
  <c r="C673" i="5"/>
  <c r="C672" i="5"/>
  <c r="C671" i="5"/>
  <c r="C670" i="5"/>
  <c r="C669" i="5"/>
  <c r="C668" i="5"/>
  <c r="C667" i="5"/>
  <c r="C666" i="5"/>
  <c r="C665" i="5"/>
  <c r="C664" i="5"/>
  <c r="C663" i="5"/>
  <c r="C662" i="5"/>
  <c r="C661" i="5"/>
  <c r="C660" i="5"/>
  <c r="C659" i="5"/>
  <c r="C658" i="5"/>
  <c r="C657" i="5"/>
  <c r="C656" i="5"/>
  <c r="C655" i="5"/>
  <c r="C654" i="5"/>
  <c r="C653" i="5"/>
  <c r="C652" i="5"/>
  <c r="C651" i="5"/>
  <c r="C650" i="5"/>
  <c r="C649" i="5"/>
  <c r="C648" i="5"/>
  <c r="C647" i="5"/>
  <c r="C646" i="5"/>
  <c r="C645" i="5"/>
  <c r="C644" i="5"/>
  <c r="C643" i="5"/>
  <c r="C642" i="5"/>
  <c r="C641" i="5"/>
  <c r="C640" i="5"/>
  <c r="C639" i="5"/>
  <c r="C638" i="5"/>
  <c r="C637" i="5"/>
  <c r="C636" i="5"/>
  <c r="C635" i="5"/>
  <c r="C634" i="5"/>
  <c r="C633" i="5"/>
  <c r="C632" i="5"/>
  <c r="C631" i="5"/>
  <c r="C630" i="5"/>
  <c r="C629" i="5"/>
  <c r="C628" i="5"/>
  <c r="C627" i="5"/>
  <c r="C626" i="5"/>
  <c r="C625" i="5"/>
  <c r="C624" i="5"/>
  <c r="C623" i="5"/>
  <c r="C622" i="5"/>
  <c r="C621" i="5"/>
  <c r="C620" i="5"/>
  <c r="C619" i="5"/>
  <c r="C618" i="5"/>
  <c r="C617" i="5"/>
  <c r="C616" i="5"/>
  <c r="C615" i="5"/>
  <c r="C614" i="5"/>
  <c r="C613" i="5"/>
  <c r="C612" i="5"/>
  <c r="C611" i="5"/>
  <c r="C610" i="5"/>
  <c r="C609" i="5"/>
  <c r="C608" i="5"/>
  <c r="C607" i="5"/>
  <c r="C606" i="5"/>
  <c r="C605" i="5"/>
  <c r="C604" i="5"/>
  <c r="C603" i="5"/>
  <c r="C602" i="5"/>
  <c r="C601" i="5"/>
  <c r="C600" i="5"/>
  <c r="C599" i="5"/>
  <c r="C598" i="5"/>
  <c r="C597" i="5"/>
  <c r="C596" i="5"/>
  <c r="C595" i="5"/>
  <c r="C594" i="5"/>
  <c r="C593" i="5"/>
  <c r="C592" i="5"/>
  <c r="C591" i="5"/>
  <c r="C590" i="5"/>
  <c r="C589" i="5"/>
  <c r="C588" i="5"/>
  <c r="C587" i="5"/>
  <c r="C586" i="5"/>
  <c r="C585" i="5"/>
  <c r="C584" i="5"/>
  <c r="C583" i="5"/>
  <c r="C582" i="5"/>
  <c r="C581" i="5"/>
  <c r="C580" i="5"/>
  <c r="C579" i="5"/>
  <c r="C578" i="5"/>
  <c r="C577" i="5"/>
  <c r="C576" i="5"/>
  <c r="C575" i="5"/>
  <c r="C574" i="5"/>
  <c r="C573" i="5"/>
  <c r="C572" i="5"/>
  <c r="C571" i="5"/>
  <c r="C570" i="5"/>
  <c r="C569" i="5"/>
  <c r="C568" i="5"/>
  <c r="C567" i="5"/>
  <c r="C566" i="5"/>
  <c r="C565" i="5"/>
  <c r="C564" i="5"/>
  <c r="C563" i="5"/>
  <c r="C562" i="5"/>
  <c r="C561" i="5"/>
  <c r="C560" i="5"/>
  <c r="C559" i="5"/>
  <c r="C558" i="5"/>
  <c r="C557" i="5"/>
  <c r="C556" i="5"/>
  <c r="C555" i="5"/>
  <c r="C554" i="5"/>
  <c r="C553" i="5"/>
  <c r="C552" i="5"/>
  <c r="C551" i="5"/>
  <c r="C550" i="5"/>
  <c r="C549" i="5"/>
  <c r="C548" i="5"/>
  <c r="C547" i="5"/>
  <c r="C546" i="5"/>
  <c r="C545" i="5"/>
  <c r="C544" i="5"/>
  <c r="C543" i="5"/>
  <c r="C542" i="5"/>
  <c r="C541" i="5"/>
  <c r="C540" i="5"/>
  <c r="C539" i="5"/>
  <c r="C538" i="5"/>
  <c r="C537" i="5"/>
  <c r="C536" i="5"/>
  <c r="C535" i="5"/>
  <c r="C534" i="5"/>
  <c r="C533" i="5"/>
  <c r="C532" i="5"/>
  <c r="C531" i="5"/>
  <c r="C530" i="5"/>
  <c r="C529" i="5"/>
  <c r="C528" i="5"/>
  <c r="C527" i="5"/>
  <c r="C526" i="5"/>
  <c r="C525" i="5"/>
  <c r="C524" i="5"/>
  <c r="C523" i="5"/>
  <c r="C522" i="5"/>
  <c r="C521" i="5"/>
  <c r="C520" i="5"/>
  <c r="C519" i="5"/>
  <c r="C518" i="5"/>
  <c r="C517" i="5"/>
  <c r="C516" i="5"/>
  <c r="C515" i="5"/>
  <c r="C514" i="5"/>
  <c r="C513" i="5"/>
  <c r="C512" i="5"/>
  <c r="C511" i="5"/>
  <c r="C510" i="5"/>
  <c r="C509" i="5"/>
  <c r="C508" i="5"/>
  <c r="C507" i="5"/>
  <c r="C506" i="5"/>
  <c r="C505" i="5"/>
  <c r="C504" i="5"/>
  <c r="C503" i="5"/>
  <c r="C502" i="5"/>
  <c r="C501" i="5"/>
  <c r="C500" i="5"/>
  <c r="C499" i="5"/>
  <c r="C498" i="5"/>
  <c r="C497" i="5"/>
  <c r="C496" i="5"/>
  <c r="C495" i="5"/>
  <c r="C494" i="5"/>
  <c r="C493" i="5"/>
  <c r="C492" i="5"/>
  <c r="C491" i="5"/>
  <c r="C490" i="5"/>
  <c r="C489" i="5"/>
  <c r="C488" i="5"/>
  <c r="C487" i="5"/>
  <c r="C486" i="5"/>
  <c r="C485" i="5"/>
  <c r="C484" i="5"/>
  <c r="C483" i="5"/>
  <c r="C482" i="5"/>
  <c r="C481" i="5"/>
  <c r="C480" i="5"/>
  <c r="C479" i="5"/>
  <c r="C478" i="5"/>
  <c r="C477" i="5"/>
  <c r="C476" i="5"/>
  <c r="C475" i="5"/>
  <c r="C474" i="5"/>
  <c r="C473" i="5"/>
  <c r="C472" i="5"/>
  <c r="C471" i="5"/>
  <c r="C470" i="5"/>
  <c r="C469" i="5"/>
  <c r="C468" i="5"/>
  <c r="C467" i="5"/>
  <c r="C466" i="5"/>
  <c r="C465" i="5"/>
  <c r="C464" i="5"/>
  <c r="C463" i="5"/>
  <c r="C462" i="5"/>
  <c r="C461" i="5"/>
  <c r="C460" i="5"/>
  <c r="C459" i="5"/>
  <c r="C458" i="5"/>
  <c r="C457" i="5"/>
  <c r="C456" i="5"/>
  <c r="C455" i="5"/>
  <c r="C454" i="5"/>
  <c r="C453" i="5"/>
  <c r="C452" i="5"/>
  <c r="C451" i="5"/>
  <c r="C450" i="5"/>
  <c r="C449" i="5"/>
  <c r="C448" i="5"/>
  <c r="C447" i="5"/>
  <c r="C446" i="5"/>
  <c r="C445" i="5"/>
  <c r="C444" i="5"/>
  <c r="C443" i="5"/>
  <c r="C442" i="5"/>
  <c r="C441" i="5"/>
  <c r="C440" i="5"/>
  <c r="C439" i="5"/>
  <c r="C438" i="5"/>
  <c r="C437" i="5"/>
  <c r="C436" i="5"/>
  <c r="C435" i="5"/>
  <c r="C434" i="5"/>
  <c r="C433" i="5"/>
  <c r="C432" i="5"/>
  <c r="C431" i="5"/>
  <c r="C430" i="5"/>
  <c r="C429" i="5"/>
  <c r="C428" i="5"/>
  <c r="C427" i="5"/>
  <c r="C426" i="5"/>
  <c r="C425" i="5"/>
  <c r="C424" i="5"/>
  <c r="C423" i="5"/>
  <c r="C422" i="5"/>
  <c r="C421" i="5"/>
  <c r="C420" i="5"/>
  <c r="C419" i="5"/>
  <c r="C418" i="5"/>
  <c r="C417" i="5"/>
  <c r="C416" i="5"/>
  <c r="C415" i="5"/>
  <c r="C414" i="5"/>
  <c r="C413" i="5"/>
  <c r="C412" i="5"/>
  <c r="C411" i="5"/>
  <c r="C410" i="5"/>
  <c r="C409" i="5"/>
  <c r="C408" i="5"/>
  <c r="C407" i="5"/>
  <c r="C406" i="5"/>
  <c r="C405" i="5"/>
  <c r="C404" i="5"/>
  <c r="C403" i="5"/>
  <c r="C402" i="5"/>
  <c r="C401" i="5"/>
  <c r="C400" i="5"/>
  <c r="C399" i="5"/>
  <c r="C398" i="5"/>
  <c r="C397" i="5"/>
  <c r="C396" i="5"/>
  <c r="C395" i="5"/>
  <c r="C394" i="5"/>
  <c r="C393" i="5"/>
  <c r="C392" i="5"/>
  <c r="C391" i="5"/>
  <c r="C390" i="5"/>
  <c r="C389" i="5"/>
  <c r="C388" i="5"/>
  <c r="C387" i="5"/>
  <c r="C386" i="5"/>
  <c r="C385" i="5"/>
  <c r="C384" i="5"/>
  <c r="C383" i="5"/>
  <c r="C382" i="5"/>
  <c r="C381" i="5"/>
  <c r="C380" i="5"/>
  <c r="C379" i="5"/>
  <c r="C378" i="5"/>
  <c r="C377" i="5"/>
  <c r="C376" i="5"/>
  <c r="C375" i="5"/>
  <c r="C374" i="5"/>
  <c r="C373" i="5"/>
  <c r="C372" i="5"/>
  <c r="C371" i="5"/>
  <c r="C370" i="5"/>
  <c r="C369" i="5"/>
  <c r="C368" i="5"/>
  <c r="C367" i="5"/>
  <c r="C366" i="5"/>
  <c r="C365" i="5"/>
  <c r="C364" i="5"/>
  <c r="C363" i="5"/>
  <c r="C362" i="5"/>
  <c r="C361" i="5"/>
  <c r="C360" i="5"/>
  <c r="C359" i="5"/>
  <c r="C358" i="5"/>
  <c r="C357" i="5"/>
  <c r="C356" i="5"/>
  <c r="C355" i="5"/>
  <c r="C354" i="5"/>
  <c r="C353" i="5"/>
  <c r="C352" i="5"/>
  <c r="C351" i="5"/>
  <c r="C350" i="5"/>
  <c r="C349" i="5"/>
  <c r="C348" i="5"/>
  <c r="C347" i="5"/>
  <c r="C346" i="5"/>
  <c r="C345" i="5"/>
  <c r="C344" i="5"/>
  <c r="C343" i="5"/>
  <c r="C342" i="5"/>
  <c r="C341" i="5"/>
  <c r="C340" i="5"/>
  <c r="C339" i="5"/>
  <c r="C338" i="5"/>
  <c r="C337" i="5"/>
  <c r="C336" i="5"/>
  <c r="C335" i="5"/>
  <c r="C334" i="5"/>
  <c r="C333" i="5"/>
  <c r="C332" i="5"/>
  <c r="C331" i="5"/>
  <c r="C330" i="5"/>
  <c r="C329" i="5"/>
  <c r="C328" i="5"/>
  <c r="C327" i="5"/>
  <c r="C326" i="5"/>
  <c r="C325" i="5"/>
  <c r="C324" i="5"/>
  <c r="C323" i="5"/>
  <c r="C322" i="5"/>
  <c r="C321" i="5"/>
  <c r="C320" i="5"/>
  <c r="C319" i="5"/>
  <c r="C318" i="5"/>
  <c r="C317" i="5"/>
  <c r="C316" i="5"/>
  <c r="C315" i="5"/>
  <c r="C314" i="5"/>
  <c r="C313" i="5"/>
  <c r="C312" i="5"/>
  <c r="C311" i="5"/>
  <c r="C310" i="5"/>
  <c r="C309" i="5"/>
  <c r="C308" i="5"/>
  <c r="C307" i="5"/>
  <c r="C306" i="5"/>
  <c r="C305" i="5"/>
  <c r="C304" i="5"/>
  <c r="C303" i="5"/>
  <c r="C302" i="5"/>
  <c r="C301" i="5"/>
  <c r="C300" i="5"/>
  <c r="C299" i="5"/>
  <c r="C298" i="5"/>
  <c r="C297" i="5"/>
  <c r="C296" i="5"/>
  <c r="C295" i="5"/>
  <c r="C294" i="5"/>
  <c r="C293" i="5"/>
  <c r="C292" i="5"/>
  <c r="C291" i="5"/>
  <c r="C290" i="5"/>
  <c r="C289" i="5"/>
  <c r="C288" i="5"/>
  <c r="C287" i="5"/>
  <c r="C286" i="5"/>
  <c r="C285" i="5"/>
  <c r="C284" i="5"/>
  <c r="C283" i="5"/>
  <c r="C282" i="5"/>
  <c r="C281" i="5"/>
  <c r="C280" i="5"/>
  <c r="C279" i="5"/>
  <c r="C278" i="5"/>
  <c r="C277" i="5"/>
  <c r="C276" i="5"/>
  <c r="C275" i="5"/>
  <c r="C274" i="5"/>
  <c r="C273" i="5"/>
  <c r="C272" i="5"/>
  <c r="C271" i="5"/>
  <c r="C270" i="5"/>
  <c r="C269" i="5"/>
  <c r="C268" i="5"/>
  <c r="C267" i="5"/>
  <c r="C266" i="5"/>
  <c r="C265" i="5"/>
  <c r="C264" i="5"/>
  <c r="C263" i="5"/>
  <c r="C262" i="5"/>
  <c r="C261" i="5"/>
  <c r="C260" i="5"/>
  <c r="C259" i="5"/>
  <c r="C258" i="5"/>
  <c r="C257" i="5"/>
  <c r="C256" i="5"/>
  <c r="C255" i="5"/>
  <c r="C254" i="5"/>
  <c r="C253" i="5"/>
  <c r="C252" i="5"/>
  <c r="C251" i="5"/>
  <c r="C250" i="5"/>
  <c r="C249" i="5"/>
  <c r="C248" i="5"/>
  <c r="C247" i="5"/>
  <c r="C246" i="5"/>
  <c r="C245" i="5"/>
  <c r="C244" i="5"/>
  <c r="C243" i="5"/>
  <c r="C242" i="5"/>
  <c r="C241" i="5"/>
  <c r="C240" i="5"/>
  <c r="C239" i="5"/>
  <c r="C238" i="5"/>
  <c r="C237" i="5"/>
  <c r="C236" i="5"/>
  <c r="C235" i="5"/>
  <c r="C234" i="5"/>
  <c r="C233" i="5"/>
  <c r="C232" i="5"/>
  <c r="C231" i="5"/>
  <c r="C230" i="5"/>
  <c r="C229" i="5"/>
  <c r="C228" i="5"/>
  <c r="C227" i="5"/>
  <c r="C226" i="5"/>
  <c r="C225" i="5"/>
  <c r="C224" i="5"/>
  <c r="C223" i="5"/>
  <c r="C222" i="5"/>
  <c r="C221" i="5"/>
  <c r="C220" i="5"/>
  <c r="C219" i="5"/>
  <c r="C218" i="5"/>
  <c r="C217" i="5"/>
  <c r="C216" i="5"/>
  <c r="C215" i="5"/>
  <c r="C214" i="5"/>
  <c r="C213" i="5"/>
  <c r="C212" i="5"/>
  <c r="C211" i="5"/>
  <c r="C210" i="5"/>
  <c r="C209" i="5"/>
  <c r="C208" i="5"/>
  <c r="C207" i="5"/>
  <c r="C206" i="5"/>
  <c r="C205" i="5"/>
  <c r="C204" i="5"/>
  <c r="C203" i="5"/>
  <c r="C202" i="5"/>
  <c r="C201" i="5"/>
  <c r="C200" i="5"/>
  <c r="C199" i="5"/>
  <c r="C198" i="5"/>
  <c r="C197" i="5"/>
  <c r="C196" i="5"/>
  <c r="C195" i="5"/>
  <c r="C194" i="5"/>
  <c r="C193" i="5"/>
  <c r="C192" i="5"/>
  <c r="C191" i="5"/>
  <c r="C190" i="5"/>
  <c r="C189" i="5"/>
  <c r="C188" i="5"/>
  <c r="C187" i="5"/>
  <c r="C186" i="5"/>
  <c r="C185" i="5"/>
  <c r="C184" i="5"/>
  <c r="C183" i="5"/>
  <c r="C182" i="5"/>
  <c r="C181" i="5"/>
  <c r="C180" i="5"/>
  <c r="C179" i="5"/>
  <c r="C178" i="5"/>
  <c r="C177" i="5"/>
  <c r="C176" i="5"/>
  <c r="C175" i="5"/>
  <c r="C174" i="5"/>
  <c r="C173" i="5"/>
  <c r="C172" i="5"/>
  <c r="C171" i="5"/>
  <c r="C170" i="5"/>
  <c r="C169" i="5"/>
  <c r="C168" i="5"/>
  <c r="C167" i="5"/>
  <c r="C166" i="5"/>
  <c r="C165" i="5"/>
  <c r="C164" i="5"/>
  <c r="C163" i="5"/>
  <c r="C162" i="5"/>
  <c r="C161" i="5"/>
  <c r="C160" i="5"/>
  <c r="C159" i="5"/>
  <c r="C158" i="5"/>
  <c r="C157" i="5"/>
  <c r="C156" i="5"/>
  <c r="C155" i="5"/>
  <c r="C154" i="5"/>
  <c r="C153" i="5"/>
  <c r="C152" i="5"/>
  <c r="C151" i="5"/>
  <c r="C150" i="5"/>
  <c r="C149" i="5"/>
  <c r="C148" i="5"/>
  <c r="C147" i="5"/>
  <c r="C146" i="5"/>
  <c r="C145" i="5"/>
  <c r="C144" i="5"/>
  <c r="C143" i="5"/>
  <c r="C142" i="5"/>
  <c r="C141" i="5"/>
  <c r="C140" i="5"/>
  <c r="C139" i="5"/>
  <c r="C138" i="5"/>
  <c r="C137" i="5"/>
  <c r="C136" i="5"/>
  <c r="C135" i="5"/>
  <c r="C134" i="5"/>
  <c r="C133" i="5"/>
  <c r="C132" i="5"/>
  <c r="C131" i="5"/>
  <c r="C130" i="5"/>
  <c r="C129" i="5"/>
  <c r="C128" i="5"/>
  <c r="C127" i="5"/>
  <c r="C126" i="5"/>
  <c r="C125" i="5"/>
  <c r="C124" i="5"/>
  <c r="C123" i="5"/>
  <c r="C122" i="5"/>
  <c r="C121" i="5"/>
  <c r="C120" i="5"/>
  <c r="C119" i="5"/>
  <c r="C118" i="5"/>
  <c r="C117" i="5"/>
  <c r="C116" i="5"/>
  <c r="C115" i="5"/>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E30" i="3"/>
  <c r="F11" i="3"/>
  <c r="F10" i="3"/>
  <c r="F9" i="3"/>
  <c r="F8" i="3"/>
  <c r="F7" i="3"/>
  <c r="G7" i="3" s="1"/>
  <c r="F6" i="3"/>
  <c r="G6" i="3" s="1"/>
  <c r="F5" i="3"/>
  <c r="G5" i="3" s="1"/>
  <c r="F4" i="3"/>
  <c r="F3" i="3"/>
  <c r="F12" i="3" s="1"/>
  <c r="N945" i="5" l="1"/>
  <c r="N683" i="5"/>
  <c r="N303" i="5"/>
  <c r="N1064" i="5"/>
  <c r="N936" i="5"/>
  <c r="N602" i="5"/>
  <c r="N258" i="5"/>
  <c r="N1063" i="5"/>
  <c r="N897" i="5"/>
  <c r="N601" i="5"/>
  <c r="N239" i="5"/>
  <c r="N1025" i="5"/>
  <c r="N881" i="5"/>
  <c r="N559" i="5"/>
  <c r="N175" i="5"/>
  <c r="N1009" i="5"/>
  <c r="N880" i="5"/>
  <c r="N514" i="5"/>
  <c r="N130" i="5"/>
  <c r="N991" i="5"/>
  <c r="N879" i="5"/>
  <c r="N495" i="5"/>
  <c r="N111" i="5"/>
  <c r="N953" i="5"/>
  <c r="N747" i="5"/>
  <c r="N431" i="5"/>
  <c r="N66" i="5"/>
  <c r="N952" i="5"/>
  <c r="N715" i="5"/>
  <c r="N367" i="5"/>
  <c r="N47" i="5"/>
  <c r="M988" i="5"/>
  <c r="N988" i="5" s="1"/>
  <c r="M980" i="5"/>
  <c r="N980" i="5" s="1"/>
  <c r="M956" i="5"/>
  <c r="N956" i="5" s="1"/>
  <c r="M948" i="5"/>
  <c r="N948" i="5" s="1"/>
  <c r="M924" i="5"/>
  <c r="N924" i="5" s="1"/>
  <c r="M916" i="5"/>
  <c r="N916" i="5" s="1"/>
  <c r="M892" i="5"/>
  <c r="N892" i="5" s="1"/>
  <c r="M884" i="5"/>
  <c r="N884" i="5" s="1"/>
  <c r="M860" i="5"/>
  <c r="N860" i="5" s="1"/>
  <c r="M844" i="5"/>
  <c r="N844" i="5" s="1"/>
  <c r="M828" i="5"/>
  <c r="N828" i="5" s="1"/>
  <c r="M812" i="5"/>
  <c r="N812" i="5" s="1"/>
  <c r="M796" i="5"/>
  <c r="N796" i="5" s="1"/>
  <c r="M780" i="5"/>
  <c r="N780" i="5" s="1"/>
  <c r="M764" i="5"/>
  <c r="N764" i="5" s="1"/>
  <c r="M748" i="5"/>
  <c r="N748" i="5" s="1"/>
  <c r="M732" i="5"/>
  <c r="N732" i="5" s="1"/>
  <c r="M716" i="5"/>
  <c r="N716" i="5" s="1"/>
  <c r="M700" i="5"/>
  <c r="N700" i="5" s="1"/>
  <c r="M684" i="5"/>
  <c r="N684" i="5" s="1"/>
  <c r="M979" i="5"/>
  <c r="N979" i="5" s="1"/>
  <c r="M947" i="5"/>
  <c r="N947" i="5" s="1"/>
  <c r="M915" i="5"/>
  <c r="N915" i="5" s="1"/>
  <c r="M883" i="5"/>
  <c r="N883" i="5" s="1"/>
  <c r="M859" i="5"/>
  <c r="N859" i="5" s="1"/>
  <c r="M827" i="5"/>
  <c r="N827" i="5" s="1"/>
  <c r="M811" i="5"/>
  <c r="N811" i="5" s="1"/>
  <c r="M795" i="5"/>
  <c r="N795" i="5" s="1"/>
  <c r="M604" i="5"/>
  <c r="N604" i="5" s="1"/>
  <c r="N1062" i="5"/>
  <c r="M644" i="5"/>
  <c r="N644" i="5" s="1"/>
  <c r="N843" i="5"/>
  <c r="M1086" i="5"/>
  <c r="N1086" i="5" s="1"/>
  <c r="M1078" i="5"/>
  <c r="N1078" i="5" s="1"/>
  <c r="M1070" i="5"/>
  <c r="N1070" i="5" s="1"/>
  <c r="M1054" i="5"/>
  <c r="N1054" i="5" s="1"/>
  <c r="M1046" i="5"/>
  <c r="N1046" i="5" s="1"/>
  <c r="M1038" i="5"/>
  <c r="N1038" i="5" s="1"/>
  <c r="M1030" i="5"/>
  <c r="N1030" i="5" s="1"/>
  <c r="M1022" i="5"/>
  <c r="N1022" i="5" s="1"/>
  <c r="M1014" i="5"/>
  <c r="N1014" i="5" s="1"/>
  <c r="M1006" i="5"/>
  <c r="N1006" i="5" s="1"/>
  <c r="M998" i="5"/>
  <c r="N998" i="5" s="1"/>
  <c r="M978" i="5"/>
  <c r="N978" i="5" s="1"/>
  <c r="M970" i="5"/>
  <c r="N970" i="5" s="1"/>
  <c r="M946" i="5"/>
  <c r="N946" i="5" s="1"/>
  <c r="M938" i="5"/>
  <c r="N938" i="5" s="1"/>
  <c r="M914" i="5"/>
  <c r="N914" i="5" s="1"/>
  <c r="M906" i="5"/>
  <c r="N906" i="5" s="1"/>
  <c r="M882" i="5"/>
  <c r="N882" i="5" s="1"/>
  <c r="M874" i="5"/>
  <c r="N874" i="5" s="1"/>
  <c r="M858" i="5"/>
  <c r="N858" i="5" s="1"/>
  <c r="M842" i="5"/>
  <c r="N842" i="5" s="1"/>
  <c r="M826" i="5"/>
  <c r="N826" i="5" s="1"/>
  <c r="M810" i="5"/>
  <c r="N810" i="5" s="1"/>
  <c r="M794" i="5"/>
  <c r="N794" i="5" s="1"/>
  <c r="M778" i="5"/>
  <c r="N778" i="5" s="1"/>
  <c r="M762" i="5"/>
  <c r="N762" i="5" s="1"/>
  <c r="M746" i="5"/>
  <c r="N746" i="5" s="1"/>
  <c r="M730" i="5"/>
  <c r="N730" i="5" s="1"/>
  <c r="M714" i="5"/>
  <c r="N714" i="5" s="1"/>
  <c r="M698" i="5"/>
  <c r="N698" i="5" s="1"/>
  <c r="M682" i="5"/>
  <c r="N682" i="5" s="1"/>
  <c r="M626" i="5"/>
  <c r="N626" i="5" s="1"/>
  <c r="M578" i="5"/>
  <c r="N578" i="5" s="1"/>
  <c r="M546" i="5"/>
  <c r="N546" i="5" s="1"/>
  <c r="M482" i="5"/>
  <c r="N482" i="5" s="1"/>
  <c r="M450" i="5"/>
  <c r="N450" i="5" s="1"/>
  <c r="M418" i="5"/>
  <c r="N418" i="5" s="1"/>
  <c r="M354" i="5"/>
  <c r="N354" i="5" s="1"/>
  <c r="M322" i="5"/>
  <c r="N322" i="5" s="1"/>
  <c r="M290" i="5"/>
  <c r="N290" i="5" s="1"/>
  <c r="M226" i="5"/>
  <c r="N226" i="5" s="1"/>
  <c r="M194" i="5"/>
  <c r="N194" i="5" s="1"/>
  <c r="N1055" i="5"/>
  <c r="N872" i="5"/>
  <c r="N666" i="5"/>
  <c r="M1089" i="5"/>
  <c r="N1089" i="5" s="1"/>
  <c r="M1065" i="5"/>
  <c r="N1065" i="5" s="1"/>
  <c r="M1057" i="5"/>
  <c r="N1057" i="5" s="1"/>
  <c r="M1049" i="5"/>
  <c r="N1049" i="5" s="1"/>
  <c r="M1041" i="5"/>
  <c r="N1041" i="5" s="1"/>
  <c r="M1033" i="5"/>
  <c r="N1033" i="5" s="1"/>
  <c r="M1088" i="5"/>
  <c r="N1088" i="5" s="1"/>
  <c r="M1072" i="5"/>
  <c r="N1072" i="5" s="1"/>
  <c r="M1056" i="5"/>
  <c r="N1056" i="5" s="1"/>
  <c r="M1048" i="5"/>
  <c r="N1048" i="5" s="1"/>
  <c r="M1040" i="5"/>
  <c r="N1040" i="5" s="1"/>
  <c r="M1032" i="5"/>
  <c r="N1032" i="5" s="1"/>
  <c r="M1024" i="5"/>
  <c r="N1024" i="5" s="1"/>
  <c r="M1016" i="5"/>
  <c r="N1016" i="5" s="1"/>
  <c r="M992" i="5"/>
  <c r="N992" i="5" s="1"/>
  <c r="M984" i="5"/>
  <c r="N984" i="5" s="1"/>
  <c r="M976" i="5"/>
  <c r="N976" i="5" s="1"/>
  <c r="M968" i="5"/>
  <c r="N968" i="5" s="1"/>
  <c r="M960" i="5"/>
  <c r="N960" i="5" s="1"/>
  <c r="M944" i="5"/>
  <c r="N944" i="5" s="1"/>
  <c r="M928" i="5"/>
  <c r="N928" i="5" s="1"/>
  <c r="M920" i="5"/>
  <c r="N920" i="5" s="1"/>
  <c r="M912" i="5"/>
  <c r="N912" i="5" s="1"/>
  <c r="M904" i="5"/>
  <c r="N904" i="5" s="1"/>
  <c r="M896" i="5"/>
  <c r="N896" i="5" s="1"/>
  <c r="M888" i="5"/>
  <c r="N888" i="5" s="1"/>
  <c r="M672" i="5"/>
  <c r="N672" i="5" s="1"/>
  <c r="M664" i="5"/>
  <c r="N664" i="5" s="1"/>
  <c r="M656" i="5"/>
  <c r="N656" i="5" s="1"/>
  <c r="M648" i="5"/>
  <c r="N648" i="5" s="1"/>
  <c r="M624" i="5"/>
  <c r="N624" i="5" s="1"/>
  <c r="M616" i="5"/>
  <c r="N616" i="5" s="1"/>
  <c r="N1081" i="5"/>
  <c r="N1008" i="5"/>
  <c r="N935" i="5"/>
  <c r="M1087" i="5"/>
  <c r="N1087" i="5" s="1"/>
  <c r="M1079" i="5"/>
  <c r="N1079" i="5" s="1"/>
  <c r="M1071" i="5"/>
  <c r="N1071" i="5" s="1"/>
  <c r="M1047" i="5"/>
  <c r="N1047" i="5" s="1"/>
  <c r="M1039" i="5"/>
  <c r="N1039" i="5" s="1"/>
  <c r="M1031" i="5"/>
  <c r="N1031" i="5" s="1"/>
  <c r="M1023" i="5"/>
  <c r="N1023" i="5" s="1"/>
  <c r="M1015" i="5"/>
  <c r="N1015" i="5" s="1"/>
  <c r="M999" i="5"/>
  <c r="N999" i="5" s="1"/>
  <c r="M983" i="5"/>
  <c r="N983" i="5" s="1"/>
  <c r="M975" i="5"/>
  <c r="N975" i="5" s="1"/>
  <c r="M967" i="5"/>
  <c r="N967" i="5" s="1"/>
  <c r="M959" i="5"/>
  <c r="N959" i="5" s="1"/>
  <c r="M951" i="5"/>
  <c r="N951" i="5" s="1"/>
  <c r="M943" i="5"/>
  <c r="N943" i="5" s="1"/>
  <c r="M919" i="5"/>
  <c r="N919" i="5" s="1"/>
  <c r="M911" i="5"/>
  <c r="N911" i="5" s="1"/>
  <c r="M903" i="5"/>
  <c r="N903" i="5" s="1"/>
  <c r="M895" i="5"/>
  <c r="N895" i="5" s="1"/>
  <c r="M887" i="5"/>
  <c r="N887" i="5" s="1"/>
  <c r="M871" i="5"/>
  <c r="N871" i="5" s="1"/>
  <c r="M663" i="5"/>
  <c r="N663" i="5" s="1"/>
  <c r="M655" i="5"/>
  <c r="N655" i="5" s="1"/>
  <c r="M647" i="5"/>
  <c r="N647" i="5" s="1"/>
  <c r="M615" i="5"/>
  <c r="N615" i="5" s="1"/>
  <c r="M591" i="5"/>
  <c r="N591" i="5" s="1"/>
  <c r="M575" i="5"/>
  <c r="N575" i="5" s="1"/>
  <c r="N1080" i="5"/>
  <c r="N1007" i="5"/>
  <c r="N386" i="5"/>
  <c r="N1073" i="5"/>
  <c r="N1000" i="5"/>
  <c r="N927" i="5"/>
  <c r="N623" i="5"/>
  <c r="M779" i="5"/>
  <c r="N779" i="5" s="1"/>
  <c r="M603" i="5"/>
  <c r="N603" i="5" s="1"/>
  <c r="N913" i="5"/>
  <c r="N463" i="5"/>
  <c r="N335" i="5"/>
  <c r="N207" i="5"/>
  <c r="N79" i="5"/>
  <c r="M1001" i="5"/>
  <c r="N1001" i="5" s="1"/>
  <c r="M993" i="5"/>
  <c r="N993" i="5" s="1"/>
  <c r="M985" i="5"/>
  <c r="N985" i="5" s="1"/>
  <c r="M969" i="5"/>
  <c r="N969" i="5" s="1"/>
  <c r="M937" i="5"/>
  <c r="N937" i="5" s="1"/>
  <c r="M929" i="5"/>
  <c r="N929" i="5" s="1"/>
  <c r="M921" i="5"/>
  <c r="N921" i="5" s="1"/>
  <c r="M905" i="5"/>
  <c r="N905" i="5" s="1"/>
  <c r="M873" i="5"/>
  <c r="N873" i="5" s="1"/>
  <c r="M865" i="5"/>
  <c r="N865" i="5" s="1"/>
  <c r="M857" i="5"/>
  <c r="N857" i="5" s="1"/>
  <c r="M849" i="5"/>
  <c r="N849" i="5" s="1"/>
  <c r="M841" i="5"/>
  <c r="N841" i="5" s="1"/>
  <c r="M833" i="5"/>
  <c r="N833" i="5" s="1"/>
  <c r="M825" i="5"/>
  <c r="N825" i="5" s="1"/>
  <c r="M817" i="5"/>
  <c r="N817" i="5" s="1"/>
  <c r="M809" i="5"/>
  <c r="N809" i="5" s="1"/>
  <c r="M801" i="5"/>
  <c r="N801" i="5" s="1"/>
  <c r="M793" i="5"/>
  <c r="N793" i="5" s="1"/>
  <c r="M785" i="5"/>
  <c r="N785" i="5" s="1"/>
  <c r="M777" i="5"/>
  <c r="N777" i="5" s="1"/>
  <c r="M769" i="5"/>
  <c r="N769" i="5" s="1"/>
  <c r="M761" i="5"/>
  <c r="N761" i="5" s="1"/>
  <c r="M753" i="5"/>
  <c r="N753" i="5" s="1"/>
  <c r="M745" i="5"/>
  <c r="N745" i="5" s="1"/>
  <c r="M737" i="5"/>
  <c r="N737" i="5" s="1"/>
  <c r="M729" i="5"/>
  <c r="N729" i="5" s="1"/>
  <c r="M721" i="5"/>
  <c r="N721" i="5" s="1"/>
  <c r="M713" i="5"/>
  <c r="N713" i="5" s="1"/>
  <c r="M705" i="5"/>
  <c r="N705" i="5" s="1"/>
  <c r="M697" i="5"/>
  <c r="N697" i="5" s="1"/>
  <c r="M689" i="5"/>
  <c r="N689" i="5" s="1"/>
  <c r="M681" i="5"/>
  <c r="N681" i="5" s="1"/>
  <c r="M673" i="5"/>
  <c r="N673" i="5" s="1"/>
  <c r="M657" i="5"/>
  <c r="N657" i="5" s="1"/>
  <c r="M633" i="5"/>
  <c r="N633" i="5" s="1"/>
  <c r="M625" i="5"/>
  <c r="N625" i="5" s="1"/>
  <c r="M593" i="5"/>
  <c r="N593" i="5" s="1"/>
  <c r="M577" i="5"/>
  <c r="N577" i="5" s="1"/>
  <c r="M561" i="5"/>
  <c r="N561" i="5" s="1"/>
  <c r="M545" i="5"/>
  <c r="N545" i="5" s="1"/>
  <c r="M529" i="5"/>
  <c r="N529" i="5" s="1"/>
  <c r="M513" i="5"/>
  <c r="N513" i="5" s="1"/>
  <c r="M497" i="5"/>
  <c r="N497" i="5" s="1"/>
  <c r="M481" i="5"/>
  <c r="N481" i="5" s="1"/>
  <c r="M465" i="5"/>
  <c r="N465" i="5" s="1"/>
  <c r="M449" i="5"/>
  <c r="N449" i="5" s="1"/>
  <c r="M433" i="5"/>
  <c r="N433" i="5" s="1"/>
  <c r="M417" i="5"/>
  <c r="N417" i="5" s="1"/>
  <c r="M401" i="5"/>
  <c r="N401" i="5" s="1"/>
  <c r="M385" i="5"/>
  <c r="N385" i="5" s="1"/>
  <c r="M369" i="5"/>
  <c r="N369" i="5" s="1"/>
  <c r="M353" i="5"/>
  <c r="N353" i="5" s="1"/>
  <c r="M337" i="5"/>
  <c r="N337" i="5" s="1"/>
  <c r="M321" i="5"/>
  <c r="N321" i="5" s="1"/>
  <c r="M305" i="5"/>
  <c r="N305" i="5" s="1"/>
  <c r="M289" i="5"/>
  <c r="N289" i="5" s="1"/>
  <c r="M273" i="5"/>
  <c r="N273" i="5" s="1"/>
  <c r="M257" i="5"/>
  <c r="N257" i="5" s="1"/>
  <c r="M241" i="5"/>
  <c r="N241" i="5" s="1"/>
  <c r="M225" i="5"/>
  <c r="N225" i="5" s="1"/>
  <c r="M209" i="5"/>
  <c r="N209" i="5" s="1"/>
  <c r="M193" i="5"/>
  <c r="N193" i="5" s="1"/>
  <c r="M177" i="5"/>
  <c r="N177" i="5" s="1"/>
  <c r="M161" i="5"/>
  <c r="N161" i="5" s="1"/>
  <c r="N1017" i="5"/>
  <c r="N889" i="5"/>
  <c r="N763" i="5"/>
  <c r="N665" i="5"/>
  <c r="M592" i="5"/>
  <c r="N592" i="5" s="1"/>
  <c r="M576" i="5"/>
  <c r="N576" i="5" s="1"/>
  <c r="M560" i="5"/>
  <c r="N560" i="5" s="1"/>
  <c r="M544" i="5"/>
  <c r="N544" i="5" s="1"/>
  <c r="M528" i="5"/>
  <c r="N528" i="5" s="1"/>
  <c r="M512" i="5"/>
  <c r="N512" i="5" s="1"/>
  <c r="M496" i="5"/>
  <c r="N496" i="5" s="1"/>
  <c r="M480" i="5"/>
  <c r="N480" i="5" s="1"/>
  <c r="M464" i="5"/>
  <c r="N464" i="5" s="1"/>
  <c r="M448" i="5"/>
  <c r="N448" i="5" s="1"/>
  <c r="M432" i="5"/>
  <c r="N432" i="5" s="1"/>
  <c r="M416" i="5"/>
  <c r="N416" i="5" s="1"/>
  <c r="M400" i="5"/>
  <c r="N400" i="5" s="1"/>
  <c r="M384" i="5"/>
  <c r="N384" i="5" s="1"/>
  <c r="M368" i="5"/>
  <c r="N368" i="5" s="1"/>
  <c r="M352" i="5"/>
  <c r="N352" i="5" s="1"/>
  <c r="M336" i="5"/>
  <c r="N336" i="5" s="1"/>
  <c r="M320" i="5"/>
  <c r="N320" i="5" s="1"/>
  <c r="M304" i="5"/>
  <c r="N304" i="5" s="1"/>
  <c r="M288" i="5"/>
  <c r="N288" i="5" s="1"/>
  <c r="M272" i="5"/>
  <c r="N272" i="5" s="1"/>
  <c r="M256" i="5"/>
  <c r="N256" i="5" s="1"/>
  <c r="M240" i="5"/>
  <c r="N240" i="5" s="1"/>
  <c r="M224" i="5"/>
  <c r="N224" i="5" s="1"/>
  <c r="M208" i="5"/>
  <c r="N208" i="5" s="1"/>
  <c r="M192" i="5"/>
  <c r="N192" i="5" s="1"/>
  <c r="M176" i="5"/>
  <c r="N176" i="5" s="1"/>
  <c r="M160" i="5"/>
  <c r="N160" i="5" s="1"/>
  <c r="M144" i="5"/>
  <c r="N144" i="5" s="1"/>
  <c r="M128" i="5"/>
  <c r="N128" i="5" s="1"/>
  <c r="M112" i="5"/>
  <c r="N112" i="5" s="1"/>
  <c r="M96" i="5"/>
  <c r="N96" i="5" s="1"/>
  <c r="M80" i="5"/>
  <c r="N80" i="5" s="1"/>
  <c r="M64" i="5"/>
  <c r="N64" i="5" s="1"/>
  <c r="M48" i="5"/>
  <c r="N48" i="5" s="1"/>
  <c r="M32" i="5"/>
  <c r="N32" i="5" s="1"/>
  <c r="M16" i="5"/>
  <c r="N16" i="5" s="1"/>
  <c r="N961" i="5"/>
  <c r="N731" i="5"/>
  <c r="N699" i="5"/>
  <c r="M543" i="5"/>
  <c r="N543" i="5" s="1"/>
  <c r="M511" i="5"/>
  <c r="N511" i="5" s="1"/>
  <c r="M479" i="5"/>
  <c r="N479" i="5" s="1"/>
  <c r="M447" i="5"/>
  <c r="N447" i="5" s="1"/>
  <c r="M415" i="5"/>
  <c r="N415" i="5" s="1"/>
  <c r="M383" i="5"/>
  <c r="N383" i="5" s="1"/>
  <c r="M351" i="5"/>
  <c r="N351" i="5" s="1"/>
  <c r="M319" i="5"/>
  <c r="N319" i="5" s="1"/>
  <c r="M287" i="5"/>
  <c r="N287" i="5" s="1"/>
  <c r="M255" i="5"/>
  <c r="N255" i="5" s="1"/>
  <c r="M223" i="5"/>
  <c r="N223" i="5" s="1"/>
  <c r="M191" i="5"/>
  <c r="N191" i="5" s="1"/>
  <c r="M159" i="5"/>
  <c r="N159" i="5" s="1"/>
  <c r="M127" i="5"/>
  <c r="N127" i="5" s="1"/>
  <c r="M95" i="5"/>
  <c r="N95" i="5" s="1"/>
  <c r="M63" i="5"/>
  <c r="N63" i="5" s="1"/>
  <c r="M31" i="5"/>
  <c r="N31" i="5" s="1"/>
  <c r="N977" i="5"/>
  <c r="N527" i="5"/>
  <c r="N399" i="5"/>
  <c r="N271" i="5"/>
  <c r="N143" i="5"/>
  <c r="N15" i="5"/>
  <c r="N162" i="5"/>
  <c r="N98" i="5"/>
  <c r="N34" i="5"/>
  <c r="M145" i="5"/>
  <c r="N145" i="5" s="1"/>
  <c r="M129" i="5"/>
  <c r="N129" i="5" s="1"/>
  <c r="M113" i="5"/>
  <c r="N113" i="5" s="1"/>
  <c r="M97" i="5"/>
  <c r="N97" i="5" s="1"/>
  <c r="M81" i="5"/>
  <c r="N81" i="5" s="1"/>
  <c r="M65" i="5"/>
  <c r="N65" i="5" s="1"/>
  <c r="M49" i="5"/>
  <c r="N49" i="5" s="1"/>
  <c r="M33" i="5"/>
  <c r="N33" i="5" s="1"/>
  <c r="M17" i="5"/>
  <c r="N17" i="5" s="1"/>
  <c r="N2" i="5"/>
  <c r="M1091" i="5"/>
  <c r="N1091" i="5" s="1"/>
  <c r="M1059" i="5"/>
  <c r="N1059" i="5" s="1"/>
  <c r="M1035" i="5"/>
  <c r="N1035" i="5" s="1"/>
  <c r="M1011" i="5"/>
  <c r="N1011" i="5" s="1"/>
  <c r="M923" i="5"/>
  <c r="N923" i="5" s="1"/>
  <c r="M851" i="5"/>
  <c r="N851" i="5" s="1"/>
  <c r="M835" i="5"/>
  <c r="N835" i="5" s="1"/>
  <c r="M819" i="5"/>
  <c r="N819" i="5" s="1"/>
  <c r="M787" i="5"/>
  <c r="N787" i="5" s="1"/>
  <c r="M675" i="5"/>
  <c r="N675" i="5" s="1"/>
  <c r="M651" i="5"/>
  <c r="N651" i="5" s="1"/>
  <c r="M627" i="5"/>
  <c r="N627" i="5" s="1"/>
  <c r="M611" i="5"/>
  <c r="N611" i="5" s="1"/>
  <c r="M587" i="5"/>
  <c r="N587" i="5" s="1"/>
  <c r="M563" i="5"/>
  <c r="N563" i="5" s="1"/>
  <c r="M539" i="5"/>
  <c r="N539" i="5" s="1"/>
  <c r="M515" i="5"/>
  <c r="N515" i="5" s="1"/>
  <c r="M491" i="5"/>
  <c r="N491" i="5" s="1"/>
  <c r="M459" i="5"/>
  <c r="N459" i="5" s="1"/>
  <c r="M427" i="5"/>
  <c r="N427" i="5" s="1"/>
  <c r="M395" i="5"/>
  <c r="N395" i="5" s="1"/>
  <c r="M379" i="5"/>
  <c r="N379" i="5" s="1"/>
  <c r="M355" i="5"/>
  <c r="N355" i="5" s="1"/>
  <c r="M331" i="5"/>
  <c r="N331" i="5" s="1"/>
  <c r="M307" i="5"/>
  <c r="N307" i="5" s="1"/>
  <c r="M275" i="5"/>
  <c r="N275" i="5" s="1"/>
  <c r="M251" i="5"/>
  <c r="N251" i="5" s="1"/>
  <c r="M227" i="5"/>
  <c r="N227" i="5" s="1"/>
  <c r="M195" i="5"/>
  <c r="N195" i="5" s="1"/>
  <c r="M171" i="5"/>
  <c r="N171" i="5" s="1"/>
  <c r="M147" i="5"/>
  <c r="N147" i="5" s="1"/>
  <c r="M123" i="5"/>
  <c r="N123" i="5" s="1"/>
  <c r="M99" i="5"/>
  <c r="N99" i="5" s="1"/>
  <c r="M67" i="5"/>
  <c r="N67" i="5" s="1"/>
  <c r="M43" i="5"/>
  <c r="N43" i="5" s="1"/>
  <c r="M19" i="5"/>
  <c r="N19" i="5" s="1"/>
  <c r="M1082" i="5"/>
  <c r="N1082" i="5" s="1"/>
  <c r="M1058" i="5"/>
  <c r="N1058" i="5" s="1"/>
  <c r="M1026" i="5"/>
  <c r="N1026" i="5" s="1"/>
  <c r="M1002" i="5"/>
  <c r="N1002" i="5" s="1"/>
  <c r="M986" i="5"/>
  <c r="N986" i="5" s="1"/>
  <c r="M930" i="5"/>
  <c r="N930" i="5" s="1"/>
  <c r="M898" i="5"/>
  <c r="N898" i="5" s="1"/>
  <c r="M770" i="5"/>
  <c r="N770" i="5" s="1"/>
  <c r="M754" i="5"/>
  <c r="N754" i="5" s="1"/>
  <c r="M738" i="5"/>
  <c r="N738" i="5" s="1"/>
  <c r="M722" i="5"/>
  <c r="N722" i="5" s="1"/>
  <c r="M586" i="5"/>
  <c r="N586" i="5" s="1"/>
  <c r="M562" i="5"/>
  <c r="N562" i="5" s="1"/>
  <c r="M538" i="5"/>
  <c r="N538" i="5" s="1"/>
  <c r="M522" i="5"/>
  <c r="N522" i="5" s="1"/>
  <c r="M402" i="5"/>
  <c r="N402" i="5" s="1"/>
  <c r="M378" i="5"/>
  <c r="N378" i="5" s="1"/>
  <c r="M362" i="5"/>
  <c r="N362" i="5" s="1"/>
  <c r="M346" i="5"/>
  <c r="N346" i="5" s="1"/>
  <c r="M330" i="5"/>
  <c r="N330" i="5" s="1"/>
  <c r="M306" i="5"/>
  <c r="N306" i="5" s="1"/>
  <c r="M282" i="5"/>
  <c r="N282" i="5" s="1"/>
  <c r="M274" i="5"/>
  <c r="N274" i="5" s="1"/>
  <c r="M250" i="5"/>
  <c r="N250" i="5" s="1"/>
  <c r="M234" i="5"/>
  <c r="N234" i="5" s="1"/>
  <c r="M178" i="5"/>
  <c r="N178" i="5" s="1"/>
  <c r="M154" i="5"/>
  <c r="N154" i="5" s="1"/>
  <c r="M146" i="5"/>
  <c r="N146" i="5" s="1"/>
  <c r="M122" i="5"/>
  <c r="N122" i="5" s="1"/>
  <c r="M106" i="5"/>
  <c r="N106" i="5" s="1"/>
  <c r="M90" i="5"/>
  <c r="N90" i="5" s="1"/>
  <c r="M82" i="5"/>
  <c r="N82" i="5" s="1"/>
  <c r="M58" i="5"/>
  <c r="N58" i="5" s="1"/>
  <c r="M18" i="5"/>
  <c r="N18" i="5" s="1"/>
  <c r="M1067" i="5"/>
  <c r="N1067" i="5" s="1"/>
  <c r="M659" i="5"/>
  <c r="N659" i="5" s="1"/>
  <c r="M635" i="5"/>
  <c r="N635" i="5" s="1"/>
  <c r="M619" i="5"/>
  <c r="N619" i="5" s="1"/>
  <c r="M595" i="5"/>
  <c r="N595" i="5" s="1"/>
  <c r="M571" i="5"/>
  <c r="N571" i="5" s="1"/>
  <c r="M547" i="5"/>
  <c r="N547" i="5" s="1"/>
  <c r="M523" i="5"/>
  <c r="N523" i="5" s="1"/>
  <c r="M499" i="5"/>
  <c r="N499" i="5" s="1"/>
  <c r="M467" i="5"/>
  <c r="N467" i="5" s="1"/>
  <c r="M443" i="5"/>
  <c r="N443" i="5" s="1"/>
  <c r="M419" i="5"/>
  <c r="N419" i="5" s="1"/>
  <c r="M411" i="5"/>
  <c r="N411" i="5" s="1"/>
  <c r="M387" i="5"/>
  <c r="N387" i="5" s="1"/>
  <c r="M363" i="5"/>
  <c r="N363" i="5" s="1"/>
  <c r="M339" i="5"/>
  <c r="N339" i="5" s="1"/>
  <c r="M315" i="5"/>
  <c r="N315" i="5" s="1"/>
  <c r="M291" i="5"/>
  <c r="N291" i="5" s="1"/>
  <c r="M267" i="5"/>
  <c r="N267" i="5" s="1"/>
  <c r="M243" i="5"/>
  <c r="N243" i="5" s="1"/>
  <c r="M219" i="5"/>
  <c r="N219" i="5" s="1"/>
  <c r="M203" i="5"/>
  <c r="N203" i="5" s="1"/>
  <c r="M179" i="5"/>
  <c r="N179" i="5" s="1"/>
  <c r="M155" i="5"/>
  <c r="N155" i="5" s="1"/>
  <c r="M131" i="5"/>
  <c r="N131" i="5" s="1"/>
  <c r="M107" i="5"/>
  <c r="N107" i="5" s="1"/>
  <c r="M83" i="5"/>
  <c r="N83" i="5" s="1"/>
  <c r="M59" i="5"/>
  <c r="N59" i="5" s="1"/>
  <c r="M35" i="5"/>
  <c r="N35" i="5" s="1"/>
  <c r="M11" i="5"/>
  <c r="N11" i="5" s="1"/>
  <c r="M1074" i="5"/>
  <c r="N1074" i="5" s="1"/>
  <c r="M1050" i="5"/>
  <c r="N1050" i="5" s="1"/>
  <c r="M1018" i="5"/>
  <c r="N1018" i="5" s="1"/>
  <c r="M994" i="5"/>
  <c r="N994" i="5" s="1"/>
  <c r="M922" i="5"/>
  <c r="N922" i="5" s="1"/>
  <c r="M866" i="5"/>
  <c r="N866" i="5" s="1"/>
  <c r="M706" i="5"/>
  <c r="N706" i="5" s="1"/>
  <c r="M690" i="5"/>
  <c r="N690" i="5" s="1"/>
  <c r="M674" i="5"/>
  <c r="N674" i="5" s="1"/>
  <c r="M650" i="5"/>
  <c r="N650" i="5" s="1"/>
  <c r="M634" i="5"/>
  <c r="N634" i="5" s="1"/>
  <c r="M610" i="5"/>
  <c r="N610" i="5" s="1"/>
  <c r="M594" i="5"/>
  <c r="N594" i="5" s="1"/>
  <c r="M570" i="5"/>
  <c r="N570" i="5" s="1"/>
  <c r="M554" i="5"/>
  <c r="N554" i="5" s="1"/>
  <c r="M490" i="5"/>
  <c r="N490" i="5" s="1"/>
  <c r="M466" i="5"/>
  <c r="N466" i="5" s="1"/>
  <c r="M442" i="5"/>
  <c r="N442" i="5" s="1"/>
  <c r="M426" i="5"/>
  <c r="N426" i="5" s="1"/>
  <c r="M394" i="5"/>
  <c r="N394" i="5" s="1"/>
  <c r="M338" i="5"/>
  <c r="N338" i="5" s="1"/>
  <c r="M314" i="5"/>
  <c r="N314" i="5" s="1"/>
  <c r="M298" i="5"/>
  <c r="N298" i="5" s="1"/>
  <c r="M242" i="5"/>
  <c r="N242" i="5" s="1"/>
  <c r="M218" i="5"/>
  <c r="N218" i="5" s="1"/>
  <c r="M202" i="5"/>
  <c r="N202" i="5" s="1"/>
  <c r="M170" i="5"/>
  <c r="N170" i="5" s="1"/>
  <c r="M74" i="5"/>
  <c r="N74" i="5" s="1"/>
  <c r="M1083" i="5"/>
  <c r="N1083" i="5" s="1"/>
  <c r="M1051" i="5"/>
  <c r="N1051" i="5" s="1"/>
  <c r="M1027" i="5"/>
  <c r="N1027" i="5" s="1"/>
  <c r="M1003" i="5"/>
  <c r="N1003" i="5" s="1"/>
  <c r="M987" i="5"/>
  <c r="N987" i="5" s="1"/>
  <c r="M963" i="5"/>
  <c r="N963" i="5" s="1"/>
  <c r="M939" i="5"/>
  <c r="N939" i="5" s="1"/>
  <c r="M931" i="5"/>
  <c r="N931" i="5" s="1"/>
  <c r="M907" i="5"/>
  <c r="N907" i="5" s="1"/>
  <c r="M899" i="5"/>
  <c r="N899" i="5" s="1"/>
  <c r="M875" i="5"/>
  <c r="N875" i="5" s="1"/>
  <c r="M867" i="5"/>
  <c r="N867" i="5" s="1"/>
  <c r="M803" i="5"/>
  <c r="N803" i="5" s="1"/>
  <c r="M771" i="5"/>
  <c r="N771" i="5" s="1"/>
  <c r="M755" i="5"/>
  <c r="N755" i="5" s="1"/>
  <c r="M739" i="5"/>
  <c r="N739" i="5" s="1"/>
  <c r="M723" i="5"/>
  <c r="N723" i="5" s="1"/>
  <c r="M707" i="5"/>
  <c r="N707" i="5" s="1"/>
  <c r="M691" i="5"/>
  <c r="N691" i="5" s="1"/>
  <c r="M667" i="5"/>
  <c r="N667" i="5" s="1"/>
  <c r="M643" i="5"/>
  <c r="N643" i="5" s="1"/>
  <c r="M579" i="5"/>
  <c r="N579" i="5" s="1"/>
  <c r="M555" i="5"/>
  <c r="N555" i="5" s="1"/>
  <c r="M531" i="5"/>
  <c r="N531" i="5" s="1"/>
  <c r="M507" i="5"/>
  <c r="N507" i="5" s="1"/>
  <c r="M475" i="5"/>
  <c r="N475" i="5" s="1"/>
  <c r="M451" i="5"/>
  <c r="N451" i="5" s="1"/>
  <c r="M435" i="5"/>
  <c r="N435" i="5" s="1"/>
  <c r="M403" i="5"/>
  <c r="N403" i="5" s="1"/>
  <c r="M371" i="5"/>
  <c r="N371" i="5" s="1"/>
  <c r="M347" i="5"/>
  <c r="N347" i="5" s="1"/>
  <c r="M323" i="5"/>
  <c r="N323" i="5" s="1"/>
  <c r="M299" i="5"/>
  <c r="N299" i="5" s="1"/>
  <c r="M283" i="5"/>
  <c r="N283" i="5" s="1"/>
  <c r="M259" i="5"/>
  <c r="N259" i="5" s="1"/>
  <c r="M235" i="5"/>
  <c r="N235" i="5" s="1"/>
  <c r="M211" i="5"/>
  <c r="N211" i="5" s="1"/>
  <c r="M187" i="5"/>
  <c r="N187" i="5" s="1"/>
  <c r="M163" i="5"/>
  <c r="N163" i="5" s="1"/>
  <c r="M139" i="5"/>
  <c r="N139" i="5" s="1"/>
  <c r="M115" i="5"/>
  <c r="N115" i="5" s="1"/>
  <c r="M91" i="5"/>
  <c r="N91" i="5" s="1"/>
  <c r="M75" i="5"/>
  <c r="N75" i="5" s="1"/>
  <c r="M51" i="5"/>
  <c r="N51" i="5" s="1"/>
  <c r="M27" i="5"/>
  <c r="N27" i="5" s="1"/>
  <c r="M3" i="5"/>
  <c r="N3" i="5" s="1"/>
  <c r="M1066" i="5"/>
  <c r="N1066" i="5" s="1"/>
  <c r="M1034" i="5"/>
  <c r="N1034" i="5" s="1"/>
  <c r="M1010" i="5"/>
  <c r="N1010" i="5" s="1"/>
  <c r="M962" i="5"/>
  <c r="N962" i="5" s="1"/>
  <c r="M954" i="5"/>
  <c r="N954" i="5" s="1"/>
  <c r="M890" i="5"/>
  <c r="N890" i="5" s="1"/>
  <c r="M850" i="5"/>
  <c r="N850" i="5" s="1"/>
  <c r="M834" i="5"/>
  <c r="N834" i="5" s="1"/>
  <c r="M818" i="5"/>
  <c r="N818" i="5" s="1"/>
  <c r="M802" i="5"/>
  <c r="N802" i="5" s="1"/>
  <c r="M786" i="5"/>
  <c r="N786" i="5" s="1"/>
  <c r="M658" i="5"/>
  <c r="N658" i="5" s="1"/>
  <c r="M642" i="5"/>
  <c r="N642" i="5" s="1"/>
  <c r="M618" i="5"/>
  <c r="N618" i="5" s="1"/>
  <c r="M530" i="5"/>
  <c r="N530" i="5" s="1"/>
  <c r="M506" i="5"/>
  <c r="N506" i="5" s="1"/>
  <c r="M498" i="5"/>
  <c r="N498" i="5" s="1"/>
  <c r="M474" i="5"/>
  <c r="N474" i="5" s="1"/>
  <c r="M458" i="5"/>
  <c r="N458" i="5" s="1"/>
  <c r="M434" i="5"/>
  <c r="N434" i="5" s="1"/>
  <c r="M410" i="5"/>
  <c r="N410" i="5" s="1"/>
  <c r="M370" i="5"/>
  <c r="N370" i="5" s="1"/>
  <c r="M266" i="5"/>
  <c r="N266" i="5" s="1"/>
  <c r="M210" i="5"/>
  <c r="N210" i="5" s="1"/>
  <c r="M186" i="5"/>
  <c r="N186" i="5" s="1"/>
  <c r="M138" i="5"/>
  <c r="N138" i="5" s="1"/>
  <c r="M50" i="5"/>
  <c r="N50" i="5" s="1"/>
  <c r="M42" i="5"/>
  <c r="N42" i="5" s="1"/>
  <c r="M1093" i="5"/>
  <c r="N1093" i="5" s="1"/>
  <c r="M1085" i="5"/>
  <c r="N1085" i="5" s="1"/>
  <c r="M1077" i="5"/>
  <c r="N1077" i="5" s="1"/>
  <c r="M1069" i="5"/>
  <c r="N1069" i="5" s="1"/>
  <c r="M1061" i="5"/>
  <c r="N1061" i="5" s="1"/>
  <c r="M1053" i="5"/>
  <c r="N1053" i="5" s="1"/>
  <c r="M1045" i="5"/>
  <c r="N1045" i="5" s="1"/>
  <c r="M1037" i="5"/>
  <c r="N1037" i="5" s="1"/>
  <c r="M1029" i="5"/>
  <c r="N1029" i="5" s="1"/>
  <c r="M1021" i="5"/>
  <c r="N1021" i="5" s="1"/>
  <c r="M1013" i="5"/>
  <c r="N1013" i="5" s="1"/>
  <c r="M1005" i="5"/>
  <c r="N1005" i="5" s="1"/>
  <c r="M997" i="5"/>
  <c r="N997" i="5" s="1"/>
  <c r="M989" i="5"/>
  <c r="N989" i="5" s="1"/>
  <c r="M981" i="5"/>
  <c r="N981" i="5" s="1"/>
  <c r="M973" i="5"/>
  <c r="N973" i="5" s="1"/>
  <c r="M965" i="5"/>
  <c r="N965" i="5" s="1"/>
  <c r="M957" i="5"/>
  <c r="N957" i="5" s="1"/>
  <c r="M949" i="5"/>
  <c r="N949" i="5" s="1"/>
  <c r="M941" i="5"/>
  <c r="N941" i="5" s="1"/>
  <c r="M933" i="5"/>
  <c r="N933" i="5" s="1"/>
  <c r="M925" i="5"/>
  <c r="N925" i="5" s="1"/>
  <c r="M917" i="5"/>
  <c r="N917" i="5" s="1"/>
  <c r="M909" i="5"/>
  <c r="N909" i="5" s="1"/>
  <c r="M901" i="5"/>
  <c r="N901" i="5" s="1"/>
  <c r="M893" i="5"/>
  <c r="N893" i="5" s="1"/>
  <c r="M885" i="5"/>
  <c r="N885" i="5" s="1"/>
  <c r="M877" i="5"/>
  <c r="N877" i="5" s="1"/>
  <c r="M869" i="5"/>
  <c r="N869" i="5" s="1"/>
  <c r="M861" i="5"/>
  <c r="N861" i="5" s="1"/>
  <c r="M853" i="5"/>
  <c r="N853" i="5" s="1"/>
  <c r="M845" i="5"/>
  <c r="N845" i="5" s="1"/>
  <c r="M837" i="5"/>
  <c r="N837" i="5" s="1"/>
  <c r="M829" i="5"/>
  <c r="N829" i="5" s="1"/>
  <c r="M821" i="5"/>
  <c r="N821" i="5" s="1"/>
  <c r="M813" i="5"/>
  <c r="N813" i="5" s="1"/>
  <c r="M805" i="5"/>
  <c r="N805" i="5" s="1"/>
  <c r="M797" i="5"/>
  <c r="N797" i="5" s="1"/>
  <c r="M789" i="5"/>
  <c r="N789" i="5" s="1"/>
  <c r="M781" i="5"/>
  <c r="N781" i="5" s="1"/>
  <c r="M773" i="5"/>
  <c r="N773" i="5" s="1"/>
  <c r="M765" i="5"/>
  <c r="N765" i="5" s="1"/>
  <c r="M757" i="5"/>
  <c r="N757" i="5" s="1"/>
  <c r="M749" i="5"/>
  <c r="N749" i="5" s="1"/>
  <c r="M741" i="5"/>
  <c r="N741" i="5" s="1"/>
  <c r="M733" i="5"/>
  <c r="N733" i="5" s="1"/>
  <c r="M725" i="5"/>
  <c r="N725" i="5" s="1"/>
  <c r="M717" i="5"/>
  <c r="N717" i="5" s="1"/>
  <c r="M709" i="5"/>
  <c r="N709" i="5" s="1"/>
  <c r="M701" i="5"/>
  <c r="N701" i="5" s="1"/>
  <c r="M693" i="5"/>
  <c r="N693" i="5" s="1"/>
  <c r="M685" i="5"/>
  <c r="N685" i="5" s="1"/>
  <c r="M677" i="5"/>
  <c r="N677" i="5" s="1"/>
  <c r="M669" i="5"/>
  <c r="N669" i="5" s="1"/>
  <c r="M661" i="5"/>
  <c r="N661" i="5" s="1"/>
  <c r="M653" i="5"/>
  <c r="N653" i="5" s="1"/>
  <c r="M645" i="5"/>
  <c r="N645" i="5" s="1"/>
  <c r="M637" i="5"/>
  <c r="N637" i="5" s="1"/>
  <c r="M629" i="5"/>
  <c r="N629" i="5" s="1"/>
  <c r="M621" i="5"/>
  <c r="N621" i="5" s="1"/>
  <c r="M613" i="5"/>
  <c r="N613" i="5" s="1"/>
  <c r="M605" i="5"/>
  <c r="N605" i="5" s="1"/>
  <c r="M597" i="5"/>
  <c r="N597" i="5" s="1"/>
  <c r="M589" i="5"/>
  <c r="N589" i="5" s="1"/>
  <c r="M581" i="5"/>
  <c r="N581" i="5" s="1"/>
  <c r="M573" i="5"/>
  <c r="N573" i="5" s="1"/>
  <c r="M565" i="5"/>
  <c r="N565" i="5" s="1"/>
  <c r="M557" i="5"/>
  <c r="N557" i="5" s="1"/>
  <c r="M549" i="5"/>
  <c r="N549" i="5" s="1"/>
  <c r="M541" i="5"/>
  <c r="N541" i="5" s="1"/>
  <c r="M533" i="5"/>
  <c r="N533" i="5" s="1"/>
  <c r="M525" i="5"/>
  <c r="N525" i="5" s="1"/>
  <c r="M517" i="5"/>
  <c r="N517" i="5" s="1"/>
  <c r="M509" i="5"/>
  <c r="N509" i="5" s="1"/>
  <c r="M501" i="5"/>
  <c r="N501" i="5" s="1"/>
  <c r="M493" i="5"/>
  <c r="N493" i="5" s="1"/>
  <c r="M485" i="5"/>
  <c r="N485" i="5" s="1"/>
  <c r="M477" i="5"/>
  <c r="N477" i="5" s="1"/>
  <c r="M469" i="5"/>
  <c r="N469" i="5" s="1"/>
  <c r="M461" i="5"/>
  <c r="N461" i="5" s="1"/>
  <c r="M453" i="5"/>
  <c r="N453" i="5" s="1"/>
  <c r="M445" i="5"/>
  <c r="N445" i="5" s="1"/>
  <c r="M437" i="5"/>
  <c r="N437" i="5" s="1"/>
  <c r="M429" i="5"/>
  <c r="N429" i="5" s="1"/>
  <c r="M421" i="5"/>
  <c r="N421" i="5" s="1"/>
  <c r="M413" i="5"/>
  <c r="N413" i="5" s="1"/>
  <c r="M405" i="5"/>
  <c r="N405" i="5" s="1"/>
  <c r="M397" i="5"/>
  <c r="N397" i="5" s="1"/>
  <c r="M389" i="5"/>
  <c r="N389" i="5" s="1"/>
  <c r="M381" i="5"/>
  <c r="N381" i="5" s="1"/>
  <c r="M373" i="5"/>
  <c r="N373" i="5" s="1"/>
  <c r="M365" i="5"/>
  <c r="N365" i="5" s="1"/>
  <c r="M357" i="5"/>
  <c r="N357" i="5" s="1"/>
  <c r="M349" i="5"/>
  <c r="N349" i="5" s="1"/>
  <c r="M341" i="5"/>
  <c r="N341" i="5" s="1"/>
  <c r="M333" i="5"/>
  <c r="N333" i="5" s="1"/>
  <c r="M325" i="5"/>
  <c r="N325" i="5" s="1"/>
  <c r="M317" i="5"/>
  <c r="N317" i="5" s="1"/>
  <c r="M309" i="5"/>
  <c r="N309" i="5" s="1"/>
  <c r="M301" i="5"/>
  <c r="N301" i="5" s="1"/>
  <c r="M293" i="5"/>
  <c r="N293" i="5" s="1"/>
  <c r="M285" i="5"/>
  <c r="N285" i="5" s="1"/>
  <c r="M277" i="5"/>
  <c r="N277" i="5" s="1"/>
  <c r="M269" i="5"/>
  <c r="N269" i="5" s="1"/>
  <c r="M261" i="5"/>
  <c r="N261" i="5" s="1"/>
  <c r="M253" i="5"/>
  <c r="N253" i="5" s="1"/>
  <c r="M245" i="5"/>
  <c r="N245" i="5" s="1"/>
  <c r="M237" i="5"/>
  <c r="N237" i="5" s="1"/>
  <c r="M229" i="5"/>
  <c r="N229" i="5" s="1"/>
  <c r="M221" i="5"/>
  <c r="N221" i="5" s="1"/>
  <c r="M213" i="5"/>
  <c r="N213" i="5" s="1"/>
  <c r="M205" i="5"/>
  <c r="N205" i="5" s="1"/>
  <c r="M197" i="5"/>
  <c r="N197" i="5" s="1"/>
  <c r="M189" i="5"/>
  <c r="N189" i="5" s="1"/>
  <c r="M181" i="5"/>
  <c r="N181" i="5" s="1"/>
  <c r="M173" i="5"/>
  <c r="N173" i="5" s="1"/>
  <c r="M165" i="5"/>
  <c r="N165" i="5" s="1"/>
  <c r="M157" i="5"/>
  <c r="N157" i="5" s="1"/>
  <c r="M149" i="5"/>
  <c r="N149" i="5" s="1"/>
  <c r="M141" i="5"/>
  <c r="N141" i="5" s="1"/>
  <c r="M133" i="5"/>
  <c r="N133" i="5" s="1"/>
  <c r="M125" i="5"/>
  <c r="N125" i="5" s="1"/>
  <c r="M117" i="5"/>
  <c r="N117" i="5" s="1"/>
  <c r="M109" i="5"/>
  <c r="N109" i="5" s="1"/>
  <c r="M101" i="5"/>
  <c r="N101" i="5" s="1"/>
  <c r="M93" i="5"/>
  <c r="N93" i="5" s="1"/>
  <c r="M85" i="5"/>
  <c r="N85" i="5" s="1"/>
  <c r="M77" i="5"/>
  <c r="N77" i="5" s="1"/>
  <c r="M69" i="5"/>
  <c r="N69" i="5" s="1"/>
  <c r="M61" i="5"/>
  <c r="N61" i="5" s="1"/>
  <c r="M53" i="5"/>
  <c r="N53" i="5" s="1"/>
  <c r="M45" i="5"/>
  <c r="N45" i="5" s="1"/>
  <c r="M37" i="5"/>
  <c r="N37" i="5" s="1"/>
  <c r="M29" i="5"/>
  <c r="N29" i="5" s="1"/>
  <c r="M21" i="5"/>
  <c r="N21" i="5" s="1"/>
  <c r="M13" i="5"/>
  <c r="N13" i="5" s="1"/>
  <c r="M5" i="5"/>
  <c r="N5" i="5" s="1"/>
  <c r="M1075" i="5"/>
  <c r="N1075" i="5" s="1"/>
  <c r="M1043" i="5"/>
  <c r="N1043" i="5" s="1"/>
  <c r="M1019" i="5"/>
  <c r="N1019" i="5" s="1"/>
  <c r="M995" i="5"/>
  <c r="N995" i="5" s="1"/>
  <c r="M971" i="5"/>
  <c r="N971" i="5" s="1"/>
  <c r="M955" i="5"/>
  <c r="N955" i="5" s="1"/>
  <c r="M891" i="5"/>
  <c r="N891" i="5" s="1"/>
  <c r="M483" i="5"/>
  <c r="N483" i="5" s="1"/>
  <c r="M1090" i="5"/>
  <c r="N1090" i="5" s="1"/>
  <c r="M1042" i="5"/>
  <c r="N1042" i="5" s="1"/>
  <c r="M114" i="5"/>
  <c r="N114" i="5" s="1"/>
  <c r="M1092" i="5"/>
  <c r="N1092" i="5" s="1"/>
  <c r="M1084" i="5"/>
  <c r="N1084" i="5" s="1"/>
  <c r="M1076" i="5"/>
  <c r="N1076" i="5" s="1"/>
  <c r="M1068" i="5"/>
  <c r="N1068" i="5" s="1"/>
  <c r="M1060" i="5"/>
  <c r="N1060" i="5" s="1"/>
  <c r="M1052" i="5"/>
  <c r="N1052" i="5" s="1"/>
  <c r="M1044" i="5"/>
  <c r="N1044" i="5" s="1"/>
  <c r="M1036" i="5"/>
  <c r="N1036" i="5" s="1"/>
  <c r="M1028" i="5"/>
  <c r="N1028" i="5" s="1"/>
  <c r="M1020" i="5"/>
  <c r="N1020" i="5" s="1"/>
  <c r="M1012" i="5"/>
  <c r="N1012" i="5" s="1"/>
  <c r="M1004" i="5"/>
  <c r="N1004" i="5" s="1"/>
  <c r="M996" i="5"/>
  <c r="N996" i="5" s="1"/>
  <c r="M972" i="5"/>
  <c r="N972" i="5" s="1"/>
  <c r="M964" i="5"/>
  <c r="N964" i="5" s="1"/>
  <c r="M940" i="5"/>
  <c r="N940" i="5" s="1"/>
  <c r="M932" i="5"/>
  <c r="N932" i="5" s="1"/>
  <c r="M908" i="5"/>
  <c r="N908" i="5" s="1"/>
  <c r="M900" i="5"/>
  <c r="N900" i="5" s="1"/>
  <c r="M876" i="5"/>
  <c r="N876" i="5" s="1"/>
  <c r="M868" i="5"/>
  <c r="N868" i="5" s="1"/>
  <c r="M852" i="5"/>
  <c r="N852" i="5" s="1"/>
  <c r="M836" i="5"/>
  <c r="N836" i="5" s="1"/>
  <c r="M820" i="5"/>
  <c r="N820" i="5" s="1"/>
  <c r="M804" i="5"/>
  <c r="N804" i="5" s="1"/>
  <c r="M788" i="5"/>
  <c r="N788" i="5" s="1"/>
  <c r="M772" i="5"/>
  <c r="N772" i="5" s="1"/>
  <c r="M756" i="5"/>
  <c r="N756" i="5" s="1"/>
  <c r="M740" i="5"/>
  <c r="N740" i="5" s="1"/>
  <c r="M724" i="5"/>
  <c r="N724" i="5" s="1"/>
  <c r="M708" i="5"/>
  <c r="N708" i="5" s="1"/>
  <c r="M692" i="5"/>
  <c r="N692" i="5" s="1"/>
  <c r="M676" i="5"/>
  <c r="N676" i="5" s="1"/>
  <c r="M668" i="5"/>
  <c r="N668" i="5" s="1"/>
  <c r="M660" i="5"/>
  <c r="N660" i="5" s="1"/>
  <c r="M652" i="5"/>
  <c r="N652" i="5" s="1"/>
  <c r="M636" i="5"/>
  <c r="N636" i="5" s="1"/>
  <c r="M628" i="5"/>
  <c r="N628" i="5" s="1"/>
  <c r="M620" i="5"/>
  <c r="N620" i="5" s="1"/>
  <c r="M612" i="5"/>
  <c r="N612" i="5" s="1"/>
  <c r="M596" i="5"/>
  <c r="N596" i="5" s="1"/>
  <c r="M588" i="5"/>
  <c r="N588" i="5" s="1"/>
  <c r="M580" i="5"/>
  <c r="N580" i="5" s="1"/>
  <c r="M572" i="5"/>
  <c r="N572" i="5" s="1"/>
  <c r="M564" i="5"/>
  <c r="N564" i="5" s="1"/>
  <c r="M556" i="5"/>
  <c r="N556" i="5" s="1"/>
  <c r="M548" i="5"/>
  <c r="N548" i="5" s="1"/>
  <c r="M540" i="5"/>
  <c r="N540" i="5" s="1"/>
  <c r="M532" i="5"/>
  <c r="N532" i="5" s="1"/>
  <c r="M524" i="5"/>
  <c r="N524" i="5" s="1"/>
  <c r="M516" i="5"/>
  <c r="N516" i="5" s="1"/>
  <c r="M508" i="5"/>
  <c r="N508" i="5" s="1"/>
  <c r="M500" i="5"/>
  <c r="N500" i="5" s="1"/>
  <c r="M492" i="5"/>
  <c r="N492" i="5" s="1"/>
  <c r="M484" i="5"/>
  <c r="N484" i="5" s="1"/>
  <c r="M476" i="5"/>
  <c r="N476" i="5" s="1"/>
  <c r="M468" i="5"/>
  <c r="N468" i="5" s="1"/>
  <c r="M460" i="5"/>
  <c r="N460" i="5" s="1"/>
  <c r="M452" i="5"/>
  <c r="N452" i="5" s="1"/>
  <c r="M444" i="5"/>
  <c r="N444" i="5" s="1"/>
  <c r="M436" i="5"/>
  <c r="N436" i="5" s="1"/>
  <c r="M428" i="5"/>
  <c r="N428" i="5" s="1"/>
  <c r="M420" i="5"/>
  <c r="N420" i="5" s="1"/>
  <c r="M412" i="5"/>
  <c r="N412" i="5" s="1"/>
  <c r="M404" i="5"/>
  <c r="N404" i="5" s="1"/>
  <c r="M396" i="5"/>
  <c r="N396" i="5" s="1"/>
  <c r="M388" i="5"/>
  <c r="N388" i="5" s="1"/>
  <c r="M380" i="5"/>
  <c r="N380" i="5" s="1"/>
  <c r="M372" i="5"/>
  <c r="N372" i="5" s="1"/>
  <c r="M364" i="5"/>
  <c r="N364" i="5" s="1"/>
  <c r="M356" i="5"/>
  <c r="N356" i="5" s="1"/>
  <c r="M348" i="5"/>
  <c r="N348" i="5" s="1"/>
  <c r="M340" i="5"/>
  <c r="N340" i="5" s="1"/>
  <c r="M332" i="5"/>
  <c r="N332" i="5" s="1"/>
  <c r="M324" i="5"/>
  <c r="N324" i="5" s="1"/>
  <c r="M316" i="5"/>
  <c r="N316" i="5" s="1"/>
  <c r="M308" i="5"/>
  <c r="N308" i="5" s="1"/>
  <c r="M300" i="5"/>
  <c r="N300" i="5" s="1"/>
  <c r="M292" i="5"/>
  <c r="N292" i="5" s="1"/>
  <c r="M284" i="5"/>
  <c r="N284" i="5" s="1"/>
  <c r="M276" i="5"/>
  <c r="N276" i="5" s="1"/>
  <c r="M268" i="5"/>
  <c r="N268" i="5" s="1"/>
  <c r="M260" i="5"/>
  <c r="N260" i="5" s="1"/>
  <c r="M252" i="5"/>
  <c r="N252" i="5" s="1"/>
  <c r="M244" i="5"/>
  <c r="N244" i="5" s="1"/>
  <c r="M236" i="5"/>
  <c r="N236" i="5" s="1"/>
  <c r="M228" i="5"/>
  <c r="N228" i="5" s="1"/>
  <c r="M220" i="5"/>
  <c r="N220" i="5" s="1"/>
  <c r="M212" i="5"/>
  <c r="N212" i="5" s="1"/>
  <c r="M204" i="5"/>
  <c r="N204" i="5" s="1"/>
  <c r="M196" i="5"/>
  <c r="N196" i="5" s="1"/>
  <c r="M188" i="5"/>
  <c r="N188" i="5" s="1"/>
  <c r="M180" i="5"/>
  <c r="N180" i="5" s="1"/>
  <c r="M172" i="5"/>
  <c r="N172" i="5" s="1"/>
  <c r="M164" i="5"/>
  <c r="N164" i="5" s="1"/>
  <c r="M156" i="5"/>
  <c r="N156" i="5" s="1"/>
  <c r="M148" i="5"/>
  <c r="N148" i="5" s="1"/>
  <c r="M140" i="5"/>
  <c r="N140" i="5" s="1"/>
  <c r="M132" i="5"/>
  <c r="N132" i="5" s="1"/>
  <c r="M124" i="5"/>
  <c r="N124" i="5" s="1"/>
  <c r="M116" i="5"/>
  <c r="N116" i="5" s="1"/>
  <c r="M108" i="5"/>
  <c r="N108" i="5" s="1"/>
  <c r="M100" i="5"/>
  <c r="N100" i="5" s="1"/>
  <c r="M92" i="5"/>
  <c r="N92" i="5" s="1"/>
  <c r="M84" i="5"/>
  <c r="N84" i="5" s="1"/>
  <c r="M76" i="5"/>
  <c r="N76" i="5" s="1"/>
  <c r="M68" i="5"/>
  <c r="N68" i="5" s="1"/>
  <c r="M60" i="5"/>
  <c r="N60" i="5" s="1"/>
  <c r="M52" i="5"/>
  <c r="N52" i="5" s="1"/>
  <c r="M44" i="5"/>
  <c r="N44" i="5" s="1"/>
  <c r="M36" i="5"/>
  <c r="N36" i="5" s="1"/>
  <c r="M28" i="5"/>
  <c r="N28" i="5" s="1"/>
  <c r="M20" i="5"/>
  <c r="N20" i="5" s="1"/>
  <c r="M12" i="5"/>
  <c r="N12" i="5" s="1"/>
  <c r="M4" i="5"/>
  <c r="N4" i="5" s="1"/>
  <c r="M10" i="5"/>
  <c r="N10" i="5" s="1"/>
  <c r="M649" i="5"/>
  <c r="N649" i="5" s="1"/>
  <c r="M641" i="5"/>
  <c r="N641" i="5" s="1"/>
  <c r="M617" i="5"/>
  <c r="N617" i="5" s="1"/>
  <c r="M609" i="5"/>
  <c r="N609" i="5" s="1"/>
  <c r="M585" i="5"/>
  <c r="N585" i="5" s="1"/>
  <c r="M569" i="5"/>
  <c r="N569" i="5" s="1"/>
  <c r="M553" i="5"/>
  <c r="N553" i="5" s="1"/>
  <c r="M537" i="5"/>
  <c r="N537" i="5" s="1"/>
  <c r="M521" i="5"/>
  <c r="N521" i="5" s="1"/>
  <c r="M505" i="5"/>
  <c r="N505" i="5" s="1"/>
  <c r="M489" i="5"/>
  <c r="N489" i="5" s="1"/>
  <c r="M473" i="5"/>
  <c r="N473" i="5" s="1"/>
  <c r="M457" i="5"/>
  <c r="N457" i="5" s="1"/>
  <c r="M441" i="5"/>
  <c r="N441" i="5" s="1"/>
  <c r="M425" i="5"/>
  <c r="N425" i="5" s="1"/>
  <c r="M409" i="5"/>
  <c r="N409" i="5" s="1"/>
  <c r="M393" i="5"/>
  <c r="N393" i="5" s="1"/>
  <c r="M377" i="5"/>
  <c r="N377" i="5" s="1"/>
  <c r="M361" i="5"/>
  <c r="N361" i="5" s="1"/>
  <c r="M345" i="5"/>
  <c r="N345" i="5" s="1"/>
  <c r="M329" i="5"/>
  <c r="N329" i="5" s="1"/>
  <c r="M313" i="5"/>
  <c r="N313" i="5" s="1"/>
  <c r="M297" i="5"/>
  <c r="N297" i="5" s="1"/>
  <c r="M281" i="5"/>
  <c r="N281" i="5" s="1"/>
  <c r="M265" i="5"/>
  <c r="N265" i="5" s="1"/>
  <c r="M249" i="5"/>
  <c r="N249" i="5" s="1"/>
  <c r="M233" i="5"/>
  <c r="N233" i="5" s="1"/>
  <c r="M217" i="5"/>
  <c r="N217" i="5" s="1"/>
  <c r="M201" i="5"/>
  <c r="N201" i="5" s="1"/>
  <c r="M185" i="5"/>
  <c r="N185" i="5" s="1"/>
  <c r="M169" i="5"/>
  <c r="N169" i="5" s="1"/>
  <c r="M153" i="5"/>
  <c r="N153" i="5" s="1"/>
  <c r="M137" i="5"/>
  <c r="N137" i="5" s="1"/>
  <c r="M121" i="5"/>
  <c r="N121" i="5" s="1"/>
  <c r="M105" i="5"/>
  <c r="N105" i="5" s="1"/>
  <c r="M89" i="5"/>
  <c r="N89" i="5" s="1"/>
  <c r="M73" i="5"/>
  <c r="N73" i="5" s="1"/>
  <c r="M57" i="5"/>
  <c r="N57" i="5" s="1"/>
  <c r="M41" i="5"/>
  <c r="N41" i="5" s="1"/>
  <c r="M25" i="5"/>
  <c r="N25" i="5" s="1"/>
  <c r="M9" i="5"/>
  <c r="N9" i="5" s="1"/>
  <c r="M864" i="5"/>
  <c r="N864" i="5" s="1"/>
  <c r="M856" i="5"/>
  <c r="N856" i="5" s="1"/>
  <c r="M848" i="5"/>
  <c r="N848" i="5" s="1"/>
  <c r="M840" i="5"/>
  <c r="N840" i="5" s="1"/>
  <c r="M832" i="5"/>
  <c r="N832" i="5" s="1"/>
  <c r="M824" i="5"/>
  <c r="N824" i="5" s="1"/>
  <c r="M816" i="5"/>
  <c r="N816" i="5" s="1"/>
  <c r="M808" i="5"/>
  <c r="N808" i="5" s="1"/>
  <c r="M800" i="5"/>
  <c r="N800" i="5" s="1"/>
  <c r="M792" i="5"/>
  <c r="N792" i="5" s="1"/>
  <c r="M784" i="5"/>
  <c r="N784" i="5" s="1"/>
  <c r="M776" i="5"/>
  <c r="N776" i="5" s="1"/>
  <c r="M768" i="5"/>
  <c r="N768" i="5" s="1"/>
  <c r="M760" i="5"/>
  <c r="N760" i="5" s="1"/>
  <c r="M752" i="5"/>
  <c r="N752" i="5" s="1"/>
  <c r="M744" i="5"/>
  <c r="N744" i="5" s="1"/>
  <c r="M736" i="5"/>
  <c r="N736" i="5" s="1"/>
  <c r="M728" i="5"/>
  <c r="N728" i="5" s="1"/>
  <c r="M720" i="5"/>
  <c r="N720" i="5" s="1"/>
  <c r="M712" i="5"/>
  <c r="N712" i="5" s="1"/>
  <c r="M704" i="5"/>
  <c r="N704" i="5" s="1"/>
  <c r="M696" i="5"/>
  <c r="N696" i="5" s="1"/>
  <c r="M688" i="5"/>
  <c r="N688" i="5" s="1"/>
  <c r="M680" i="5"/>
  <c r="N680" i="5" s="1"/>
  <c r="M640" i="5"/>
  <c r="N640" i="5" s="1"/>
  <c r="M632" i="5"/>
  <c r="N632" i="5" s="1"/>
  <c r="M608" i="5"/>
  <c r="N608" i="5" s="1"/>
  <c r="M600" i="5"/>
  <c r="N600" i="5" s="1"/>
  <c r="M584" i="5"/>
  <c r="N584" i="5" s="1"/>
  <c r="M568" i="5"/>
  <c r="N568" i="5" s="1"/>
  <c r="M552" i="5"/>
  <c r="N552" i="5" s="1"/>
  <c r="M536" i="5"/>
  <c r="N536" i="5" s="1"/>
  <c r="M520" i="5"/>
  <c r="N520" i="5" s="1"/>
  <c r="M504" i="5"/>
  <c r="N504" i="5" s="1"/>
  <c r="M488" i="5"/>
  <c r="N488" i="5" s="1"/>
  <c r="M472" i="5"/>
  <c r="N472" i="5" s="1"/>
  <c r="M456" i="5"/>
  <c r="N456" i="5" s="1"/>
  <c r="M440" i="5"/>
  <c r="N440" i="5" s="1"/>
  <c r="M424" i="5"/>
  <c r="N424" i="5" s="1"/>
  <c r="M408" i="5"/>
  <c r="N408" i="5" s="1"/>
  <c r="M392" i="5"/>
  <c r="N392" i="5" s="1"/>
  <c r="M376" i="5"/>
  <c r="N376" i="5" s="1"/>
  <c r="M360" i="5"/>
  <c r="N360" i="5" s="1"/>
  <c r="M344" i="5"/>
  <c r="N344" i="5" s="1"/>
  <c r="M328" i="5"/>
  <c r="N328" i="5" s="1"/>
  <c r="M312" i="5"/>
  <c r="N312" i="5" s="1"/>
  <c r="M296" i="5"/>
  <c r="N296" i="5" s="1"/>
  <c r="M280" i="5"/>
  <c r="N280" i="5" s="1"/>
  <c r="M264" i="5"/>
  <c r="N264" i="5" s="1"/>
  <c r="M248" i="5"/>
  <c r="N248" i="5" s="1"/>
  <c r="M232" i="5"/>
  <c r="N232" i="5" s="1"/>
  <c r="M216" i="5"/>
  <c r="N216" i="5" s="1"/>
  <c r="M200" i="5"/>
  <c r="N200" i="5" s="1"/>
  <c r="M184" i="5"/>
  <c r="N184" i="5" s="1"/>
  <c r="M168" i="5"/>
  <c r="N168" i="5" s="1"/>
  <c r="M152" i="5"/>
  <c r="N152" i="5" s="1"/>
  <c r="M136" i="5"/>
  <c r="N136" i="5" s="1"/>
  <c r="M120" i="5"/>
  <c r="N120" i="5" s="1"/>
  <c r="M104" i="5"/>
  <c r="N104" i="5" s="1"/>
  <c r="M88" i="5"/>
  <c r="N88" i="5" s="1"/>
  <c r="M72" i="5"/>
  <c r="N72" i="5" s="1"/>
  <c r="M56" i="5"/>
  <c r="N56" i="5" s="1"/>
  <c r="M40" i="5"/>
  <c r="N40" i="5" s="1"/>
  <c r="M24" i="5"/>
  <c r="N24" i="5" s="1"/>
  <c r="M8" i="5"/>
  <c r="N8" i="5" s="1"/>
  <c r="M863" i="5"/>
  <c r="N863" i="5" s="1"/>
  <c r="M855" i="5"/>
  <c r="N855" i="5" s="1"/>
  <c r="M847" i="5"/>
  <c r="N847" i="5" s="1"/>
  <c r="M839" i="5"/>
  <c r="N839" i="5" s="1"/>
  <c r="M831" i="5"/>
  <c r="N831" i="5" s="1"/>
  <c r="M823" i="5"/>
  <c r="N823" i="5" s="1"/>
  <c r="M815" i="5"/>
  <c r="N815" i="5" s="1"/>
  <c r="M807" i="5"/>
  <c r="N807" i="5" s="1"/>
  <c r="M799" i="5"/>
  <c r="N799" i="5" s="1"/>
  <c r="M791" i="5"/>
  <c r="N791" i="5" s="1"/>
  <c r="M783" i="5"/>
  <c r="N783" i="5" s="1"/>
  <c r="M775" i="5"/>
  <c r="N775" i="5" s="1"/>
  <c r="M767" i="5"/>
  <c r="N767" i="5" s="1"/>
  <c r="M759" i="5"/>
  <c r="N759" i="5" s="1"/>
  <c r="M751" i="5"/>
  <c r="N751" i="5" s="1"/>
  <c r="M743" i="5"/>
  <c r="N743" i="5" s="1"/>
  <c r="M735" i="5"/>
  <c r="N735" i="5" s="1"/>
  <c r="M727" i="5"/>
  <c r="N727" i="5" s="1"/>
  <c r="M719" i="5"/>
  <c r="N719" i="5" s="1"/>
  <c r="M711" i="5"/>
  <c r="N711" i="5" s="1"/>
  <c r="M703" i="5"/>
  <c r="N703" i="5" s="1"/>
  <c r="M695" i="5"/>
  <c r="N695" i="5" s="1"/>
  <c r="M687" i="5"/>
  <c r="N687" i="5" s="1"/>
  <c r="M679" i="5"/>
  <c r="N679" i="5" s="1"/>
  <c r="M671" i="5"/>
  <c r="N671" i="5" s="1"/>
  <c r="M639" i="5"/>
  <c r="N639" i="5" s="1"/>
  <c r="M631" i="5"/>
  <c r="N631" i="5" s="1"/>
  <c r="M607" i="5"/>
  <c r="N607" i="5" s="1"/>
  <c r="M599" i="5"/>
  <c r="N599" i="5" s="1"/>
  <c r="M583" i="5"/>
  <c r="N583" i="5" s="1"/>
  <c r="M567" i="5"/>
  <c r="N567" i="5" s="1"/>
  <c r="M551" i="5"/>
  <c r="N551" i="5" s="1"/>
  <c r="M535" i="5"/>
  <c r="N535" i="5" s="1"/>
  <c r="M519" i="5"/>
  <c r="N519" i="5" s="1"/>
  <c r="M503" i="5"/>
  <c r="N503" i="5" s="1"/>
  <c r="M487" i="5"/>
  <c r="N487" i="5" s="1"/>
  <c r="M471" i="5"/>
  <c r="N471" i="5" s="1"/>
  <c r="M455" i="5"/>
  <c r="N455" i="5" s="1"/>
  <c r="M439" i="5"/>
  <c r="N439" i="5" s="1"/>
  <c r="M423" i="5"/>
  <c r="N423" i="5" s="1"/>
  <c r="M407" i="5"/>
  <c r="N407" i="5" s="1"/>
  <c r="M391" i="5"/>
  <c r="N391" i="5" s="1"/>
  <c r="M375" i="5"/>
  <c r="N375" i="5" s="1"/>
  <c r="M359" i="5"/>
  <c r="N359" i="5" s="1"/>
  <c r="M343" i="5"/>
  <c r="N343" i="5" s="1"/>
  <c r="M327" i="5"/>
  <c r="N327" i="5" s="1"/>
  <c r="M311" i="5"/>
  <c r="N311" i="5" s="1"/>
  <c r="M295" i="5"/>
  <c r="N295" i="5" s="1"/>
  <c r="M279" i="5"/>
  <c r="N279" i="5" s="1"/>
  <c r="M263" i="5"/>
  <c r="N263" i="5" s="1"/>
  <c r="M247" i="5"/>
  <c r="N247" i="5" s="1"/>
  <c r="M231" i="5"/>
  <c r="N231" i="5" s="1"/>
  <c r="M215" i="5"/>
  <c r="N215" i="5" s="1"/>
  <c r="M199" i="5"/>
  <c r="N199" i="5" s="1"/>
  <c r="M183" i="5"/>
  <c r="N183" i="5" s="1"/>
  <c r="M167" i="5"/>
  <c r="N167" i="5" s="1"/>
  <c r="M151" i="5"/>
  <c r="N151" i="5" s="1"/>
  <c r="M135" i="5"/>
  <c r="N135" i="5" s="1"/>
  <c r="M119" i="5"/>
  <c r="N119" i="5" s="1"/>
  <c r="M103" i="5"/>
  <c r="N103" i="5" s="1"/>
  <c r="M87" i="5"/>
  <c r="N87" i="5" s="1"/>
  <c r="M71" i="5"/>
  <c r="N71" i="5" s="1"/>
  <c r="M55" i="5"/>
  <c r="N55" i="5" s="1"/>
  <c r="M39" i="5"/>
  <c r="N39" i="5" s="1"/>
  <c r="M23" i="5"/>
  <c r="N23" i="5" s="1"/>
  <c r="M7" i="5"/>
  <c r="N7" i="5" s="1"/>
  <c r="M26" i="5"/>
  <c r="N26" i="5" s="1"/>
  <c r="M990" i="5"/>
  <c r="N990" i="5" s="1"/>
  <c r="M982" i="5"/>
  <c r="N982" i="5" s="1"/>
  <c r="M974" i="5"/>
  <c r="N974" i="5" s="1"/>
  <c r="M966" i="5"/>
  <c r="N966" i="5" s="1"/>
  <c r="M958" i="5"/>
  <c r="N958" i="5" s="1"/>
  <c r="M950" i="5"/>
  <c r="N950" i="5" s="1"/>
  <c r="M942" i="5"/>
  <c r="N942" i="5" s="1"/>
  <c r="M934" i="5"/>
  <c r="N934" i="5" s="1"/>
  <c r="M926" i="5"/>
  <c r="N926" i="5" s="1"/>
  <c r="M918" i="5"/>
  <c r="N918" i="5" s="1"/>
  <c r="M910" i="5"/>
  <c r="N910" i="5" s="1"/>
  <c r="M902" i="5"/>
  <c r="N902" i="5" s="1"/>
  <c r="M894" i="5"/>
  <c r="N894" i="5" s="1"/>
  <c r="M886" i="5"/>
  <c r="N886" i="5" s="1"/>
  <c r="M878" i="5"/>
  <c r="N878" i="5" s="1"/>
  <c r="M870" i="5"/>
  <c r="N870" i="5" s="1"/>
  <c r="M862" i="5"/>
  <c r="N862" i="5" s="1"/>
  <c r="M854" i="5"/>
  <c r="N854" i="5" s="1"/>
  <c r="M846" i="5"/>
  <c r="N846" i="5" s="1"/>
  <c r="M838" i="5"/>
  <c r="N838" i="5" s="1"/>
  <c r="M830" i="5"/>
  <c r="N830" i="5" s="1"/>
  <c r="M822" i="5"/>
  <c r="N822" i="5" s="1"/>
  <c r="M814" i="5"/>
  <c r="N814" i="5" s="1"/>
  <c r="M806" i="5"/>
  <c r="N806" i="5" s="1"/>
  <c r="M798" i="5"/>
  <c r="N798" i="5" s="1"/>
  <c r="M790" i="5"/>
  <c r="N790" i="5" s="1"/>
  <c r="M782" i="5"/>
  <c r="N782" i="5" s="1"/>
  <c r="M774" i="5"/>
  <c r="N774" i="5" s="1"/>
  <c r="M766" i="5"/>
  <c r="N766" i="5" s="1"/>
  <c r="M758" i="5"/>
  <c r="N758" i="5" s="1"/>
  <c r="M750" i="5"/>
  <c r="N750" i="5" s="1"/>
  <c r="M742" i="5"/>
  <c r="N742" i="5" s="1"/>
  <c r="M734" i="5"/>
  <c r="N734" i="5" s="1"/>
  <c r="M726" i="5"/>
  <c r="N726" i="5" s="1"/>
  <c r="M718" i="5"/>
  <c r="N718" i="5" s="1"/>
  <c r="M710" i="5"/>
  <c r="N710" i="5" s="1"/>
  <c r="M702" i="5"/>
  <c r="N702" i="5" s="1"/>
  <c r="M694" i="5"/>
  <c r="N694" i="5" s="1"/>
  <c r="M686" i="5"/>
  <c r="N686" i="5" s="1"/>
  <c r="M678" i="5"/>
  <c r="N678" i="5" s="1"/>
  <c r="M670" i="5"/>
  <c r="N670" i="5" s="1"/>
  <c r="M662" i="5"/>
  <c r="N662" i="5" s="1"/>
  <c r="M654" i="5"/>
  <c r="N654" i="5" s="1"/>
  <c r="M646" i="5"/>
  <c r="N646" i="5" s="1"/>
  <c r="M638" i="5"/>
  <c r="N638" i="5" s="1"/>
  <c r="M630" i="5"/>
  <c r="N630" i="5" s="1"/>
  <c r="M622" i="5"/>
  <c r="N622" i="5" s="1"/>
  <c r="M614" i="5"/>
  <c r="N614" i="5" s="1"/>
  <c r="M606" i="5"/>
  <c r="N606" i="5" s="1"/>
  <c r="M598" i="5"/>
  <c r="N598" i="5" s="1"/>
  <c r="M590" i="5"/>
  <c r="N590" i="5" s="1"/>
  <c r="M582" i="5"/>
  <c r="N582" i="5" s="1"/>
  <c r="M574" i="5"/>
  <c r="N574" i="5" s="1"/>
  <c r="M566" i="5"/>
  <c r="N566" i="5" s="1"/>
  <c r="M558" i="5"/>
  <c r="N558" i="5" s="1"/>
  <c r="M550" i="5"/>
  <c r="N550" i="5" s="1"/>
  <c r="M542" i="5"/>
  <c r="N542" i="5" s="1"/>
  <c r="M534" i="5"/>
  <c r="N534" i="5" s="1"/>
  <c r="M526" i="5"/>
  <c r="N526" i="5" s="1"/>
  <c r="M518" i="5"/>
  <c r="N518" i="5" s="1"/>
  <c r="M510" i="5"/>
  <c r="N510" i="5" s="1"/>
  <c r="M502" i="5"/>
  <c r="N502" i="5" s="1"/>
  <c r="M494" i="5"/>
  <c r="N494" i="5" s="1"/>
  <c r="M486" i="5"/>
  <c r="N486" i="5" s="1"/>
  <c r="M478" i="5"/>
  <c r="N478" i="5" s="1"/>
  <c r="M470" i="5"/>
  <c r="N470" i="5" s="1"/>
  <c r="M462" i="5"/>
  <c r="N462" i="5" s="1"/>
  <c r="M454" i="5"/>
  <c r="N454" i="5" s="1"/>
  <c r="M446" i="5"/>
  <c r="N446" i="5" s="1"/>
  <c r="M438" i="5"/>
  <c r="N438" i="5" s="1"/>
  <c r="M430" i="5"/>
  <c r="N430" i="5" s="1"/>
  <c r="M422" i="5"/>
  <c r="N422" i="5" s="1"/>
  <c r="M414" i="5"/>
  <c r="N414" i="5" s="1"/>
  <c r="M406" i="5"/>
  <c r="N406" i="5" s="1"/>
  <c r="M398" i="5"/>
  <c r="N398" i="5" s="1"/>
  <c r="M390" i="5"/>
  <c r="N390" i="5" s="1"/>
  <c r="M382" i="5"/>
  <c r="N382" i="5" s="1"/>
  <c r="M374" i="5"/>
  <c r="N374" i="5" s="1"/>
  <c r="M366" i="5"/>
  <c r="N366" i="5" s="1"/>
  <c r="M358" i="5"/>
  <c r="N358" i="5" s="1"/>
  <c r="M350" i="5"/>
  <c r="N350" i="5" s="1"/>
  <c r="M342" i="5"/>
  <c r="N342" i="5" s="1"/>
  <c r="M334" i="5"/>
  <c r="N334" i="5" s="1"/>
  <c r="M326" i="5"/>
  <c r="N326" i="5" s="1"/>
  <c r="M318" i="5"/>
  <c r="N318" i="5" s="1"/>
  <c r="M310" i="5"/>
  <c r="N310" i="5" s="1"/>
  <c r="M302" i="5"/>
  <c r="N302" i="5" s="1"/>
  <c r="M294" i="5"/>
  <c r="N294" i="5" s="1"/>
  <c r="M286" i="5"/>
  <c r="N286" i="5" s="1"/>
  <c r="M278" i="5"/>
  <c r="N278" i="5" s="1"/>
  <c r="M270" i="5"/>
  <c r="N270" i="5" s="1"/>
  <c r="M262" i="5"/>
  <c r="N262" i="5" s="1"/>
  <c r="M254" i="5"/>
  <c r="N254" i="5" s="1"/>
  <c r="M246" i="5"/>
  <c r="N246" i="5" s="1"/>
  <c r="M238" i="5"/>
  <c r="N238" i="5" s="1"/>
  <c r="M230" i="5"/>
  <c r="N230" i="5" s="1"/>
  <c r="M222" i="5"/>
  <c r="N222" i="5" s="1"/>
  <c r="M214" i="5"/>
  <c r="N214" i="5" s="1"/>
  <c r="M206" i="5"/>
  <c r="N206" i="5" s="1"/>
  <c r="M198" i="5"/>
  <c r="N198" i="5" s="1"/>
  <c r="M190" i="5"/>
  <c r="N190" i="5" s="1"/>
  <c r="M182" i="5"/>
  <c r="N182" i="5" s="1"/>
  <c r="M174" i="5"/>
  <c r="N174" i="5" s="1"/>
  <c r="M166" i="5"/>
  <c r="N166" i="5" s="1"/>
  <c r="M158" i="5"/>
  <c r="N158" i="5" s="1"/>
  <c r="M150" i="5"/>
  <c r="N150" i="5" s="1"/>
  <c r="M142" i="5"/>
  <c r="N142" i="5" s="1"/>
  <c r="M134" i="5"/>
  <c r="N134" i="5" s="1"/>
  <c r="M126" i="5"/>
  <c r="N126" i="5" s="1"/>
  <c r="M118" i="5"/>
  <c r="N118" i="5" s="1"/>
  <c r="M110" i="5"/>
  <c r="N110" i="5" s="1"/>
  <c r="M102" i="5"/>
  <c r="N102" i="5" s="1"/>
  <c r="M94" i="5"/>
  <c r="N94" i="5" s="1"/>
  <c r="M86" i="5"/>
  <c r="N86" i="5" s="1"/>
  <c r="M78" i="5"/>
  <c r="N78" i="5" s="1"/>
  <c r="M70" i="5"/>
  <c r="N70" i="5" s="1"/>
  <c r="M62" i="5"/>
  <c r="N62" i="5" s="1"/>
  <c r="M54" i="5"/>
  <c r="N54" i="5" s="1"/>
  <c r="M46" i="5"/>
  <c r="N46" i="5" s="1"/>
  <c r="M38" i="5"/>
  <c r="N38" i="5" s="1"/>
  <c r="M30" i="5"/>
  <c r="N30" i="5" s="1"/>
  <c r="M22" i="5"/>
  <c r="N22" i="5" s="1"/>
  <c r="M14" i="5"/>
  <c r="N14" i="5" s="1"/>
  <c r="M6" i="5"/>
  <c r="N6" i="5" s="1"/>
  <c r="E117" i="5"/>
  <c r="E141" i="5"/>
  <c r="E181" i="5"/>
  <c r="E189" i="5"/>
  <c r="E205" i="5"/>
  <c r="E229" i="5"/>
  <c r="E245" i="5"/>
  <c r="E253" i="5"/>
  <c r="E285" i="5"/>
  <c r="E309" i="5"/>
  <c r="E325" i="5"/>
  <c r="E349" i="5"/>
  <c r="E357" i="5"/>
  <c r="E373" i="5"/>
  <c r="E389" i="5"/>
  <c r="E413" i="5"/>
  <c r="E421" i="5"/>
  <c r="E437" i="5"/>
  <c r="E445" i="5"/>
  <c r="E453" i="5"/>
  <c r="E485" i="5"/>
  <c r="E517" i="5"/>
  <c r="E541" i="5"/>
  <c r="E549" i="5"/>
  <c r="E557" i="5"/>
  <c r="E597" i="5"/>
  <c r="E605" i="5"/>
  <c r="E613" i="5"/>
  <c r="E621" i="5"/>
  <c r="E629" i="5"/>
  <c r="E637" i="5"/>
  <c r="E661" i="5"/>
  <c r="E677" i="5"/>
  <c r="E685" i="5"/>
  <c r="E693" i="5"/>
  <c r="E701" i="5"/>
  <c r="E709" i="5"/>
  <c r="E717" i="5"/>
  <c r="E725" i="5"/>
  <c r="E179" i="5"/>
  <c r="E235" i="5"/>
  <c r="E243" i="5"/>
  <c r="E291" i="5"/>
  <c r="E299" i="5"/>
  <c r="E347" i="5"/>
  <c r="E355" i="5"/>
  <c r="E363" i="5"/>
  <c r="E371" i="5"/>
  <c r="E435" i="5"/>
  <c r="E491" i="5"/>
  <c r="E507" i="5"/>
  <c r="E691" i="5"/>
  <c r="E699" i="5"/>
  <c r="E731" i="5"/>
  <c r="E747" i="5"/>
  <c r="E476" i="5"/>
  <c r="E484" i="5"/>
  <c r="E500" i="5"/>
  <c r="E508" i="5"/>
  <c r="E516" i="5"/>
  <c r="E532" i="5"/>
  <c r="E540" i="5"/>
  <c r="E548" i="5"/>
  <c r="E556" i="5"/>
  <c r="E564" i="5"/>
  <c r="E572" i="5"/>
  <c r="E580" i="5"/>
  <c r="E588" i="5"/>
  <c r="E596" i="5"/>
  <c r="E604" i="5"/>
  <c r="E612" i="5"/>
  <c r="E620" i="5"/>
  <c r="E628" i="5"/>
  <c r="E636" i="5"/>
  <c r="E644" i="5"/>
  <c r="E652" i="5"/>
  <c r="E660" i="5"/>
  <c r="E668" i="5"/>
  <c r="E676" i="5"/>
  <c r="E708" i="5"/>
  <c r="E732" i="5"/>
  <c r="E748" i="5"/>
  <c r="E980" i="5"/>
  <c r="E741" i="5"/>
  <c r="E789" i="5"/>
  <c r="E893" i="5"/>
  <c r="E933" i="5"/>
  <c r="E1085" i="5"/>
  <c r="E733" i="5"/>
  <c r="E749" i="5"/>
  <c r="E757" i="5"/>
  <c r="E781" i="5"/>
  <c r="E797" i="5"/>
  <c r="E813" i="5"/>
  <c r="E845" i="5"/>
  <c r="E853" i="5"/>
  <c r="E877" i="5"/>
  <c r="E901" i="5"/>
  <c r="E909" i="5"/>
  <c r="E917" i="5"/>
  <c r="E925" i="5"/>
  <c r="E941" i="5"/>
  <c r="E949" i="5"/>
  <c r="E973" i="5"/>
  <c r="E981" i="5"/>
  <c r="E1005" i="5"/>
  <c r="E1021" i="5"/>
  <c r="E1029" i="5"/>
  <c r="E1037" i="5"/>
  <c r="E1045" i="5"/>
  <c r="E1053" i="5"/>
  <c r="E1069" i="5"/>
  <c r="E1077" i="5"/>
  <c r="E1093" i="5"/>
  <c r="E6" i="5"/>
  <c r="E14" i="5"/>
  <c r="E22" i="5"/>
  <c r="E30" i="5"/>
  <c r="E38" i="5"/>
  <c r="E46" i="5"/>
  <c r="E54" i="5"/>
  <c r="E62" i="5"/>
  <c r="E70" i="5"/>
  <c r="E78" i="5"/>
  <c r="E86" i="5"/>
  <c r="E126" i="5"/>
  <c r="E158" i="5"/>
  <c r="E190" i="5"/>
  <c r="E222" i="5"/>
  <c r="E254" i="5"/>
  <c r="E318" i="5"/>
  <c r="E326" i="5"/>
  <c r="E390" i="5"/>
  <c r="E454" i="5"/>
  <c r="E702" i="5"/>
  <c r="E710" i="5"/>
  <c r="E726" i="5"/>
  <c r="E734" i="5"/>
  <c r="E742" i="5"/>
  <c r="E750" i="5"/>
  <c r="E782" i="5"/>
  <c r="E790" i="5"/>
  <c r="E806" i="5"/>
  <c r="E814" i="5"/>
  <c r="E822" i="5"/>
  <c r="E830" i="5"/>
  <c r="E838" i="5"/>
  <c r="E846" i="5"/>
  <c r="E854" i="5"/>
  <c r="E862" i="5"/>
  <c r="E870" i="5"/>
  <c r="E878" i="5"/>
  <c r="E886" i="5"/>
  <c r="E902" i="5"/>
  <c r="E910" i="5"/>
  <c r="E918" i="5"/>
  <c r="E926" i="5"/>
  <c r="E934" i="5"/>
  <c r="E942" i="5"/>
  <c r="E950" i="5"/>
  <c r="E966" i="5"/>
  <c r="E974" i="5"/>
  <c r="E982" i="5"/>
  <c r="E990" i="5"/>
  <c r="E998" i="5"/>
  <c r="E1006" i="5"/>
  <c r="E1014" i="5"/>
  <c r="E1022" i="5"/>
  <c r="E1038" i="5"/>
  <c r="E1046" i="5"/>
  <c r="E1062" i="5"/>
  <c r="E1070" i="5"/>
  <c r="E1078" i="5"/>
  <c r="E671" i="5"/>
  <c r="E767" i="5"/>
  <c r="E783" i="5"/>
  <c r="E807" i="5"/>
  <c r="E831" i="5"/>
  <c r="E855" i="5"/>
  <c r="E871" i="5"/>
  <c r="E911" i="5"/>
  <c r="E8" i="5"/>
  <c r="E16" i="5"/>
  <c r="E24" i="5"/>
  <c r="E32" i="5"/>
  <c r="E40" i="5"/>
  <c r="E48" i="5"/>
  <c r="E64" i="5"/>
  <c r="E112" i="5"/>
  <c r="E120" i="5"/>
  <c r="E128" i="5"/>
  <c r="E136" i="5"/>
  <c r="E144" i="5"/>
  <c r="E152" i="5"/>
  <c r="E160" i="5"/>
  <c r="E176" i="5"/>
  <c r="E184" i="5"/>
  <c r="E192" i="5"/>
  <c r="E200" i="5"/>
  <c r="E208" i="5"/>
  <c r="E216" i="5"/>
  <c r="E224" i="5"/>
  <c r="E240" i="5"/>
  <c r="E248" i="5"/>
  <c r="E256" i="5"/>
  <c r="E272" i="5"/>
  <c r="E280" i="5"/>
  <c r="E288" i="5"/>
  <c r="E296" i="5"/>
  <c r="E304" i="5"/>
  <c r="E320" i="5"/>
  <c r="E336" i="5"/>
  <c r="E352" i="5"/>
  <c r="E360" i="5"/>
  <c r="E368" i="5"/>
  <c r="E376" i="5"/>
  <c r="E384" i="5"/>
  <c r="E400" i="5"/>
  <c r="E408" i="5"/>
  <c r="E416" i="5"/>
  <c r="E424" i="5"/>
  <c r="E432" i="5"/>
  <c r="E440" i="5"/>
  <c r="E448" i="5"/>
  <c r="E464" i="5"/>
  <c r="E472" i="5"/>
  <c r="E488" i="5"/>
  <c r="E504" i="5"/>
  <c r="E520" i="5"/>
  <c r="E544" i="5"/>
  <c r="E552" i="5"/>
  <c r="E568" i="5"/>
  <c r="E608" i="5"/>
  <c r="E616" i="5"/>
  <c r="E632" i="5"/>
  <c r="E672" i="5"/>
  <c r="E680" i="5"/>
  <c r="E95" i="5"/>
  <c r="E111" i="5"/>
  <c r="E127" i="5"/>
  <c r="E143" i="5"/>
  <c r="E167" i="5"/>
  <c r="E207" i="5"/>
  <c r="E223" i="5"/>
  <c r="E247" i="5"/>
  <c r="E263" i="5"/>
  <c r="E279" i="5"/>
  <c r="E327" i="5"/>
  <c r="E343" i="5"/>
  <c r="E351" i="5"/>
  <c r="E359" i="5"/>
  <c r="E367" i="5"/>
  <c r="E375" i="5"/>
  <c r="E383" i="5"/>
  <c r="E399" i="5"/>
  <c r="E407" i="5"/>
  <c r="E415" i="5"/>
  <c r="E423" i="5"/>
  <c r="E431" i="5"/>
  <c r="E439" i="5"/>
  <c r="E447" i="5"/>
  <c r="E455" i="5"/>
  <c r="E463" i="5"/>
  <c r="E471" i="5"/>
  <c r="E487" i="5"/>
  <c r="E495" i="5"/>
  <c r="E503" i="5"/>
  <c r="E519" i="5"/>
  <c r="E527" i="5"/>
  <c r="E543" i="5"/>
  <c r="E575" i="5"/>
  <c r="E583" i="5"/>
  <c r="E631" i="5"/>
  <c r="E639" i="5"/>
  <c r="E647" i="5"/>
  <c r="E663" i="5"/>
  <c r="E775" i="5"/>
  <c r="E799" i="5"/>
  <c r="E823" i="5"/>
  <c r="E847" i="5"/>
  <c r="E879" i="5"/>
  <c r="E919" i="5"/>
  <c r="E9" i="5"/>
  <c r="E17" i="5"/>
  <c r="E25" i="5"/>
  <c r="E33" i="5"/>
  <c r="E41" i="5"/>
  <c r="E49" i="5"/>
  <c r="E57" i="5"/>
  <c r="E65" i="5"/>
  <c r="E73" i="5"/>
  <c r="E81" i="5"/>
  <c r="E89" i="5"/>
  <c r="E689" i="5"/>
  <c r="E729" i="5"/>
  <c r="E745" i="5"/>
  <c r="E753" i="5"/>
  <c r="E103" i="5"/>
  <c r="E119" i="5"/>
  <c r="E135" i="5"/>
  <c r="E151" i="5"/>
  <c r="E159" i="5"/>
  <c r="E175" i="5"/>
  <c r="E215" i="5"/>
  <c r="E231" i="5"/>
  <c r="E239" i="5"/>
  <c r="E255" i="5"/>
  <c r="E271" i="5"/>
  <c r="E319" i="5"/>
  <c r="E335" i="5"/>
  <c r="E391" i="5"/>
  <c r="E791" i="5"/>
  <c r="E815" i="5"/>
  <c r="E839" i="5"/>
  <c r="E863" i="5"/>
  <c r="E895" i="5"/>
  <c r="E903" i="5"/>
  <c r="E138" i="5"/>
  <c r="E146" i="5"/>
  <c r="E154" i="5"/>
  <c r="E162" i="5"/>
  <c r="E170" i="5"/>
  <c r="E178" i="5"/>
  <c r="E186" i="5"/>
  <c r="E194" i="5"/>
  <c r="E202" i="5"/>
  <c r="E210" i="5"/>
  <c r="E218" i="5"/>
  <c r="E226" i="5"/>
  <c r="E234" i="5"/>
  <c r="E242" i="5"/>
  <c r="E250" i="5"/>
  <c r="E258" i="5"/>
  <c r="E266" i="5"/>
  <c r="E274" i="5"/>
  <c r="E314" i="5"/>
  <c r="E322" i="5"/>
  <c r="E330" i="5"/>
  <c r="E338" i="5"/>
  <c r="E346" i="5"/>
  <c r="E354" i="5"/>
  <c r="E362" i="5"/>
  <c r="E370" i="5"/>
  <c r="E378" i="5"/>
  <c r="E386" i="5"/>
  <c r="E394" i="5"/>
  <c r="E402" i="5"/>
  <c r="E410" i="5"/>
  <c r="E418" i="5"/>
  <c r="E426" i="5"/>
  <c r="E442" i="5"/>
  <c r="E450" i="5"/>
  <c r="E458" i="5"/>
  <c r="E466" i="5"/>
  <c r="E482" i="5"/>
  <c r="E498" i="5"/>
  <c r="E530" i="5"/>
  <c r="E538" i="5"/>
  <c r="E546" i="5"/>
  <c r="E562" i="5"/>
  <c r="E570" i="5"/>
  <c r="E586" i="5"/>
  <c r="E594" i="5"/>
  <c r="E610" i="5"/>
  <c r="E618" i="5"/>
  <c r="E626" i="5"/>
  <c r="E634" i="5"/>
  <c r="E650" i="5"/>
  <c r="E666" i="5"/>
  <c r="E674" i="5"/>
  <c r="E277" i="5"/>
  <c r="E852" i="5"/>
  <c r="E765" i="5"/>
  <c r="E1019" i="5"/>
  <c r="E795" i="5"/>
  <c r="E821" i="5"/>
  <c r="E965" i="5"/>
  <c r="E392" i="5"/>
  <c r="E706" i="5"/>
  <c r="E125" i="5"/>
  <c r="E514" i="5"/>
  <c r="E690" i="5"/>
  <c r="E948" i="5"/>
  <c r="E101" i="5"/>
  <c r="E298" i="5"/>
  <c r="E405" i="5"/>
  <c r="E658" i="5"/>
  <c r="E758" i="5"/>
  <c r="E827" i="5"/>
  <c r="E1076" i="5"/>
  <c r="E168" i="5"/>
  <c r="E197" i="5"/>
  <c r="E501" i="5"/>
  <c r="E599" i="5"/>
  <c r="E341" i="5"/>
  <c r="E317" i="5"/>
  <c r="E115" i="5"/>
  <c r="E382" i="5"/>
  <c r="E461" i="5"/>
  <c r="E344" i="5"/>
  <c r="E524" i="5"/>
  <c r="E554" i="5"/>
  <c r="E705" i="5"/>
  <c r="E906" i="5"/>
  <c r="E958" i="5"/>
  <c r="E987" i="5"/>
  <c r="E1091" i="5"/>
  <c r="E221" i="5"/>
  <c r="E282" i="5"/>
  <c r="E302" i="5"/>
  <c r="E365" i="5"/>
  <c r="E397" i="5"/>
  <c r="E567" i="5"/>
  <c r="E591" i="5"/>
  <c r="E763" i="5"/>
  <c r="E798" i="5"/>
  <c r="E861" i="5"/>
  <c r="E885" i="5"/>
  <c r="E894" i="5"/>
  <c r="E924" i="5"/>
  <c r="E994" i="5"/>
  <c r="E802" i="5"/>
  <c r="E1013" i="5"/>
  <c r="E842" i="5"/>
  <c r="E1058" i="5"/>
  <c r="E739" i="5"/>
  <c r="E774" i="5"/>
  <c r="E1052" i="5"/>
  <c r="E511" i="5"/>
  <c r="E615" i="5"/>
  <c r="E722" i="5"/>
  <c r="E778" i="5"/>
  <c r="E923" i="5"/>
  <c r="E1061" i="5"/>
  <c r="E834" i="5"/>
  <c r="E1051" i="5"/>
  <c r="E429" i="5"/>
  <c r="E560" i="5"/>
  <c r="E551" i="5"/>
  <c r="E916" i="5"/>
  <c r="E713" i="5"/>
  <c r="E891" i="5"/>
  <c r="E997" i="5"/>
  <c r="E157" i="5"/>
  <c r="E173" i="5"/>
  <c r="E267" i="5"/>
  <c r="E293" i="5"/>
  <c r="E333" i="5"/>
  <c r="E430" i="5"/>
  <c r="E692" i="5"/>
  <c r="E698" i="5"/>
  <c r="E762" i="5"/>
  <c r="E766" i="5"/>
  <c r="E773" i="5"/>
  <c r="E860" i="5"/>
  <c r="E1012" i="5"/>
  <c r="E1090" i="5"/>
  <c r="E80" i="5"/>
  <c r="E107" i="5"/>
  <c r="E147" i="5"/>
  <c r="E183" i="5"/>
  <c r="E199" i="5"/>
  <c r="E328" i="5"/>
  <c r="E559" i="5"/>
  <c r="E623" i="5"/>
  <c r="E682" i="5"/>
  <c r="E715" i="5"/>
  <c r="E820" i="5"/>
  <c r="E837" i="5"/>
  <c r="E1030" i="5"/>
  <c r="E1066" i="5"/>
  <c r="E1086" i="5"/>
  <c r="E456" i="5"/>
  <c r="E796" i="5"/>
  <c r="E866" i="5"/>
  <c r="E642" i="5"/>
  <c r="E898" i="5"/>
  <c r="E930" i="5"/>
  <c r="E1044" i="5"/>
  <c r="E213" i="5"/>
  <c r="E290" i="5"/>
  <c r="E104" i="5"/>
  <c r="E264" i="5"/>
  <c r="E269" i="5"/>
  <c r="E301" i="5"/>
  <c r="E381" i="5"/>
  <c r="E479" i="5"/>
  <c r="E492" i="5"/>
  <c r="E723" i="5"/>
  <c r="E884" i="5"/>
  <c r="E988" i="5"/>
  <c r="E1026" i="5"/>
  <c r="E203" i="5"/>
  <c r="E237" i="5"/>
  <c r="E427" i="5"/>
  <c r="E109" i="5"/>
  <c r="E133" i="5"/>
  <c r="E165" i="5"/>
  <c r="E275" i="5"/>
  <c r="E56" i="5"/>
  <c r="E72" i="5"/>
  <c r="E88" i="5"/>
  <c r="E139" i="5"/>
  <c r="E149" i="5"/>
  <c r="E171" i="5"/>
  <c r="E191" i="5"/>
  <c r="E211" i="5"/>
  <c r="E306" i="5"/>
  <c r="E312" i="5"/>
  <c r="E434" i="5"/>
  <c r="E446" i="5"/>
  <c r="E528" i="5"/>
  <c r="E535" i="5"/>
  <c r="E578" i="5"/>
  <c r="E602" i="5"/>
  <c r="E607" i="5"/>
  <c r="E655" i="5"/>
  <c r="E718" i="5"/>
  <c r="E755" i="5"/>
  <c r="E770" i="5"/>
  <c r="E829" i="5"/>
  <c r="E869" i="5"/>
  <c r="E899" i="5"/>
  <c r="E1039" i="5"/>
  <c r="E232" i="5"/>
  <c r="E261" i="5"/>
  <c r="E366" i="5"/>
  <c r="E395" i="5"/>
  <c r="E411" i="5"/>
  <c r="E469" i="5"/>
  <c r="E499" i="5"/>
  <c r="E707" i="5"/>
  <c r="E805" i="5"/>
  <c r="E955" i="5"/>
  <c r="E1034" i="5"/>
  <c r="E1071" i="5"/>
  <c r="E935" i="5"/>
  <c r="E959" i="5"/>
  <c r="E1007" i="5"/>
  <c r="E1087" i="5"/>
  <c r="E989" i="5"/>
  <c r="E1027" i="5"/>
  <c r="E1054" i="5"/>
  <c r="E1063" i="5"/>
  <c r="E1083" i="5"/>
  <c r="E957" i="5"/>
  <c r="E970" i="5"/>
  <c r="E975" i="5"/>
  <c r="E1023" i="5"/>
  <c r="E1031" i="5"/>
  <c r="E459" i="5"/>
  <c r="E475" i="5"/>
  <c r="E565" i="5"/>
  <c r="E624" i="5"/>
  <c r="E669" i="5"/>
  <c r="E716" i="5"/>
  <c r="E788" i="5"/>
  <c r="E859" i="5"/>
  <c r="E943" i="5"/>
  <c r="E962" i="5"/>
  <c r="E967" i="5"/>
  <c r="E999" i="5"/>
  <c r="E1055" i="5"/>
  <c r="E1089" i="5"/>
  <c r="G9" i="3"/>
  <c r="G10" i="3"/>
  <c r="G4" i="3"/>
  <c r="G8" i="3"/>
  <c r="G11" i="3"/>
  <c r="E60" i="5"/>
  <c r="E76" i="5"/>
  <c r="E84" i="5"/>
  <c r="E92" i="5"/>
  <c r="E98" i="5"/>
  <c r="E148" i="5"/>
  <c r="E180" i="5"/>
  <c r="E212" i="5"/>
  <c r="E379" i="5"/>
  <c r="E398" i="5"/>
  <c r="E443" i="5"/>
  <c r="E843" i="5"/>
  <c r="E4" i="5"/>
  <c r="E7" i="5"/>
  <c r="E12" i="5"/>
  <c r="E15" i="5"/>
  <c r="E20" i="5"/>
  <c r="E23" i="5"/>
  <c r="E28" i="5"/>
  <c r="E31" i="5"/>
  <c r="E36" i="5"/>
  <c r="E39" i="5"/>
  <c r="E44" i="5"/>
  <c r="E47" i="5"/>
  <c r="E52" i="5"/>
  <c r="E55" i="5"/>
  <c r="E63" i="5"/>
  <c r="E68" i="5"/>
  <c r="E71" i="5"/>
  <c r="E79" i="5"/>
  <c r="E87" i="5"/>
  <c r="E102" i="5"/>
  <c r="E123" i="5"/>
  <c r="E134" i="5"/>
  <c r="E155" i="5"/>
  <c r="E166" i="5"/>
  <c r="E187" i="5"/>
  <c r="E198" i="5"/>
  <c r="E219" i="5"/>
  <c r="E230" i="5"/>
  <c r="E251" i="5"/>
  <c r="E262" i="5"/>
  <c r="E283" i="5"/>
  <c r="E286" i="5"/>
  <c r="E300" i="5"/>
  <c r="E310" i="5"/>
  <c r="E323" i="5"/>
  <c r="E334" i="5"/>
  <c r="E342" i="5"/>
  <c r="E361" i="5"/>
  <c r="E372" i="5"/>
  <c r="E387" i="5"/>
  <c r="E406" i="5"/>
  <c r="E425" i="5"/>
  <c r="E436" i="5"/>
  <c r="E451" i="5"/>
  <c r="E462" i="5"/>
  <c r="E470" i="5"/>
  <c r="E474" i="5"/>
  <c r="E515" i="5"/>
  <c r="E542" i="5"/>
  <c r="E573" i="5"/>
  <c r="E576" i="5"/>
  <c r="E581" i="5"/>
  <c r="E584" i="5"/>
  <c r="E603" i="5"/>
  <c r="E622" i="5"/>
  <c r="E651" i="5"/>
  <c r="E656" i="5"/>
  <c r="E670" i="5"/>
  <c r="E793" i="5"/>
  <c r="E835" i="5"/>
  <c r="E1035" i="5"/>
  <c r="E1049" i="5"/>
  <c r="E1067" i="5"/>
  <c r="E409" i="5"/>
  <c r="E420" i="5"/>
  <c r="E502" i="5"/>
  <c r="E664" i="5"/>
  <c r="E201" i="5"/>
  <c r="E353" i="5"/>
  <c r="E364" i="5"/>
  <c r="E417" i="5"/>
  <c r="E428" i="5"/>
  <c r="E536" i="5"/>
  <c r="E589" i="5"/>
  <c r="E630" i="5"/>
  <c r="E659" i="5"/>
  <c r="E801" i="5"/>
  <c r="E881" i="5"/>
  <c r="E10" i="5"/>
  <c r="E18" i="5"/>
  <c r="E42" i="5"/>
  <c r="E58" i="5"/>
  <c r="E66" i="5"/>
  <c r="E82" i="5"/>
  <c r="E93" i="5"/>
  <c r="E99" i="5"/>
  <c r="E124" i="5"/>
  <c r="E156" i="5"/>
  <c r="E220" i="5"/>
  <c r="E252" i="5"/>
  <c r="E297" i="5"/>
  <c r="E307" i="5"/>
  <c r="E324" i="5"/>
  <c r="E331" i="5"/>
  <c r="E350" i="5"/>
  <c r="E380" i="5"/>
  <c r="E414" i="5"/>
  <c r="E444" i="5"/>
  <c r="E533" i="5"/>
  <c r="E547" i="5"/>
  <c r="E614" i="5"/>
  <c r="E675" i="5"/>
  <c r="E703" i="5"/>
  <c r="E779" i="5"/>
  <c r="E817" i="5"/>
  <c r="E1059" i="5"/>
  <c r="E2" i="5"/>
  <c r="E5" i="5"/>
  <c r="E13" i="5"/>
  <c r="E21" i="5"/>
  <c r="E26" i="5"/>
  <c r="E29" i="5"/>
  <c r="E34" i="5"/>
  <c r="E37" i="5"/>
  <c r="E45" i="5"/>
  <c r="E50" i="5"/>
  <c r="E53" i="5"/>
  <c r="E61" i="5"/>
  <c r="E69" i="5"/>
  <c r="E74" i="5"/>
  <c r="E77" i="5"/>
  <c r="E85" i="5"/>
  <c r="E90" i="5"/>
  <c r="E96" i="5"/>
  <c r="E110" i="5"/>
  <c r="E113" i="5"/>
  <c r="E131" i="5"/>
  <c r="E142" i="5"/>
  <c r="E163" i="5"/>
  <c r="E174" i="5"/>
  <c r="E195" i="5"/>
  <c r="E206" i="5"/>
  <c r="E209" i="5"/>
  <c r="E227" i="5"/>
  <c r="E238" i="5"/>
  <c r="E259" i="5"/>
  <c r="E270" i="5"/>
  <c r="E281" i="5"/>
  <c r="E284" i="5"/>
  <c r="E294" i="5"/>
  <c r="E321" i="5"/>
  <c r="E339" i="5"/>
  <c r="E358" i="5"/>
  <c r="E377" i="5"/>
  <c r="E388" i="5"/>
  <c r="E403" i="5"/>
  <c r="E422" i="5"/>
  <c r="E433" i="5"/>
  <c r="E441" i="5"/>
  <c r="E452" i="5"/>
  <c r="E467" i="5"/>
  <c r="E483" i="5"/>
  <c r="E600" i="5"/>
  <c r="E686" i="5"/>
  <c r="E754" i="5"/>
  <c r="E771" i="5"/>
  <c r="E780" i="5"/>
  <c r="E985" i="5"/>
  <c r="E1028" i="5"/>
  <c r="E1041" i="5"/>
  <c r="E100" i="5"/>
  <c r="E132" i="5"/>
  <c r="E164" i="5"/>
  <c r="E196" i="5"/>
  <c r="E228" i="5"/>
  <c r="E260" i="5"/>
  <c r="E308" i="5"/>
  <c r="E332" i="5"/>
  <c r="E396" i="5"/>
  <c r="E460" i="5"/>
  <c r="E512" i="5"/>
  <c r="E525" i="5"/>
  <c r="E566" i="5"/>
  <c r="E595" i="5"/>
  <c r="E640" i="5"/>
  <c r="E648" i="5"/>
  <c r="E653" i="5"/>
  <c r="E971" i="5"/>
  <c r="E1009" i="5"/>
  <c r="E313" i="5"/>
  <c r="E356" i="5"/>
  <c r="E473" i="5"/>
  <c r="E490" i="5"/>
  <c r="E857" i="5"/>
  <c r="E105" i="5"/>
  <c r="E169" i="5"/>
  <c r="E233" i="5"/>
  <c r="E244" i="5"/>
  <c r="E276" i="5"/>
  <c r="E345" i="5"/>
  <c r="E486" i="5"/>
  <c r="E730" i="5"/>
  <c r="E145" i="5"/>
  <c r="E177" i="5"/>
  <c r="E188" i="5"/>
  <c r="E241" i="5"/>
  <c r="E273" i="5"/>
  <c r="E369" i="5"/>
  <c r="G3" i="3"/>
  <c r="E3" i="5"/>
  <c r="E11" i="5"/>
  <c r="E19" i="5"/>
  <c r="E27" i="5"/>
  <c r="E35" i="5"/>
  <c r="E43" i="5"/>
  <c r="E51" i="5"/>
  <c r="E59" i="5"/>
  <c r="E67" i="5"/>
  <c r="E75" i="5"/>
  <c r="E83" i="5"/>
  <c r="E91" i="5"/>
  <c r="E94" i="5"/>
  <c r="E97" i="5"/>
  <c r="E118" i="5"/>
  <c r="E121" i="5"/>
  <c r="E150" i="5"/>
  <c r="E153" i="5"/>
  <c r="E182" i="5"/>
  <c r="E185" i="5"/>
  <c r="E214" i="5"/>
  <c r="E217" i="5"/>
  <c r="E246" i="5"/>
  <c r="E249" i="5"/>
  <c r="E278" i="5"/>
  <c r="E305" i="5"/>
  <c r="E315" i="5"/>
  <c r="E329" i="5"/>
  <c r="E340" i="5"/>
  <c r="E374" i="5"/>
  <c r="E385" i="5"/>
  <c r="E393" i="5"/>
  <c r="E404" i="5"/>
  <c r="E419" i="5"/>
  <c r="E438" i="5"/>
  <c r="E449" i="5"/>
  <c r="E457" i="5"/>
  <c r="E468" i="5"/>
  <c r="E480" i="5"/>
  <c r="E493" i="5"/>
  <c r="E496" i="5"/>
  <c r="E505" i="5"/>
  <c r="E509" i="5"/>
  <c r="E522" i="5"/>
  <c r="E539" i="5"/>
  <c r="E558" i="5"/>
  <c r="E587" i="5"/>
  <c r="E592" i="5"/>
  <c r="E606" i="5"/>
  <c r="E645" i="5"/>
  <c r="E667" i="5"/>
  <c r="E683" i="5"/>
  <c r="E687" i="5"/>
  <c r="E921" i="5"/>
  <c r="E963" i="5"/>
  <c r="E316" i="5"/>
  <c r="E116" i="5"/>
  <c r="E137" i="5"/>
  <c r="E265" i="5"/>
  <c r="E108" i="5"/>
  <c r="E129" i="5"/>
  <c r="E140" i="5"/>
  <c r="E161" i="5"/>
  <c r="E172" i="5"/>
  <c r="E193" i="5"/>
  <c r="E204" i="5"/>
  <c r="E225" i="5"/>
  <c r="E236" i="5"/>
  <c r="E257" i="5"/>
  <c r="E268" i="5"/>
  <c r="E289" i="5"/>
  <c r="E292" i="5"/>
  <c r="E337" i="5"/>
  <c r="E348" i="5"/>
  <c r="E401" i="5"/>
  <c r="E412" i="5"/>
  <c r="E465" i="5"/>
  <c r="E477" i="5"/>
  <c r="E489" i="5"/>
  <c r="E506" i="5"/>
  <c r="E518" i="5"/>
  <c r="E550" i="5"/>
  <c r="E611" i="5"/>
  <c r="E678" i="5"/>
  <c r="E737" i="5"/>
  <c r="E746" i="5"/>
  <c r="E907" i="5"/>
  <c r="E945" i="5"/>
  <c r="E526" i="5"/>
  <c r="E574" i="5"/>
  <c r="E638" i="5"/>
  <c r="E700" i="5"/>
  <c r="E772" i="5"/>
  <c r="E808" i="5"/>
  <c r="E836" i="5"/>
  <c r="E900" i="5"/>
  <c r="E964" i="5"/>
  <c r="E1092" i="5"/>
  <c r="E287" i="5"/>
  <c r="E295" i="5"/>
  <c r="E303" i="5"/>
  <c r="E311" i="5"/>
  <c r="E478" i="5"/>
  <c r="E481" i="5"/>
  <c r="E494" i="5"/>
  <c r="E497" i="5"/>
  <c r="E510" i="5"/>
  <c r="E513" i="5"/>
  <c r="E523" i="5"/>
  <c r="E555" i="5"/>
  <c r="E563" i="5"/>
  <c r="E582" i="5"/>
  <c r="E619" i="5"/>
  <c r="E627" i="5"/>
  <c r="E646" i="5"/>
  <c r="E684" i="5"/>
  <c r="E696" i="5"/>
  <c r="E712" i="5"/>
  <c r="E719" i="5"/>
  <c r="E743" i="5"/>
  <c r="E756" i="5"/>
  <c r="E759" i="5"/>
  <c r="E764" i="5"/>
  <c r="E818" i="5"/>
  <c r="E828" i="5"/>
  <c r="E882" i="5"/>
  <c r="E892" i="5"/>
  <c r="E946" i="5"/>
  <c r="E956" i="5"/>
  <c r="E1010" i="5"/>
  <c r="E1020" i="5"/>
  <c r="E1074" i="5"/>
  <c r="E1084" i="5"/>
  <c r="E1088" i="5"/>
  <c r="E106" i="5"/>
  <c r="E114" i="5"/>
  <c r="E122" i="5"/>
  <c r="E130" i="5"/>
  <c r="E534" i="5"/>
  <c r="E590" i="5"/>
  <c r="E654" i="5"/>
  <c r="E697" i="5"/>
  <c r="E760" i="5"/>
  <c r="E531" i="5"/>
  <c r="E571" i="5"/>
  <c r="E579" i="5"/>
  <c r="E598" i="5"/>
  <c r="E635" i="5"/>
  <c r="E643" i="5"/>
  <c r="E662" i="5"/>
  <c r="E681" i="5"/>
  <c r="E720" i="5"/>
  <c r="E736" i="5"/>
  <c r="E740" i="5"/>
  <c r="E761" i="5"/>
  <c r="E792" i="5"/>
  <c r="E800" i="5"/>
  <c r="E810" i="5"/>
  <c r="E856" i="5"/>
  <c r="E864" i="5"/>
  <c r="E874" i="5"/>
  <c r="E920" i="5"/>
  <c r="E928" i="5"/>
  <c r="E938" i="5"/>
  <c r="E984" i="5"/>
  <c r="E992" i="5"/>
  <c r="E1002" i="5"/>
  <c r="E1048" i="5"/>
  <c r="E1080" i="5"/>
  <c r="E744" i="5"/>
  <c r="E776" i="5"/>
  <c r="E794" i="5"/>
  <c r="E1024" i="5"/>
  <c r="E521" i="5"/>
  <c r="E529" i="5"/>
  <c r="E537" i="5"/>
  <c r="E545" i="5"/>
  <c r="E553" i="5"/>
  <c r="E561" i="5"/>
  <c r="E569" i="5"/>
  <c r="E577" i="5"/>
  <c r="E585" i="5"/>
  <c r="E593" i="5"/>
  <c r="E601" i="5"/>
  <c r="E609" i="5"/>
  <c r="E617" i="5"/>
  <c r="E625" i="5"/>
  <c r="E633" i="5"/>
  <c r="E641" i="5"/>
  <c r="E649" i="5"/>
  <c r="E657" i="5"/>
  <c r="E665" i="5"/>
  <c r="E673" i="5"/>
  <c r="E694" i="5"/>
  <c r="E704" i="5"/>
  <c r="E714" i="5"/>
  <c r="E721" i="5"/>
  <c r="E724" i="5"/>
  <c r="E727" i="5"/>
  <c r="E768" i="5"/>
  <c r="E785" i="5"/>
  <c r="E811" i="5"/>
  <c r="E832" i="5"/>
  <c r="E849" i="5"/>
  <c r="E875" i="5"/>
  <c r="E896" i="5"/>
  <c r="E913" i="5"/>
  <c r="E939" i="5"/>
  <c r="E960" i="5"/>
  <c r="E977" i="5"/>
  <c r="E1003" i="5"/>
  <c r="E1042" i="5"/>
  <c r="E1060" i="5"/>
  <c r="E1081" i="5"/>
  <c r="E679" i="5"/>
  <c r="E688" i="5"/>
  <c r="E711" i="5"/>
  <c r="E728" i="5"/>
  <c r="E738" i="5"/>
  <c r="E751" i="5"/>
  <c r="E769" i="5"/>
  <c r="E786" i="5"/>
  <c r="E803" i="5"/>
  <c r="E812" i="5"/>
  <c r="E824" i="5"/>
  <c r="E850" i="5"/>
  <c r="E867" i="5"/>
  <c r="E888" i="5"/>
  <c r="E914" i="5"/>
  <c r="E931" i="5"/>
  <c r="E952" i="5"/>
  <c r="E978" i="5"/>
  <c r="E995" i="5"/>
  <c r="E1016" i="5"/>
  <c r="E1073" i="5"/>
  <c r="E695" i="5"/>
  <c r="E735" i="5"/>
  <c r="E752" i="5"/>
  <c r="E787" i="5"/>
  <c r="E804" i="5"/>
  <c r="E825" i="5"/>
  <c r="E868" i="5"/>
  <c r="E889" i="5"/>
  <c r="E927" i="5"/>
  <c r="E932" i="5"/>
  <c r="E953" i="5"/>
  <c r="E991" i="5"/>
  <c r="E996" i="5"/>
  <c r="E1017" i="5"/>
  <c r="E1056" i="5"/>
  <c r="E819" i="5"/>
  <c r="E826" i="5"/>
  <c r="E833" i="5"/>
  <c r="E840" i="5"/>
  <c r="E844" i="5"/>
  <c r="E851" i="5"/>
  <c r="E858" i="5"/>
  <c r="E865" i="5"/>
  <c r="E872" i="5"/>
  <c r="E876" i="5"/>
  <c r="E883" i="5"/>
  <c r="E890" i="5"/>
  <c r="E897" i="5"/>
  <c r="E904" i="5"/>
  <c r="E908" i="5"/>
  <c r="E915" i="5"/>
  <c r="E922" i="5"/>
  <c r="E929" i="5"/>
  <c r="E936" i="5"/>
  <c r="E940" i="5"/>
  <c r="E947" i="5"/>
  <c r="E954" i="5"/>
  <c r="E961" i="5"/>
  <c r="E968" i="5"/>
  <c r="E972" i="5"/>
  <c r="E979" i="5"/>
  <c r="E986" i="5"/>
  <c r="E993" i="5"/>
  <c r="E1000" i="5"/>
  <c r="E1004" i="5"/>
  <c r="E1011" i="5"/>
  <c r="E1018" i="5"/>
  <c r="E1025" i="5"/>
  <c r="E1032" i="5"/>
  <c r="E1036" i="5"/>
  <c r="E1043" i="5"/>
  <c r="E1050" i="5"/>
  <c r="E1057" i="5"/>
  <c r="E1064" i="5"/>
  <c r="E1068" i="5"/>
  <c r="E1075" i="5"/>
  <c r="E1082" i="5"/>
  <c r="E777" i="5"/>
  <c r="E784" i="5"/>
  <c r="E809" i="5"/>
  <c r="E816" i="5"/>
  <c r="E841" i="5"/>
  <c r="E848" i="5"/>
  <c r="E873" i="5"/>
  <c r="E880" i="5"/>
  <c r="E887" i="5"/>
  <c r="E905" i="5"/>
  <c r="E912" i="5"/>
  <c r="E937" i="5"/>
  <c r="E944" i="5"/>
  <c r="E951" i="5"/>
  <c r="E969" i="5"/>
  <c r="E976" i="5"/>
  <c r="E983" i="5"/>
  <c r="E1001" i="5"/>
  <c r="E1008" i="5"/>
  <c r="E1015" i="5"/>
  <c r="E1033" i="5"/>
  <c r="E1040" i="5"/>
  <c r="E1047" i="5"/>
  <c r="E1065" i="5"/>
  <c r="E1072" i="5"/>
  <c r="E1079" i="5"/>
  <c r="G12" i="3" l="1"/>
  <c r="F18" i="3"/>
  <c r="E5" i="6"/>
  <c r="E8" i="6"/>
  <c r="E7" i="6"/>
  <c r="E6" i="6"/>
  <c r="D12" i="6" l="1"/>
  <c r="E18" i="6"/>
  <c r="E31" i="3"/>
  <c r="A17" i="6" s="1"/>
  <c r="F19" i="3"/>
  <c r="F20" i="3" l="1"/>
  <c r="E32" i="3"/>
  <c r="A18" i="6" s="1"/>
  <c r="E33" i="3" l="1"/>
  <c r="A19" i="6" s="1"/>
  <c r="F21" i="3"/>
  <c r="E34" i="3" l="1"/>
  <c r="A20" i="6" s="1"/>
  <c r="F22" i="3"/>
  <c r="E35" i="3" l="1"/>
  <c r="A21" i="6" s="1"/>
  <c r="F23" i="3"/>
  <c r="E36" i="3" l="1"/>
  <c r="A22" i="6" s="1"/>
  <c r="F24" i="3"/>
  <c r="E37" i="3" l="1"/>
  <c r="A23" i="6" s="1"/>
  <c r="F25" i="3"/>
  <c r="E38" i="3" s="1"/>
  <c r="A24" i="6" s="1"/>
</calcChain>
</file>

<file path=xl/sharedStrings.xml><?xml version="1.0" encoding="utf-8"?>
<sst xmlns="http://schemas.openxmlformats.org/spreadsheetml/2006/main" count="3362" uniqueCount="90">
  <si>
    <t>Flight</t>
  </si>
  <si>
    <t>Day</t>
  </si>
  <si>
    <t>Date</t>
  </si>
  <si>
    <t>Time</t>
  </si>
  <si>
    <t>No Shows</t>
  </si>
  <si>
    <t>Demand</t>
  </si>
  <si>
    <t>Fri</t>
  </si>
  <si>
    <t>11am</t>
  </si>
  <si>
    <t>3pm</t>
  </si>
  <si>
    <t>7pm</t>
  </si>
  <si>
    <t>Sat</t>
  </si>
  <si>
    <t>Sun</t>
  </si>
  <si>
    <t>Mon</t>
  </si>
  <si>
    <t>Tues</t>
  </si>
  <si>
    <t>Wed</t>
  </si>
  <si>
    <t>Thurs</t>
  </si>
  <si>
    <t>Flight Number</t>
  </si>
  <si>
    <t>Number of No Shows</t>
  </si>
  <si>
    <t>Probability Distribution for Number of No Shows</t>
  </si>
  <si>
    <t xml:space="preserve">No Shows </t>
  </si>
  <si>
    <t xml:space="preserve">Count </t>
  </si>
  <si>
    <t>Probability</t>
  </si>
  <si>
    <t>TOTAL</t>
  </si>
  <si>
    <t>Cum. Probability Distribution</t>
  </si>
  <si>
    <t>&lt;0</t>
  </si>
  <si>
    <t>&lt;1</t>
  </si>
  <si>
    <t>&lt;2</t>
  </si>
  <si>
    <t>&lt;3</t>
  </si>
  <si>
    <t>&lt;4</t>
  </si>
  <si>
    <t>&lt;5</t>
  </si>
  <si>
    <t>&lt;6</t>
  </si>
  <si>
    <t>&lt;7</t>
  </si>
  <si>
    <t>&lt;8</t>
  </si>
  <si>
    <t>Vlookup Table</t>
  </si>
  <si>
    <t xml:space="preserve">No. of no shows </t>
  </si>
  <si>
    <t xml:space="preserve">No. of bookings </t>
  </si>
  <si>
    <t>Bumped</t>
  </si>
  <si>
    <t>Profit</t>
  </si>
  <si>
    <t>OUTPUT</t>
  </si>
  <si>
    <t>Fixed parameters</t>
  </si>
  <si>
    <t>PROFIT STATISTICS</t>
  </si>
  <si>
    <t>Plane capacity</t>
  </si>
  <si>
    <t>profit per booking</t>
  </si>
  <si>
    <t>Average</t>
  </si>
  <si>
    <t>Average cost of bumped passenger</t>
  </si>
  <si>
    <t>Std Dev</t>
  </si>
  <si>
    <t>Strategy</t>
  </si>
  <si>
    <t>Max</t>
  </si>
  <si>
    <t>No. of overbookings</t>
  </si>
  <si>
    <t>Min</t>
  </si>
  <si>
    <t>Random variables</t>
  </si>
  <si>
    <t>Mean demand</t>
  </si>
  <si>
    <t>Std deviation of demand</t>
  </si>
  <si>
    <t>Av. Profit</t>
  </si>
  <si>
    <t>NUMBER OF OVERBOOKINGS</t>
  </si>
  <si>
    <t>Vlookup table simulating no shows</t>
  </si>
  <si>
    <t>Bin</t>
  </si>
  <si>
    <t xml:space="preserve">No shows </t>
  </si>
  <si>
    <t>Avg. Profit</t>
  </si>
  <si>
    <t>Number of overbookings</t>
  </si>
  <si>
    <t>Flight Time</t>
  </si>
  <si>
    <t>11 am and 3pm</t>
  </si>
  <si>
    <t>Flight number</t>
  </si>
  <si>
    <t>flight time</t>
  </si>
  <si>
    <t>Random number</t>
  </si>
  <si>
    <t>No. of no shows</t>
  </si>
  <si>
    <t>demand</t>
  </si>
  <si>
    <t>mean</t>
  </si>
  <si>
    <t>std dev</t>
  </si>
  <si>
    <t>no. of bookings</t>
  </si>
  <si>
    <t>bumped</t>
  </si>
  <si>
    <t>profit</t>
  </si>
  <si>
    <t>Inputs</t>
  </si>
  <si>
    <t>Sensitivity analysis</t>
  </si>
  <si>
    <t>7 pm</t>
  </si>
  <si>
    <t>Evaluation</t>
  </si>
  <si>
    <t>1.) The maximum capacity of all flights is 100 passengers</t>
  </si>
  <si>
    <t>2.) Profit is fixed for all passengers on every flight</t>
  </si>
  <si>
    <t xml:space="preserve">3.) Fixed loss per passenger for overbooking </t>
  </si>
  <si>
    <t>Assumptions:</t>
  </si>
  <si>
    <t xml:space="preserve">Based on our sensitivity analysis the 11 am and 3 pm </t>
  </si>
  <si>
    <t>flights are more profitable for every overbooking made.</t>
  </si>
  <si>
    <t>In contrast, the 7 pm flight is most profitable with 1 overbooking</t>
  </si>
  <si>
    <t>and profits continously regress as overbookings increase.</t>
  </si>
  <si>
    <t>Based on an average cost of €100 for each overbooking we would</t>
  </si>
  <si>
    <t>recommend an overbooking strategy of 1 or 2.</t>
  </si>
  <si>
    <t>However based on the different costs of overbooking based on</t>
  </si>
  <si>
    <t>flight times we would recommend an overbooking policy of 5 for</t>
  </si>
  <si>
    <t>the 11 am and 3 pm flights and 1 overbooking for the 7 pm flight</t>
  </si>
  <si>
    <t>to maximise profits.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</si>
</sst>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m/yyyy"/>
    <numFmt numFmtId="165" formatCode="0.00000"/>
    <numFmt numFmtId="166" formatCode="&quot;€&quot;#,##0.00"/>
    <numFmt numFmtId="167" formatCode="0.0000"/>
    <numFmt numFmtId="168" formatCode="&quot;€&quot;#,##0"/>
  </numFmts>
  <fonts count="21" x14ac:knownFonts="1">
    <font>
      <sz val="11"/>
      <color theme="1"/>
      <name val="Calibri"/>
      <scheme val="minor"/>
    </font>
    <font>
      <sz val="11"/>
      <color theme="1"/>
      <name val="Calibri"/>
      <family val="2"/>
      <scheme val="minor"/>
    </font>
    <font>
      <sz val="11"/>
      <color theme="1"/>
      <name val="Calibri"/>
      <family val="2"/>
    </font>
    <font>
      <b/>
      <sz val="11"/>
      <color theme="1"/>
      <name val="Calibri"/>
      <family val="2"/>
    </font>
    <font>
      <b/>
      <sz val="11"/>
      <color theme="1"/>
      <name val="Calibri"/>
      <family val="2"/>
      <scheme val="minor"/>
    </font>
    <font>
      <b/>
      <sz val="12"/>
      <color theme="1"/>
      <name val="Arial"/>
      <family val="2"/>
    </font>
    <font>
      <sz val="11"/>
      <name val="Calibri"/>
      <family val="2"/>
    </font>
    <font>
      <sz val="11"/>
      <color theme="1"/>
      <name val="Calibri"/>
      <family val="2"/>
      <scheme val="minor"/>
    </font>
    <font>
      <b/>
      <u/>
      <sz val="16"/>
      <color theme="1"/>
      <name val="Calibri"/>
      <family val="2"/>
      <scheme val="minor"/>
    </font>
    <font>
      <b/>
      <sz val="16"/>
      <color theme="1"/>
      <name val="Calibri"/>
      <family val="2"/>
      <scheme val="minor"/>
    </font>
    <font>
      <b/>
      <sz val="11"/>
      <color rgb="FFFFFFFF"/>
      <name val="Calibri"/>
      <family val="2"/>
      <scheme val="minor"/>
    </font>
    <font>
      <b/>
      <sz val="12"/>
      <color theme="1"/>
      <name val="Calibri"/>
      <family val="2"/>
      <scheme val="minor"/>
    </font>
    <font>
      <b/>
      <sz val="15"/>
      <color theme="1"/>
      <name val="Calibri"/>
      <family val="2"/>
      <scheme val="minor"/>
    </font>
    <font>
      <b/>
      <sz val="15"/>
      <color rgb="FF000000"/>
      <name val="Calibri"/>
      <family val="2"/>
    </font>
    <font>
      <sz val="11"/>
      <color rgb="FF000000"/>
      <name val="Calibri"/>
      <family val="2"/>
    </font>
    <font>
      <b/>
      <sz val="12"/>
      <color rgb="FF000000"/>
      <name val="Calibri"/>
      <family val="2"/>
    </font>
    <font>
      <b/>
      <sz val="11"/>
      <color theme="0"/>
      <name val="Calibri"/>
      <family val="2"/>
      <scheme val="minor"/>
    </font>
    <font>
      <sz val="11"/>
      <color theme="0"/>
      <name val="Calibri"/>
      <family val="2"/>
      <scheme val="minor"/>
    </font>
    <font>
      <b/>
      <sz val="11"/>
      <color rgb="FF000000"/>
      <name val="Calibri"/>
      <family val="2"/>
    </font>
    <font>
      <sz val="11"/>
      <color theme="0"/>
      <name val="Calibri"/>
      <family val="2"/>
    </font>
    <font>
      <b/>
      <sz val="12"/>
      <color theme="0"/>
      <name val="Calibri"/>
      <family val="2"/>
    </font>
  </fonts>
  <fills count="14">
    <fill>
      <patternFill patternType="none"/>
    </fill>
    <fill>
      <patternFill patternType="gray125"/>
    </fill>
    <fill>
      <patternFill patternType="solid">
        <fgColor rgb="FF00B0F0"/>
        <bgColor rgb="FF00B0F0"/>
      </patternFill>
    </fill>
    <fill>
      <patternFill patternType="solid">
        <fgColor rgb="FF00FF00"/>
        <bgColor rgb="FF00FF00"/>
      </patternFill>
    </fill>
    <fill>
      <patternFill patternType="solid">
        <fgColor rgb="FF000000"/>
        <bgColor rgb="FF000000"/>
      </patternFill>
    </fill>
    <fill>
      <patternFill patternType="solid">
        <fgColor rgb="FF00FF00"/>
        <bgColor indexed="64"/>
      </patternFill>
    </fill>
    <fill>
      <patternFill patternType="solid">
        <fgColor rgb="FF00FF00"/>
        <bgColor rgb="FF00B0F0"/>
      </patternFill>
    </fill>
    <fill>
      <patternFill patternType="solid">
        <fgColor rgb="FF00FF00"/>
        <bgColor rgb="FF6D9EEB"/>
      </patternFill>
    </fill>
    <fill>
      <patternFill patternType="solid">
        <fgColor rgb="FF00FF00"/>
        <bgColor rgb="FF00FFFF"/>
      </patternFill>
    </fill>
    <fill>
      <patternFill patternType="solid">
        <fgColor rgb="FF00FF00"/>
        <bgColor rgb="FFFFFF00"/>
      </patternFill>
    </fill>
    <fill>
      <patternFill patternType="solid">
        <fgColor theme="1"/>
        <bgColor rgb="FF00FFFF"/>
      </patternFill>
    </fill>
    <fill>
      <patternFill patternType="solid">
        <fgColor theme="1"/>
        <bgColor rgb="FFFFFF00"/>
      </patternFill>
    </fill>
    <fill>
      <patternFill patternType="solid">
        <fgColor theme="1"/>
        <bgColor indexed="64"/>
      </patternFill>
    </fill>
    <fill>
      <patternFill patternType="solid">
        <fgColor theme="1"/>
        <bgColor rgb="FFE06666"/>
      </patternFill>
    </fill>
  </fills>
  <borders count="20">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diagonal/>
    </border>
    <border>
      <left style="thin">
        <color rgb="FF000000"/>
      </left>
      <right style="thin">
        <color rgb="FF000000"/>
      </right>
      <top style="thin">
        <color rgb="FF000000"/>
      </top>
      <bottom style="thin">
        <color rgb="FF000000"/>
      </bottom>
      <diagonal/>
    </border>
    <border>
      <left/>
      <right style="thin">
        <color rgb="FFD9D9D9"/>
      </right>
      <top/>
      <bottom/>
      <diagonal/>
    </border>
    <border>
      <left/>
      <right style="thin">
        <color rgb="FFD9D9D9"/>
      </right>
      <top/>
      <bottom style="thin">
        <color rgb="FFD9D9D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s>
  <cellStyleXfs count="1">
    <xf numFmtId="0" fontId="0" fillId="0" borderId="0"/>
  </cellStyleXfs>
  <cellXfs count="119">
    <xf numFmtId="0" fontId="0" fillId="0" borderId="0" xfId="0"/>
    <xf numFmtId="0" fontId="2" fillId="2" borderId="1" xfId="0" applyFont="1" applyFill="1" applyBorder="1" applyAlignment="1">
      <alignment horizontal="center"/>
    </xf>
    <xf numFmtId="0" fontId="3" fillId="2" borderId="1" xfId="0" applyFont="1" applyFill="1" applyBorder="1"/>
    <xf numFmtId="0" fontId="3" fillId="2" borderId="1" xfId="0" applyFont="1" applyFill="1" applyBorder="1" applyAlignment="1">
      <alignment horizontal="center"/>
    </xf>
    <xf numFmtId="0" fontId="2" fillId="0" borderId="0" xfId="0" applyFont="1"/>
    <xf numFmtId="164" fontId="2" fillId="0" borderId="0" xfId="0" applyNumberFormat="1" applyFont="1" applyAlignment="1">
      <alignment horizontal="center"/>
    </xf>
    <xf numFmtId="0" fontId="2" fillId="0" borderId="0" xfId="0" applyFont="1" applyAlignment="1">
      <alignment horizontal="center"/>
    </xf>
    <xf numFmtId="0" fontId="4" fillId="0" borderId="7" xfId="0" applyFont="1" applyBorder="1" applyAlignment="1">
      <alignment horizontal="center"/>
    </xf>
    <xf numFmtId="0" fontId="7" fillId="0" borderId="7" xfId="0" applyFont="1" applyBorder="1" applyAlignment="1">
      <alignment horizontal="center"/>
    </xf>
    <xf numFmtId="165" fontId="7" fillId="0" borderId="7" xfId="0" applyNumberFormat="1" applyFont="1" applyBorder="1" applyAlignment="1">
      <alignment horizontal="center"/>
    </xf>
    <xf numFmtId="165" fontId="4" fillId="0" borderId="7" xfId="0" applyNumberFormat="1" applyFont="1" applyBorder="1" applyAlignment="1">
      <alignment horizontal="center"/>
    </xf>
    <xf numFmtId="166" fontId="7" fillId="0" borderId="0" xfId="0" applyNumberFormat="1" applyFont="1"/>
    <xf numFmtId="0" fontId="4" fillId="0" borderId="0" xfId="0" applyFont="1"/>
    <xf numFmtId="0" fontId="7" fillId="4" borderId="0" xfId="0" applyFont="1" applyFill="1"/>
    <xf numFmtId="0" fontId="4" fillId="0" borderId="0" xfId="0" applyFont="1" applyAlignment="1">
      <alignment horizontal="center"/>
    </xf>
    <xf numFmtId="0" fontId="7" fillId="0" borderId="0" xfId="0" applyFont="1" applyAlignment="1">
      <alignment horizontal="center"/>
    </xf>
    <xf numFmtId="168" fontId="7" fillId="0" borderId="0" xfId="0" applyNumberFormat="1" applyFont="1"/>
    <xf numFmtId="0" fontId="1" fillId="0" borderId="0" xfId="0" applyFont="1"/>
    <xf numFmtId="18" fontId="0" fillId="0" borderId="0" xfId="0" applyNumberFormat="1"/>
    <xf numFmtId="0" fontId="2" fillId="0" borderId="6" xfId="0" applyFont="1" applyFill="1" applyBorder="1" applyAlignment="1">
      <alignment horizontal="center"/>
    </xf>
    <xf numFmtId="0" fontId="2" fillId="0" borderId="8" xfId="0" applyFont="1" applyFill="1" applyBorder="1" applyAlignment="1">
      <alignment horizontal="center"/>
    </xf>
    <xf numFmtId="0" fontId="2" fillId="0" borderId="9" xfId="0" applyFont="1" applyFill="1" applyBorder="1" applyAlignment="1">
      <alignment horizontal="center"/>
    </xf>
    <xf numFmtId="0" fontId="4" fillId="5" borderId="0" xfId="0" applyFont="1" applyFill="1" applyAlignment="1">
      <alignment horizontal="center"/>
    </xf>
    <xf numFmtId="0" fontId="2" fillId="5" borderId="5" xfId="0" applyFont="1" applyFill="1" applyBorder="1" applyAlignment="1">
      <alignment horizontal="center"/>
    </xf>
    <xf numFmtId="0" fontId="5" fillId="6" borderId="2" xfId="0" applyFont="1" applyFill="1" applyBorder="1" applyAlignment="1">
      <alignment horizontal="center"/>
    </xf>
    <xf numFmtId="0" fontId="6" fillId="5" borderId="3" xfId="0" applyFont="1" applyFill="1" applyBorder="1"/>
    <xf numFmtId="0" fontId="6" fillId="5" borderId="4" xfId="0" applyFont="1" applyFill="1" applyBorder="1"/>
    <xf numFmtId="0" fontId="4" fillId="3" borderId="10" xfId="0" applyFont="1" applyFill="1" applyBorder="1"/>
    <xf numFmtId="0" fontId="4" fillId="5" borderId="11" xfId="0" applyFont="1" applyFill="1" applyBorder="1"/>
    <xf numFmtId="0" fontId="4" fillId="5" borderId="12" xfId="0" applyFont="1" applyFill="1" applyBorder="1"/>
    <xf numFmtId="0" fontId="2" fillId="3" borderId="13" xfId="0" applyFont="1" applyFill="1" applyBorder="1" applyAlignment="1">
      <alignment horizontal="center"/>
    </xf>
    <xf numFmtId="0" fontId="2" fillId="0" borderId="1" xfId="0" applyFont="1" applyFill="1" applyBorder="1" applyAlignment="1">
      <alignment horizontal="center"/>
    </xf>
    <xf numFmtId="0" fontId="7" fillId="0" borderId="1" xfId="0" applyFont="1" applyBorder="1"/>
    <xf numFmtId="166" fontId="7" fillId="0" borderId="14" xfId="0" applyNumberFormat="1" applyFont="1" applyBorder="1"/>
    <xf numFmtId="0" fontId="2" fillId="3" borderId="15" xfId="0" applyFont="1" applyFill="1" applyBorder="1" applyAlignment="1">
      <alignment horizontal="center"/>
    </xf>
    <xf numFmtId="0" fontId="2" fillId="0" borderId="16" xfId="0" applyFont="1" applyFill="1" applyBorder="1" applyAlignment="1">
      <alignment horizontal="center"/>
    </xf>
    <xf numFmtId="0" fontId="7" fillId="0" borderId="16" xfId="0" applyFont="1" applyBorder="1"/>
    <xf numFmtId="166" fontId="7" fillId="0" borderId="17" xfId="0" applyNumberFormat="1" applyFont="1" applyBorder="1"/>
    <xf numFmtId="0" fontId="2" fillId="0" borderId="1" xfId="0" applyFont="1" applyBorder="1" applyAlignment="1">
      <alignment horizontal="center"/>
    </xf>
    <xf numFmtId="167" fontId="0" fillId="0" borderId="1" xfId="0" applyNumberFormat="1" applyBorder="1"/>
    <xf numFmtId="0" fontId="0" fillId="0" borderId="1" xfId="0" applyBorder="1"/>
    <xf numFmtId="168" fontId="0" fillId="0" borderId="14" xfId="0" applyNumberFormat="1" applyBorder="1"/>
    <xf numFmtId="0" fontId="2" fillId="0" borderId="16" xfId="0" applyFont="1" applyBorder="1" applyAlignment="1">
      <alignment horizontal="center"/>
    </xf>
    <xf numFmtId="167" fontId="0" fillId="0" borderId="16" xfId="0" applyNumberFormat="1" applyBorder="1"/>
    <xf numFmtId="0" fontId="0" fillId="0" borderId="16" xfId="0" applyBorder="1"/>
    <xf numFmtId="168" fontId="0" fillId="0" borderId="17" xfId="0" applyNumberFormat="1" applyBorder="1"/>
    <xf numFmtId="0" fontId="4" fillId="5" borderId="10" xfId="0" applyFont="1" applyFill="1" applyBorder="1"/>
    <xf numFmtId="0" fontId="2" fillId="6" borderId="13" xfId="0" applyFont="1" applyFill="1" applyBorder="1" applyAlignment="1">
      <alignment horizontal="center"/>
    </xf>
    <xf numFmtId="0" fontId="2" fillId="6" borderId="15" xfId="0" applyFont="1" applyFill="1" applyBorder="1" applyAlignment="1">
      <alignment horizontal="center"/>
    </xf>
    <xf numFmtId="0" fontId="9" fillId="7" borderId="1" xfId="0" applyFont="1" applyFill="1" applyBorder="1" applyAlignment="1">
      <alignment horizontal="center" vertical="center"/>
    </xf>
    <xf numFmtId="0" fontId="9" fillId="7" borderId="10" xfId="0" applyFont="1" applyFill="1" applyBorder="1" applyAlignment="1">
      <alignment horizontal="center" vertical="center"/>
    </xf>
    <xf numFmtId="0" fontId="8" fillId="7" borderId="12" xfId="0" applyFont="1" applyFill="1" applyBorder="1" applyAlignment="1">
      <alignment horizontal="center" vertical="center"/>
    </xf>
    <xf numFmtId="0" fontId="10" fillId="4" borderId="13" xfId="0" applyFont="1" applyFill="1" applyBorder="1" applyAlignment="1">
      <alignment horizontal="center"/>
    </xf>
    <xf numFmtId="0" fontId="10" fillId="4" borderId="14" xfId="0" applyFont="1" applyFill="1" applyBorder="1" applyAlignment="1">
      <alignment horizontal="center"/>
    </xf>
    <xf numFmtId="0" fontId="7" fillId="0" borderId="14" xfId="0" applyFont="1" applyBorder="1"/>
    <xf numFmtId="0" fontId="7" fillId="0" borderId="17" xfId="0" applyFont="1" applyBorder="1"/>
    <xf numFmtId="0" fontId="4" fillId="0" borderId="13" xfId="0" applyFont="1" applyBorder="1"/>
    <xf numFmtId="0" fontId="4" fillId="0" borderId="14" xfId="0" applyFont="1" applyBorder="1"/>
    <xf numFmtId="0" fontId="7" fillId="0" borderId="13" xfId="0" applyFont="1" applyBorder="1"/>
    <xf numFmtId="165" fontId="7" fillId="0" borderId="13" xfId="0" applyNumberFormat="1" applyFont="1" applyBorder="1"/>
    <xf numFmtId="165" fontId="7" fillId="0" borderId="15" xfId="0" applyNumberFormat="1" applyFont="1" applyBorder="1"/>
    <xf numFmtId="0" fontId="4" fillId="5" borderId="10" xfId="0" applyFont="1" applyFill="1" applyBorder="1" applyAlignment="1">
      <alignment horizontal="center"/>
    </xf>
    <xf numFmtId="0" fontId="4" fillId="5" borderId="12" xfId="0" applyFont="1" applyFill="1" applyBorder="1" applyAlignment="1">
      <alignment horizontal="center"/>
    </xf>
    <xf numFmtId="0" fontId="11" fillId="3" borderId="13" xfId="0" applyFont="1" applyFill="1" applyBorder="1" applyAlignment="1">
      <alignment horizontal="center"/>
    </xf>
    <xf numFmtId="0" fontId="11" fillId="3" borderId="14" xfId="0" applyFont="1" applyFill="1" applyBorder="1"/>
    <xf numFmtId="0" fontId="0" fillId="0" borderId="14" xfId="0" applyBorder="1"/>
    <xf numFmtId="0" fontId="0" fillId="0" borderId="17" xfId="0" applyBorder="1"/>
    <xf numFmtId="0" fontId="10" fillId="4" borderId="10" xfId="0" applyFont="1" applyFill="1" applyBorder="1" applyAlignment="1">
      <alignment horizontal="center"/>
    </xf>
    <xf numFmtId="0" fontId="10" fillId="4" borderId="12" xfId="0" applyFont="1" applyFill="1" applyBorder="1" applyAlignment="1">
      <alignment horizontal="center"/>
    </xf>
    <xf numFmtId="0" fontId="0" fillId="5" borderId="10" xfId="0" applyFill="1" applyBorder="1"/>
    <xf numFmtId="18" fontId="0" fillId="5" borderId="13" xfId="0" applyNumberFormat="1" applyFill="1" applyBorder="1"/>
    <xf numFmtId="18" fontId="0" fillId="5" borderId="15" xfId="0" applyNumberFormat="1" applyFill="1" applyBorder="1"/>
    <xf numFmtId="166" fontId="7" fillId="0" borderId="14" xfId="0" applyNumberFormat="1" applyFont="1" applyFill="1" applyBorder="1"/>
    <xf numFmtId="167" fontId="7" fillId="0" borderId="14" xfId="0" applyNumberFormat="1" applyFont="1" applyFill="1" applyBorder="1"/>
    <xf numFmtId="166" fontId="7" fillId="0" borderId="17" xfId="0" applyNumberFormat="1" applyFont="1" applyFill="1" applyBorder="1"/>
    <xf numFmtId="0" fontId="13" fillId="0" borderId="1" xfId="0" applyFont="1" applyBorder="1" applyAlignment="1">
      <alignment horizontal="center"/>
    </xf>
    <xf numFmtId="0" fontId="6" fillId="0" borderId="1" xfId="0" applyFont="1" applyBorder="1"/>
    <xf numFmtId="0" fontId="14" fillId="0" borderId="1" xfId="0" applyFont="1" applyBorder="1"/>
    <xf numFmtId="0" fontId="14" fillId="0" borderId="1" xfId="0" applyFont="1" applyBorder="1"/>
    <xf numFmtId="0" fontId="0" fillId="0" borderId="1" xfId="0" applyBorder="1"/>
    <xf numFmtId="166" fontId="14" fillId="0" borderId="1" xfId="0" applyNumberFormat="1" applyFont="1" applyBorder="1" applyAlignment="1">
      <alignment horizontal="right"/>
    </xf>
    <xf numFmtId="0" fontId="14" fillId="0" borderId="1" xfId="0" applyFont="1" applyBorder="1" applyAlignment="1">
      <alignment horizontal="right"/>
    </xf>
    <xf numFmtId="168" fontId="14" fillId="0" borderId="1" xfId="0" applyNumberFormat="1" applyFont="1" applyBorder="1" applyAlignment="1">
      <alignment horizontal="right"/>
    </xf>
    <xf numFmtId="20" fontId="14" fillId="0" borderId="1" xfId="0" applyNumberFormat="1" applyFont="1" applyBorder="1"/>
    <xf numFmtId="0" fontId="12" fillId="8" borderId="11" xfId="0" applyFont="1" applyFill="1" applyBorder="1" applyAlignment="1">
      <alignment horizontal="center" vertical="center"/>
    </xf>
    <xf numFmtId="0" fontId="12" fillId="8" borderId="12" xfId="0" applyFont="1" applyFill="1" applyBorder="1" applyAlignment="1">
      <alignment horizontal="center" vertical="center"/>
    </xf>
    <xf numFmtId="168" fontId="7" fillId="0" borderId="16" xfId="0" applyNumberFormat="1" applyFont="1" applyBorder="1"/>
    <xf numFmtId="168" fontId="0" fillId="0" borderId="16" xfId="0" applyNumberFormat="1" applyBorder="1"/>
    <xf numFmtId="0" fontId="13" fillId="0" borderId="1" xfId="0" applyFont="1" applyFill="1" applyBorder="1" applyAlignment="1"/>
    <xf numFmtId="0" fontId="6" fillId="0" borderId="1" xfId="0" applyFont="1" applyBorder="1" applyAlignment="1"/>
    <xf numFmtId="168" fontId="14" fillId="0" borderId="1" xfId="0" applyNumberFormat="1" applyFont="1" applyFill="1" applyBorder="1" applyAlignment="1">
      <alignment horizontal="right"/>
    </xf>
    <xf numFmtId="0" fontId="15" fillId="8" borderId="1" xfId="0" applyFont="1" applyFill="1" applyBorder="1" applyAlignment="1">
      <alignment horizontal="center"/>
    </xf>
    <xf numFmtId="0" fontId="19" fillId="10" borderId="1" xfId="0" applyFont="1" applyFill="1" applyBorder="1" applyAlignment="1">
      <alignment horizontal="right"/>
    </xf>
    <xf numFmtId="0" fontId="17" fillId="12" borderId="1" xfId="0" applyFont="1" applyFill="1" applyBorder="1"/>
    <xf numFmtId="0" fontId="17" fillId="12" borderId="14" xfId="0" applyFont="1" applyFill="1" applyBorder="1"/>
    <xf numFmtId="166" fontId="20" fillId="13" borderId="1" xfId="0" applyNumberFormat="1" applyFont="1" applyFill="1" applyBorder="1" applyAlignment="1">
      <alignment horizontal="center" wrapText="1"/>
    </xf>
    <xf numFmtId="168" fontId="19" fillId="13" borderId="1" xfId="0" applyNumberFormat="1" applyFont="1" applyFill="1" applyBorder="1" applyAlignment="1">
      <alignment horizontal="right"/>
    </xf>
    <xf numFmtId="0" fontId="4" fillId="3" borderId="18" xfId="0" applyFont="1" applyFill="1" applyBorder="1"/>
    <xf numFmtId="0" fontId="4" fillId="3" borderId="19" xfId="0" applyFont="1" applyFill="1" applyBorder="1"/>
    <xf numFmtId="0" fontId="4" fillId="3" borderId="13" xfId="0" applyFont="1" applyFill="1" applyBorder="1"/>
    <xf numFmtId="0" fontId="4" fillId="3" borderId="15" xfId="0" applyFont="1" applyFill="1" applyBorder="1"/>
    <xf numFmtId="0" fontId="4" fillId="9" borderId="10" xfId="0" applyFont="1" applyFill="1" applyBorder="1" applyAlignment="1">
      <alignment horizontal="center"/>
    </xf>
    <xf numFmtId="166" fontId="18" fillId="9" borderId="1" xfId="0" applyNumberFormat="1" applyFont="1" applyFill="1" applyBorder="1" applyAlignment="1">
      <alignment horizontal="center"/>
    </xf>
    <xf numFmtId="168" fontId="16" fillId="12" borderId="15" xfId="0" applyNumberFormat="1" applyFont="1" applyFill="1" applyBorder="1"/>
    <xf numFmtId="166" fontId="16" fillId="11" borderId="13" xfId="0" applyNumberFormat="1" applyFont="1" applyFill="1" applyBorder="1" applyAlignment="1">
      <alignment horizontal="center"/>
    </xf>
    <xf numFmtId="0" fontId="13" fillId="5" borderId="10" xfId="0" applyFont="1" applyFill="1" applyBorder="1" applyAlignment="1">
      <alignment horizontal="center"/>
    </xf>
    <xf numFmtId="0" fontId="13" fillId="5" borderId="11" xfId="0" applyFont="1" applyFill="1" applyBorder="1" applyAlignment="1">
      <alignment horizontal="center"/>
    </xf>
    <xf numFmtId="0" fontId="13" fillId="5" borderId="12" xfId="0" applyFont="1" applyFill="1" applyBorder="1" applyAlignment="1">
      <alignment horizontal="center"/>
    </xf>
    <xf numFmtId="0" fontId="14" fillId="5" borderId="13" xfId="0" applyFont="1" applyFill="1" applyBorder="1"/>
    <xf numFmtId="0" fontId="15" fillId="8" borderId="14" xfId="0" applyFont="1" applyFill="1" applyBorder="1" applyAlignment="1">
      <alignment horizontal="center"/>
    </xf>
    <xf numFmtId="0" fontId="15" fillId="5" borderId="13" xfId="0" applyFont="1" applyFill="1" applyBorder="1" applyAlignment="1">
      <alignment horizontal="center" wrapText="1"/>
    </xf>
    <xf numFmtId="0" fontId="19" fillId="10" borderId="14" xfId="0" applyFont="1" applyFill="1" applyBorder="1" applyAlignment="1">
      <alignment horizontal="right"/>
    </xf>
    <xf numFmtId="0" fontId="18" fillId="5" borderId="13" xfId="0" applyFont="1" applyFill="1" applyBorder="1"/>
    <xf numFmtId="168" fontId="14" fillId="0" borderId="14" xfId="0" applyNumberFormat="1" applyFont="1" applyFill="1" applyBorder="1" applyAlignment="1">
      <alignment horizontal="right"/>
    </xf>
    <xf numFmtId="49" fontId="18" fillId="5" borderId="15" xfId="0" applyNumberFormat="1" applyFont="1" applyFill="1" applyBorder="1"/>
    <xf numFmtId="168" fontId="19" fillId="13" borderId="16" xfId="0" applyNumberFormat="1" applyFont="1" applyFill="1" applyBorder="1" applyAlignment="1">
      <alignment horizontal="right"/>
    </xf>
    <xf numFmtId="168" fontId="14" fillId="0" borderId="16" xfId="0" applyNumberFormat="1" applyFont="1" applyFill="1" applyBorder="1" applyAlignment="1">
      <alignment horizontal="right"/>
    </xf>
    <xf numFmtId="168" fontId="14" fillId="0" borderId="17" xfId="0" applyNumberFormat="1" applyFont="1" applyFill="1" applyBorder="1" applyAlignment="1">
      <alignment horizontal="right"/>
    </xf>
    <xf numFmtId="0" fontId="4" fillId="0" borderId="0" xfId="0" applyFont="1" applyAlignment="1">
      <alignment horizontal="center" vertical="center"/>
    </xf>
  </cellXfs>
  <cellStyles count="1">
    <cellStyle name="Normal" xfId="0" builtinId="0"/>
  </cellStyles>
  <dxfs count="0"/>
  <tableStyles count="0" defaultTableStyle="TableStyleMedium2" defaultPivotStyle="PivotStyleLight16"/>
  <colors>
    <mruColors>
      <color rgb="FF00FF00"/>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1</xdr:col>
      <xdr:colOff>-9525</xdr:colOff>
      <xdr:row>0</xdr:row>
      <xdr:rowOff>66675</xdr:rowOff>
    </xdr:from>
    <xdr:ext cx="4114800" cy="56388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3312413" y="984413"/>
          <a:ext cx="4067175" cy="5591175"/>
        </a:xfrm>
        <a:prstGeom prst="rect">
          <a:avLst/>
        </a:prstGeom>
        <a:solidFill>
          <a:schemeClr val="lt1"/>
        </a:solidFill>
        <a:ln w="508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chemeClr val="dk1"/>
              </a:solidFill>
              <a:latin typeface="Calibri"/>
              <a:ea typeface="Calibri"/>
              <a:cs typeface="Calibri"/>
              <a:sym typeface="Calibri"/>
            </a:rPr>
            <a:t>INTRODUCTION</a:t>
          </a:r>
          <a:endParaRPr sz="1400">
            <a:solidFill>
              <a:schemeClr val="dk1"/>
            </a:solidFill>
            <a:latin typeface="Calibri"/>
            <a:ea typeface="Calibri"/>
            <a:cs typeface="Calibri"/>
            <a:sym typeface="Calibri"/>
          </a:endParaRPr>
        </a:p>
        <a:p>
          <a:pPr marL="0" lvl="0" indent="0" algn="l" rtl="0">
            <a:spcBef>
              <a:spcPts val="0"/>
            </a:spcBef>
            <a:spcAft>
              <a:spcPts val="0"/>
            </a:spcAft>
            <a:buNone/>
          </a:pPr>
          <a:endParaRPr sz="1100">
            <a:solidFill>
              <a:schemeClr val="dk1"/>
            </a:solidFill>
            <a:latin typeface="Calibri"/>
            <a:ea typeface="Calibri"/>
            <a:cs typeface="Calibri"/>
            <a:sym typeface="Calibri"/>
          </a:endParaRPr>
        </a:p>
        <a:p>
          <a:pPr marL="0" lvl="0" indent="0" algn="l" rtl="0">
            <a:spcBef>
              <a:spcPts val="0"/>
            </a:spcBef>
            <a:spcAft>
              <a:spcPts val="0"/>
            </a:spcAft>
            <a:buNone/>
          </a:pPr>
          <a:r>
            <a:rPr lang="en-US" sz="1100">
              <a:solidFill>
                <a:schemeClr val="dk1"/>
              </a:solidFill>
              <a:latin typeface="Calibri"/>
              <a:ea typeface="Calibri"/>
              <a:cs typeface="Calibri"/>
              <a:sym typeface="Calibri"/>
            </a:rPr>
            <a:t>Green Airways have </a:t>
          </a:r>
          <a:r>
            <a:rPr lang="en-US" sz="1100" b="1">
              <a:solidFill>
                <a:schemeClr val="dk1"/>
              </a:solidFill>
              <a:latin typeface="Calibri"/>
              <a:ea typeface="Calibri"/>
              <a:cs typeface="Calibri"/>
              <a:sym typeface="Calibri"/>
            </a:rPr>
            <a:t>3 flights from Dublin to London each day</a:t>
          </a:r>
          <a:r>
            <a:rPr lang="en-US" sz="1100" b="0">
              <a:solidFill>
                <a:schemeClr val="dk1"/>
              </a:solidFill>
              <a:latin typeface="Calibri"/>
              <a:ea typeface="Calibri"/>
              <a:cs typeface="Calibri"/>
              <a:sym typeface="Calibri"/>
            </a:rPr>
            <a:t> (apart from Dec 25th)</a:t>
          </a:r>
          <a:endParaRPr sz="1400"/>
        </a:p>
        <a:p>
          <a:pPr marL="0" lvl="0" indent="0" algn="l" rtl="0">
            <a:spcBef>
              <a:spcPts val="0"/>
            </a:spcBef>
            <a:spcAft>
              <a:spcPts val="0"/>
            </a:spcAft>
            <a:buNone/>
          </a:pPr>
          <a:endParaRPr sz="1100">
            <a:solidFill>
              <a:schemeClr val="dk1"/>
            </a:solidFill>
            <a:latin typeface="Calibri"/>
            <a:ea typeface="Calibri"/>
            <a:cs typeface="Calibri"/>
            <a:sym typeface="Calibri"/>
          </a:endParaRPr>
        </a:p>
        <a:p>
          <a:pPr marL="0" lvl="0" indent="0" algn="l" rtl="0">
            <a:spcBef>
              <a:spcPts val="0"/>
            </a:spcBef>
            <a:spcAft>
              <a:spcPts val="0"/>
            </a:spcAft>
            <a:buNone/>
          </a:pPr>
          <a:r>
            <a:rPr lang="en-US" sz="1100">
              <a:solidFill>
                <a:schemeClr val="dk1"/>
              </a:solidFill>
              <a:latin typeface="Calibri"/>
              <a:ea typeface="Calibri"/>
              <a:cs typeface="Calibri"/>
              <a:sym typeface="Calibri"/>
            </a:rPr>
            <a:t>Each flight has a </a:t>
          </a:r>
          <a:r>
            <a:rPr lang="en-US" sz="1100" b="1">
              <a:solidFill>
                <a:schemeClr val="dk1"/>
              </a:solidFill>
              <a:latin typeface="Calibri"/>
              <a:ea typeface="Calibri"/>
              <a:cs typeface="Calibri"/>
              <a:sym typeface="Calibri"/>
            </a:rPr>
            <a:t>maximum capacity of 100 passengers</a:t>
          </a:r>
          <a:r>
            <a:rPr lang="en-US" sz="1100">
              <a:solidFill>
                <a:schemeClr val="dk1"/>
              </a:solidFill>
              <a:latin typeface="Calibri"/>
              <a:ea typeface="Calibri"/>
              <a:cs typeface="Calibri"/>
              <a:sym typeface="Calibri"/>
            </a:rPr>
            <a:t>.</a:t>
          </a:r>
          <a:endParaRPr sz="1400"/>
        </a:p>
        <a:p>
          <a:pPr marL="0" lvl="0" indent="0" algn="l" rtl="0">
            <a:spcBef>
              <a:spcPts val="0"/>
            </a:spcBef>
            <a:spcAft>
              <a:spcPts val="0"/>
            </a:spcAft>
            <a:buNone/>
          </a:pPr>
          <a:endParaRPr sz="11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The company estimates that the </a:t>
          </a:r>
          <a:r>
            <a:rPr lang="en-US" sz="1100" b="1">
              <a:solidFill>
                <a:schemeClr val="dk1"/>
              </a:solidFill>
              <a:latin typeface="Calibri"/>
              <a:ea typeface="Calibri"/>
              <a:cs typeface="Calibri"/>
              <a:sym typeface="Calibri"/>
            </a:rPr>
            <a:t>average profit per customer is €40 </a:t>
          </a:r>
          <a:r>
            <a:rPr lang="en-US" sz="1100">
              <a:solidFill>
                <a:schemeClr val="dk1"/>
              </a:solidFill>
              <a:latin typeface="Calibri"/>
              <a:ea typeface="Calibri"/>
              <a:cs typeface="Calibri"/>
              <a:sym typeface="Calibri"/>
            </a:rPr>
            <a:t>and the </a:t>
          </a:r>
          <a:r>
            <a:rPr lang="en-US" sz="1100" b="1">
              <a:solidFill>
                <a:schemeClr val="dk1"/>
              </a:solidFill>
              <a:latin typeface="Calibri"/>
              <a:ea typeface="Calibri"/>
              <a:cs typeface="Calibri"/>
              <a:sym typeface="Calibri"/>
            </a:rPr>
            <a:t>average cost of overbooking a passenger is €100</a:t>
          </a:r>
          <a:r>
            <a:rPr lang="en-US" sz="1100">
              <a:solidFill>
                <a:schemeClr val="dk1"/>
              </a:solidFill>
              <a:latin typeface="Calibri"/>
              <a:ea typeface="Calibri"/>
              <a:cs typeface="Calibri"/>
              <a:sym typeface="Calibri"/>
            </a:rPr>
            <a:t>. Assume both of these parameters are fixed for all passengers on all flights. In addiion assume that all no show passengers lose their booking and do not need to be accommodated on future flights.</a:t>
          </a:r>
          <a:endParaRPr sz="1100"/>
        </a:p>
        <a:p>
          <a:pPr marL="0" lvl="0" indent="0" algn="l" rtl="0">
            <a:spcBef>
              <a:spcPts val="0"/>
            </a:spcBef>
            <a:spcAft>
              <a:spcPts val="0"/>
            </a:spcAft>
            <a:buNone/>
          </a:pPr>
          <a:endParaRPr sz="11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The number of no shows and estimated Passenger Demand for each flight over the past 12 months is given in the </a:t>
          </a:r>
          <a:r>
            <a:rPr lang="en-US" sz="1100" b="1" i="1">
              <a:solidFill>
                <a:schemeClr val="dk1"/>
              </a:solidFill>
              <a:latin typeface="Calibri"/>
              <a:ea typeface="Calibri"/>
              <a:cs typeface="Calibri"/>
              <a:sym typeface="Calibri"/>
            </a:rPr>
            <a:t>Data Sheet.</a:t>
          </a: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The airline believe  </a:t>
          </a:r>
          <a:r>
            <a:rPr lang="en-US" sz="1100" b="1">
              <a:solidFill>
                <a:schemeClr val="dk1"/>
              </a:solidFill>
              <a:latin typeface="Calibri"/>
              <a:ea typeface="Calibri"/>
              <a:cs typeface="Calibri"/>
              <a:sym typeface="Calibri"/>
            </a:rPr>
            <a:t>Demand on each flight </a:t>
          </a:r>
          <a:r>
            <a:rPr lang="en-US" sz="1100">
              <a:solidFill>
                <a:schemeClr val="dk1"/>
              </a:solidFill>
              <a:latin typeface="Calibri"/>
              <a:ea typeface="Calibri"/>
              <a:cs typeface="Calibri"/>
              <a:sym typeface="Calibri"/>
            </a:rPr>
            <a:t>can be modelled using a </a:t>
          </a:r>
          <a:r>
            <a:rPr lang="en-US" sz="1100" b="1">
              <a:solidFill>
                <a:schemeClr val="dk1"/>
              </a:solidFill>
              <a:latin typeface="Calibri"/>
              <a:ea typeface="Calibri"/>
              <a:cs typeface="Calibri"/>
              <a:sym typeface="Calibri"/>
            </a:rPr>
            <a:t>Normal Distribution </a:t>
          </a:r>
          <a:r>
            <a:rPr lang="en-US" sz="1100" b="0">
              <a:solidFill>
                <a:schemeClr val="dk1"/>
              </a:solidFill>
              <a:latin typeface="Calibri"/>
              <a:ea typeface="Calibri"/>
              <a:cs typeface="Calibri"/>
              <a:sym typeface="Calibri"/>
            </a:rPr>
            <a:t>with </a:t>
          </a:r>
          <a:r>
            <a:rPr lang="en-US" sz="1100" b="1">
              <a:solidFill>
                <a:schemeClr val="dk1"/>
              </a:solidFill>
              <a:latin typeface="Calibri"/>
              <a:ea typeface="Calibri"/>
              <a:cs typeface="Calibri"/>
              <a:sym typeface="Calibri"/>
            </a:rPr>
            <a:t>Mean = 103 and St. Dev = 5</a:t>
          </a:r>
          <a:endParaRPr sz="1400"/>
        </a:p>
        <a:p>
          <a:pPr marL="0" lvl="0" indent="0" algn="l" rtl="0">
            <a:spcBef>
              <a:spcPts val="0"/>
            </a:spcBef>
            <a:spcAft>
              <a:spcPts val="0"/>
            </a:spcAft>
            <a:buNone/>
          </a:pPr>
          <a:endParaRPr sz="1100" b="1">
            <a:solidFill>
              <a:schemeClr val="dk1"/>
            </a:solidFill>
            <a:latin typeface="Calibri"/>
            <a:ea typeface="Calibri"/>
            <a:cs typeface="Calibri"/>
            <a:sym typeface="Calibri"/>
          </a:endParaRPr>
        </a:p>
        <a:p>
          <a:pPr marL="0" lvl="0" indent="0" algn="l" rtl="0">
            <a:spcBef>
              <a:spcPts val="0"/>
            </a:spcBef>
            <a:spcAft>
              <a:spcPts val="0"/>
            </a:spcAft>
            <a:buNone/>
          </a:pPr>
          <a:r>
            <a:rPr lang="en-US" sz="1100">
              <a:solidFill>
                <a:schemeClr val="dk1"/>
              </a:solidFill>
              <a:latin typeface="Calibri"/>
              <a:ea typeface="Calibri"/>
              <a:cs typeface="Calibri"/>
              <a:sym typeface="Calibri"/>
            </a:rPr>
            <a:t>Use this information to </a:t>
          </a:r>
          <a:r>
            <a:rPr lang="en-US" sz="1100" b="1">
              <a:solidFill>
                <a:schemeClr val="dk1"/>
              </a:solidFill>
              <a:latin typeface="Calibri"/>
              <a:ea typeface="Calibri"/>
              <a:cs typeface="Calibri"/>
              <a:sym typeface="Calibri"/>
            </a:rPr>
            <a:t>Simulate the impact on profit of overbooking flights by 0,1,2,3,4 and 5 passengers on flights. (Simulate the Model for 364 days)</a:t>
          </a:r>
          <a:endParaRPr sz="1100"/>
        </a:p>
        <a:p>
          <a:pPr marL="0" lvl="0" indent="0" algn="l" rtl="0">
            <a:spcBef>
              <a:spcPts val="0"/>
            </a:spcBef>
            <a:spcAft>
              <a:spcPts val="0"/>
            </a:spcAft>
            <a:buNone/>
          </a:pPr>
          <a:endParaRPr sz="1100">
            <a:solidFill>
              <a:schemeClr val="dk1"/>
            </a:solidFill>
            <a:latin typeface="Calibri"/>
            <a:ea typeface="Calibri"/>
            <a:cs typeface="Calibri"/>
            <a:sym typeface="Calibri"/>
          </a:endParaRPr>
        </a:p>
        <a:p>
          <a:pPr marL="0" lvl="0" indent="0" algn="l" rtl="0">
            <a:spcBef>
              <a:spcPts val="0"/>
            </a:spcBef>
            <a:spcAft>
              <a:spcPts val="0"/>
            </a:spcAft>
            <a:buNone/>
          </a:pPr>
          <a:r>
            <a:rPr lang="en-US" sz="1100">
              <a:solidFill>
                <a:schemeClr val="dk1"/>
              </a:solidFill>
              <a:latin typeface="Calibri"/>
              <a:ea typeface="Calibri"/>
              <a:cs typeface="Calibri"/>
              <a:sym typeface="Calibri"/>
            </a:rPr>
            <a:t>Generate some Descriptive Statistics to measure the impact on profits for each strategy. Include a sensitivity Analysis  Outline the assumptions in the model and comment on any limitations. </a:t>
          </a:r>
          <a:endParaRPr sz="1400"/>
        </a:p>
        <a:p>
          <a:pPr marL="0" lvl="0" indent="0" algn="l" rtl="0">
            <a:spcBef>
              <a:spcPts val="0"/>
            </a:spcBef>
            <a:spcAft>
              <a:spcPts val="0"/>
            </a:spcAft>
            <a:buNone/>
          </a:pPr>
          <a:endParaRPr sz="1100">
            <a:solidFill>
              <a:schemeClr val="dk1"/>
            </a:solidFill>
            <a:latin typeface="Calibri"/>
            <a:ea typeface="Calibri"/>
            <a:cs typeface="Calibri"/>
            <a:sym typeface="Calibri"/>
          </a:endParaRPr>
        </a:p>
        <a:p>
          <a:pPr marL="0" lvl="0" indent="0" algn="l" rtl="0">
            <a:spcBef>
              <a:spcPts val="0"/>
            </a:spcBef>
            <a:spcAft>
              <a:spcPts val="0"/>
            </a:spcAft>
            <a:buNone/>
          </a:pPr>
          <a:r>
            <a:rPr lang="en-US" sz="1400" b="1">
              <a:solidFill>
                <a:srgbClr val="002060"/>
              </a:solidFill>
              <a:latin typeface="Calibri"/>
              <a:ea typeface="Calibri"/>
              <a:cs typeface="Calibri"/>
              <a:sym typeface="Calibri"/>
            </a:rPr>
            <a:t>Based on your analysis what is the best Overbooking Strategy for the airline in your opinion? </a:t>
          </a:r>
          <a:endParaRPr sz="1400" b="1">
            <a:solidFill>
              <a:srgbClr val="002060"/>
            </a:solidFill>
          </a:endParaRPr>
        </a:p>
        <a:p>
          <a:pPr marL="0" lvl="0" indent="0" algn="l" rtl="0">
            <a:spcBef>
              <a:spcPts val="0"/>
            </a:spcBef>
            <a:spcAft>
              <a:spcPts val="0"/>
            </a:spcAft>
            <a:buNone/>
          </a:pPr>
          <a:endParaRPr sz="1100"/>
        </a:p>
      </xdr:txBody>
    </xdr:sp>
    <xdr:clientData fLocksWithSheet="0"/>
  </xdr:oneCellAnchor>
  <xdr:oneCellAnchor>
    <xdr:from>
      <xdr:col>9</xdr:col>
      <xdr:colOff>371475</xdr:colOff>
      <xdr:row>0</xdr:row>
      <xdr:rowOff>190500</xdr:rowOff>
    </xdr:from>
    <xdr:ext cx="5857875" cy="3409950"/>
    <xdr:sp macro="" textlink="">
      <xdr:nvSpPr>
        <xdr:cNvPr id="4" name="Shape 4">
          <a:extLst>
            <a:ext uri="{FF2B5EF4-FFF2-40B4-BE49-F238E27FC236}">
              <a16:creationId xmlns:a16="http://schemas.microsoft.com/office/drawing/2014/main" id="{00000000-0008-0000-0000-000004000000}"/>
            </a:ext>
          </a:extLst>
        </xdr:cNvPr>
        <xdr:cNvSpPr txBox="1"/>
      </xdr:nvSpPr>
      <xdr:spPr>
        <a:xfrm>
          <a:off x="2440875" y="2094075"/>
          <a:ext cx="5810250" cy="3371850"/>
        </a:xfrm>
        <a:prstGeom prst="rect">
          <a:avLst/>
        </a:prstGeom>
        <a:solidFill>
          <a:schemeClr val="lt1"/>
        </a:solidFill>
        <a:ln w="508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chemeClr val="dk1"/>
              </a:solidFill>
              <a:latin typeface="Calibri"/>
              <a:ea typeface="Calibri"/>
              <a:cs typeface="Calibri"/>
              <a:sym typeface="Calibri"/>
            </a:rPr>
            <a:t>ADDITONAL MARKS</a:t>
          </a:r>
          <a:endParaRPr sz="1400"/>
        </a:p>
        <a:p>
          <a:pPr marL="0" lvl="0" indent="0" algn="l" rtl="0">
            <a:spcBef>
              <a:spcPts val="0"/>
            </a:spcBef>
            <a:spcAft>
              <a:spcPts val="0"/>
            </a:spcAft>
            <a:buNone/>
          </a:pPr>
          <a:endParaRPr sz="1100">
            <a:solidFill>
              <a:schemeClr val="dk1"/>
            </a:solidFill>
            <a:latin typeface="Calibri"/>
            <a:ea typeface="Calibri"/>
            <a:cs typeface="Calibri"/>
            <a:sym typeface="Calibri"/>
          </a:endParaRPr>
        </a:p>
        <a:p>
          <a:pPr marL="0" lvl="0" indent="0" algn="l" rtl="0">
            <a:spcBef>
              <a:spcPts val="0"/>
            </a:spcBef>
            <a:spcAft>
              <a:spcPts val="0"/>
            </a:spcAft>
            <a:buNone/>
          </a:pPr>
          <a:r>
            <a:rPr lang="en-US" sz="1100">
              <a:solidFill>
                <a:schemeClr val="dk1"/>
              </a:solidFill>
              <a:latin typeface="Calibri"/>
              <a:ea typeface="Calibri"/>
              <a:cs typeface="Calibri"/>
              <a:sym typeface="Calibri"/>
            </a:rPr>
            <a:t>For </a:t>
          </a:r>
          <a:r>
            <a:rPr lang="en-US" sz="1100" b="1">
              <a:solidFill>
                <a:schemeClr val="dk1"/>
              </a:solidFill>
              <a:latin typeface="Calibri"/>
              <a:ea typeface="Calibri"/>
              <a:cs typeface="Calibri"/>
              <a:sym typeface="Calibri"/>
            </a:rPr>
            <a:t>extra marks </a:t>
          </a:r>
          <a:r>
            <a:rPr lang="en-US" sz="1100">
              <a:solidFill>
                <a:schemeClr val="dk1"/>
              </a:solidFill>
              <a:latin typeface="Calibri"/>
              <a:ea typeface="Calibri"/>
              <a:cs typeface="Calibri"/>
              <a:sym typeface="Calibri"/>
            </a:rPr>
            <a:t>improve your model by adding the following information</a:t>
          </a:r>
          <a:endParaRPr sz="1100">
            <a:solidFill>
              <a:schemeClr val="dk1"/>
            </a:solidFill>
            <a:latin typeface="Calibri"/>
            <a:ea typeface="Calibri"/>
            <a:cs typeface="Calibri"/>
            <a:sym typeface="Calibri"/>
          </a:endParaRPr>
        </a:p>
        <a:p>
          <a:pPr marL="0" lvl="0" indent="0" algn="l" rtl="0">
            <a:spcBef>
              <a:spcPts val="0"/>
            </a:spcBef>
            <a:spcAft>
              <a:spcPts val="0"/>
            </a:spcAft>
            <a:buNone/>
          </a:pPr>
          <a:endParaRPr sz="1100">
            <a:solidFill>
              <a:schemeClr val="dk1"/>
            </a:solidFill>
            <a:latin typeface="Calibri"/>
            <a:ea typeface="Calibri"/>
            <a:cs typeface="Calibri"/>
            <a:sym typeface="Calibri"/>
          </a:endParaRPr>
        </a:p>
        <a:p>
          <a:pPr marL="0" lvl="0" indent="0" algn="l" rtl="0">
            <a:spcBef>
              <a:spcPts val="0"/>
            </a:spcBef>
            <a:spcAft>
              <a:spcPts val="0"/>
            </a:spcAft>
            <a:buNone/>
          </a:pPr>
          <a:r>
            <a:rPr lang="en-US" sz="1100" b="1">
              <a:solidFill>
                <a:schemeClr val="dk1"/>
              </a:solidFill>
              <a:latin typeface="Calibri"/>
              <a:ea typeface="Calibri"/>
              <a:cs typeface="Calibri"/>
              <a:sym typeface="Calibri"/>
            </a:rPr>
            <a:t>Bumped passengers on the 11am and 3pm flights are offered seats on the next flight that day and are given a voucher for €25</a:t>
          </a:r>
          <a:r>
            <a:rPr lang="en-US" sz="1100">
              <a:solidFill>
                <a:schemeClr val="dk1"/>
              </a:solidFill>
              <a:latin typeface="Calibri"/>
              <a:ea typeface="Calibri"/>
              <a:cs typeface="Calibri"/>
              <a:sym typeface="Calibri"/>
            </a:rPr>
            <a:t>. </a:t>
          </a:r>
          <a:endParaRPr sz="1400"/>
        </a:p>
        <a:p>
          <a:pPr marL="0" lvl="0" indent="0" algn="l" rtl="0">
            <a:spcBef>
              <a:spcPts val="0"/>
            </a:spcBef>
            <a:spcAft>
              <a:spcPts val="0"/>
            </a:spcAft>
            <a:buNone/>
          </a:pPr>
          <a:r>
            <a:rPr lang="en-US" sz="1100" b="1">
              <a:solidFill>
                <a:schemeClr val="dk1"/>
              </a:solidFill>
              <a:latin typeface="Calibri"/>
              <a:ea typeface="Calibri"/>
              <a:cs typeface="Calibri"/>
              <a:sym typeface="Calibri"/>
            </a:rPr>
            <a:t>Bumped passengers on the 7pm flights must be given overnight accommodation and given a seat on the first flight the next day at a cost of €200.</a:t>
          </a:r>
          <a:endParaRPr sz="1400"/>
        </a:p>
        <a:p>
          <a:pPr marL="0" lvl="0" indent="0" algn="l" rtl="0">
            <a:spcBef>
              <a:spcPts val="0"/>
            </a:spcBef>
            <a:spcAft>
              <a:spcPts val="0"/>
            </a:spcAft>
            <a:buNone/>
          </a:pPr>
          <a:endParaRPr sz="1100">
            <a:solidFill>
              <a:schemeClr val="dk1"/>
            </a:solidFill>
            <a:latin typeface="Calibri"/>
            <a:ea typeface="Calibri"/>
            <a:cs typeface="Calibri"/>
            <a:sym typeface="Calibri"/>
          </a:endParaRPr>
        </a:p>
        <a:p>
          <a:pPr marL="0" lvl="0" indent="0" algn="l" rtl="0">
            <a:spcBef>
              <a:spcPts val="0"/>
            </a:spcBef>
            <a:spcAft>
              <a:spcPts val="0"/>
            </a:spcAft>
            <a:buNone/>
          </a:pPr>
          <a:r>
            <a:rPr lang="en-US" sz="1100">
              <a:solidFill>
                <a:schemeClr val="dk1"/>
              </a:solidFill>
              <a:latin typeface="Calibri"/>
              <a:ea typeface="Calibri"/>
              <a:cs typeface="Calibri"/>
              <a:sym typeface="Calibri"/>
            </a:rPr>
            <a:t>The airline believe </a:t>
          </a:r>
          <a:r>
            <a:rPr lang="en-US" sz="1100" b="1">
              <a:solidFill>
                <a:schemeClr val="dk1"/>
              </a:solidFill>
              <a:latin typeface="Calibri"/>
              <a:ea typeface="Calibri"/>
              <a:cs typeface="Calibri"/>
              <a:sym typeface="Calibri"/>
            </a:rPr>
            <a:t>Demand on each flight </a:t>
          </a:r>
          <a:r>
            <a:rPr lang="en-US" sz="1100">
              <a:solidFill>
                <a:schemeClr val="dk1"/>
              </a:solidFill>
              <a:latin typeface="Calibri"/>
              <a:ea typeface="Calibri"/>
              <a:cs typeface="Calibri"/>
              <a:sym typeface="Calibri"/>
            </a:rPr>
            <a:t>can be modelled using a </a:t>
          </a:r>
          <a:r>
            <a:rPr lang="en-US" sz="1100" b="1">
              <a:solidFill>
                <a:schemeClr val="dk1"/>
              </a:solidFill>
              <a:latin typeface="Calibri"/>
              <a:ea typeface="Calibri"/>
              <a:cs typeface="Calibri"/>
              <a:sym typeface="Calibri"/>
            </a:rPr>
            <a:t>Normal Distribution </a:t>
          </a:r>
          <a:r>
            <a:rPr lang="en-US" sz="1100">
              <a:solidFill>
                <a:schemeClr val="dk1"/>
              </a:solidFill>
              <a:latin typeface="Calibri"/>
              <a:ea typeface="Calibri"/>
              <a:cs typeface="Calibri"/>
              <a:sym typeface="Calibri"/>
            </a:rPr>
            <a:t>using the following parameters</a:t>
          </a:r>
          <a:endParaRPr sz="1400"/>
        </a:p>
        <a:p>
          <a:pPr marL="0" lvl="0" indent="0" algn="l" rtl="0">
            <a:spcBef>
              <a:spcPts val="0"/>
            </a:spcBef>
            <a:spcAft>
              <a:spcPts val="0"/>
            </a:spcAft>
            <a:buNone/>
          </a:pPr>
          <a:r>
            <a:rPr lang="en-US" sz="1100" b="1">
              <a:solidFill>
                <a:schemeClr val="dk1"/>
              </a:solidFill>
              <a:latin typeface="Calibri"/>
              <a:ea typeface="Calibri"/>
              <a:cs typeface="Calibri"/>
              <a:sym typeface="Calibri"/>
            </a:rPr>
            <a:t>11am Flight: Mean 101 St. Dev 6</a:t>
          </a:r>
          <a:endParaRPr sz="1100">
            <a:solidFill>
              <a:schemeClr val="dk1"/>
            </a:solidFill>
            <a:latin typeface="Calibri"/>
            <a:ea typeface="Calibri"/>
            <a:cs typeface="Calibri"/>
            <a:sym typeface="Calibri"/>
          </a:endParaRPr>
        </a:p>
        <a:p>
          <a:pPr marL="0" lvl="0" indent="0" algn="l" rtl="0">
            <a:spcBef>
              <a:spcPts val="0"/>
            </a:spcBef>
            <a:spcAft>
              <a:spcPts val="0"/>
            </a:spcAft>
            <a:buNone/>
          </a:pPr>
          <a:r>
            <a:rPr lang="en-US" sz="1100" b="1">
              <a:solidFill>
                <a:schemeClr val="dk1"/>
              </a:solidFill>
              <a:latin typeface="Calibri"/>
              <a:ea typeface="Calibri"/>
              <a:cs typeface="Calibri"/>
              <a:sym typeface="Calibri"/>
            </a:rPr>
            <a:t>3pm Flight: Mean 103 St. Dev 5</a:t>
          </a:r>
          <a:endParaRPr sz="1100">
            <a:solidFill>
              <a:schemeClr val="dk1"/>
            </a:solidFill>
            <a:latin typeface="Calibri"/>
            <a:ea typeface="Calibri"/>
            <a:cs typeface="Calibri"/>
            <a:sym typeface="Calibri"/>
          </a:endParaRPr>
        </a:p>
        <a:p>
          <a:pPr marL="0" lvl="0" indent="0" algn="l" rtl="0">
            <a:spcBef>
              <a:spcPts val="0"/>
            </a:spcBef>
            <a:spcAft>
              <a:spcPts val="0"/>
            </a:spcAft>
            <a:buNone/>
          </a:pPr>
          <a:r>
            <a:rPr lang="en-US" sz="1100" b="1">
              <a:solidFill>
                <a:schemeClr val="dk1"/>
              </a:solidFill>
              <a:latin typeface="Calibri"/>
              <a:ea typeface="Calibri"/>
              <a:cs typeface="Calibri"/>
              <a:sym typeface="Calibri"/>
            </a:rPr>
            <a:t>7pm Flight: Mean 105 St. Dev 5</a:t>
          </a:r>
          <a:endParaRPr sz="1400"/>
        </a:p>
        <a:p>
          <a:pPr marL="0" lvl="0" indent="0" algn="l" rtl="0">
            <a:spcBef>
              <a:spcPts val="0"/>
            </a:spcBef>
            <a:spcAft>
              <a:spcPts val="0"/>
            </a:spcAft>
            <a:buNone/>
          </a:pPr>
          <a:endParaRPr sz="1100" b="1">
            <a:solidFill>
              <a:schemeClr val="dk1"/>
            </a:solidFill>
            <a:latin typeface="Calibri"/>
            <a:ea typeface="Calibri"/>
            <a:cs typeface="Calibri"/>
            <a:sym typeface="Calibri"/>
          </a:endParaRPr>
        </a:p>
        <a:p>
          <a:pPr marL="0" lvl="0" indent="0" algn="l" rtl="0">
            <a:spcBef>
              <a:spcPts val="0"/>
            </a:spcBef>
            <a:spcAft>
              <a:spcPts val="0"/>
            </a:spcAft>
            <a:buNone/>
          </a:pPr>
          <a:r>
            <a:rPr lang="en-US" sz="1100">
              <a:solidFill>
                <a:schemeClr val="dk1"/>
              </a:solidFill>
              <a:latin typeface="Calibri"/>
              <a:ea typeface="Calibri"/>
              <a:cs typeface="Calibri"/>
              <a:sym typeface="Calibri"/>
            </a:rPr>
            <a:t>Finally briefly suggest any other improvements that could be made to the model to make it more realistic in your opinion. Modify the model and implement one of these changes if its supported by the data.</a:t>
          </a:r>
          <a:endParaRPr sz="1100"/>
        </a:p>
      </xdr:txBody>
    </xdr:sp>
    <xdr:clientData fLocksWithSheet="0"/>
  </xdr:oneCellAnchor>
  <xdr:oneCellAnchor>
    <xdr:from>
      <xdr:col>10</xdr:col>
      <xdr:colOff>485775</xdr:colOff>
      <xdr:row>19</xdr:row>
      <xdr:rowOff>104775</xdr:rowOff>
    </xdr:from>
    <xdr:ext cx="4762500" cy="828675"/>
    <xdr:sp macro="" textlink="">
      <xdr:nvSpPr>
        <xdr:cNvPr id="5" name="Shape 5">
          <a:extLst>
            <a:ext uri="{FF2B5EF4-FFF2-40B4-BE49-F238E27FC236}">
              <a16:creationId xmlns:a16="http://schemas.microsoft.com/office/drawing/2014/main" id="{00000000-0008-0000-0000-000005000000}"/>
            </a:ext>
          </a:extLst>
        </xdr:cNvPr>
        <xdr:cNvSpPr txBox="1"/>
      </xdr:nvSpPr>
      <xdr:spPr>
        <a:xfrm>
          <a:off x="2983800" y="3384713"/>
          <a:ext cx="4724400" cy="790575"/>
        </a:xfrm>
        <a:prstGeom prst="rect">
          <a:avLst/>
        </a:prstGeom>
        <a:solidFill>
          <a:schemeClr val="lt1"/>
        </a:solidFill>
        <a:ln w="381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chemeClr val="dk1"/>
              </a:solidFill>
              <a:latin typeface="Calibri"/>
              <a:ea typeface="Calibri"/>
              <a:cs typeface="Calibri"/>
              <a:sym typeface="Calibri"/>
            </a:rPr>
            <a:t>Please Upload your Final MS EXCEL Files to LOOP. The File should have one sheet that explains your model and outlines all  assumptions made </a:t>
          </a:r>
          <a:endParaRPr sz="1400"/>
        </a:p>
        <a:p>
          <a:pPr marL="0" lvl="0" indent="0" algn="l" rtl="0">
            <a:spcBef>
              <a:spcPts val="0"/>
            </a:spcBef>
            <a:spcAft>
              <a:spcPts val="0"/>
            </a:spcAft>
            <a:buNone/>
          </a:pP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1:A1000"/>
  <sheetViews>
    <sheetView workbookViewId="0">
      <selection activeCell="J14" sqref="J14"/>
    </sheetView>
  </sheetViews>
  <sheetFormatPr defaultColWidth="14.453125" defaultRowHeight="15" customHeight="1" x14ac:dyDescent="0.35"/>
  <cols>
    <col min="1" max="26" width="8.7265625" customWidth="1"/>
  </cols>
  <sheetData>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93"/>
  <sheetViews>
    <sheetView workbookViewId="0">
      <selection activeCell="F2" sqref="F2"/>
    </sheetView>
  </sheetViews>
  <sheetFormatPr defaultColWidth="14.453125" defaultRowHeight="15" customHeight="1" x14ac:dyDescent="0.35"/>
  <cols>
    <col min="1" max="2" width="9.08984375" customWidth="1"/>
    <col min="3" max="3" width="12.81640625" customWidth="1"/>
    <col min="4" max="4" width="15.453125" customWidth="1"/>
    <col min="5" max="6" width="13.81640625" customWidth="1"/>
    <col min="7" max="26" width="8.7265625" customWidth="1"/>
  </cols>
  <sheetData>
    <row r="1" spans="1:6" ht="14.5" x14ac:dyDescent="0.35">
      <c r="A1" s="1" t="s">
        <v>0</v>
      </c>
      <c r="B1" s="2" t="s">
        <v>1</v>
      </c>
      <c r="C1" s="3" t="s">
        <v>2</v>
      </c>
      <c r="D1" s="3" t="s">
        <v>3</v>
      </c>
      <c r="E1" s="3" t="s">
        <v>4</v>
      </c>
      <c r="F1" s="3" t="s">
        <v>5</v>
      </c>
    </row>
    <row r="2" spans="1:6" ht="14.5" x14ac:dyDescent="0.35">
      <c r="A2" s="1">
        <v>1</v>
      </c>
      <c r="B2" s="4" t="s">
        <v>6</v>
      </c>
      <c r="C2" s="5">
        <v>44197</v>
      </c>
      <c r="D2" s="6" t="s">
        <v>7</v>
      </c>
      <c r="E2" s="6">
        <v>5</v>
      </c>
      <c r="F2" s="6">
        <v>95</v>
      </c>
    </row>
    <row r="3" spans="1:6" ht="14.5" x14ac:dyDescent="0.35">
      <c r="A3" s="1">
        <v>2</v>
      </c>
      <c r="B3" s="4" t="s">
        <v>6</v>
      </c>
      <c r="C3" s="5">
        <v>44197</v>
      </c>
      <c r="D3" s="6" t="s">
        <v>8</v>
      </c>
      <c r="E3" s="6">
        <v>4</v>
      </c>
      <c r="F3" s="6">
        <v>97</v>
      </c>
    </row>
    <row r="4" spans="1:6" ht="14.5" x14ac:dyDescent="0.35">
      <c r="A4" s="1">
        <v>3</v>
      </c>
      <c r="B4" s="4" t="s">
        <v>6</v>
      </c>
      <c r="C4" s="5">
        <v>44197</v>
      </c>
      <c r="D4" s="6" t="s">
        <v>9</v>
      </c>
      <c r="E4" s="6">
        <v>0</v>
      </c>
      <c r="F4" s="6">
        <v>112</v>
      </c>
    </row>
    <row r="5" spans="1:6" ht="14.5" x14ac:dyDescent="0.35">
      <c r="A5" s="1">
        <v>4</v>
      </c>
      <c r="B5" s="4" t="s">
        <v>10</v>
      </c>
      <c r="C5" s="5">
        <v>44198</v>
      </c>
      <c r="D5" s="6" t="s">
        <v>7</v>
      </c>
      <c r="E5" s="6">
        <v>3</v>
      </c>
      <c r="F5" s="6">
        <v>103</v>
      </c>
    </row>
    <row r="6" spans="1:6" ht="14.5" x14ac:dyDescent="0.35">
      <c r="A6" s="1">
        <v>5</v>
      </c>
      <c r="B6" s="4" t="s">
        <v>10</v>
      </c>
      <c r="C6" s="5">
        <v>44198</v>
      </c>
      <c r="D6" s="6" t="s">
        <v>8</v>
      </c>
      <c r="E6" s="6">
        <v>2</v>
      </c>
      <c r="F6" s="6">
        <v>108</v>
      </c>
    </row>
    <row r="7" spans="1:6" ht="14.5" x14ac:dyDescent="0.35">
      <c r="A7" s="1">
        <v>6</v>
      </c>
      <c r="B7" s="4" t="s">
        <v>10</v>
      </c>
      <c r="C7" s="5">
        <v>44198</v>
      </c>
      <c r="D7" s="6" t="s">
        <v>9</v>
      </c>
      <c r="E7" s="6">
        <v>2</v>
      </c>
      <c r="F7" s="6">
        <v>107</v>
      </c>
    </row>
    <row r="8" spans="1:6" ht="14.5" x14ac:dyDescent="0.35">
      <c r="A8" s="1">
        <v>7</v>
      </c>
      <c r="B8" s="4" t="s">
        <v>11</v>
      </c>
      <c r="C8" s="5">
        <v>44199</v>
      </c>
      <c r="D8" s="6" t="s">
        <v>7</v>
      </c>
      <c r="E8" s="6">
        <v>7</v>
      </c>
      <c r="F8" s="6">
        <v>105</v>
      </c>
    </row>
    <row r="9" spans="1:6" ht="14.5" x14ac:dyDescent="0.35">
      <c r="A9" s="1">
        <v>8</v>
      </c>
      <c r="B9" s="4" t="s">
        <v>11</v>
      </c>
      <c r="C9" s="5">
        <v>44199</v>
      </c>
      <c r="D9" s="6" t="s">
        <v>8</v>
      </c>
      <c r="E9" s="6">
        <v>3</v>
      </c>
      <c r="F9" s="6">
        <v>108</v>
      </c>
    </row>
    <row r="10" spans="1:6" ht="14.5" x14ac:dyDescent="0.35">
      <c r="A10" s="1">
        <v>9</v>
      </c>
      <c r="B10" s="4" t="s">
        <v>11</v>
      </c>
      <c r="C10" s="5">
        <v>44199</v>
      </c>
      <c r="D10" s="6" t="s">
        <v>9</v>
      </c>
      <c r="E10" s="6">
        <v>1</v>
      </c>
      <c r="F10" s="6">
        <v>109</v>
      </c>
    </row>
    <row r="11" spans="1:6" ht="14.5" x14ac:dyDescent="0.35">
      <c r="A11" s="1">
        <v>10</v>
      </c>
      <c r="B11" s="4" t="s">
        <v>12</v>
      </c>
      <c r="C11" s="5">
        <v>44200</v>
      </c>
      <c r="D11" s="6" t="s">
        <v>7</v>
      </c>
      <c r="E11" s="6">
        <v>2</v>
      </c>
      <c r="F11" s="6">
        <v>104</v>
      </c>
    </row>
    <row r="12" spans="1:6" ht="14.5" x14ac:dyDescent="0.35">
      <c r="A12" s="1">
        <v>11</v>
      </c>
      <c r="B12" s="4" t="s">
        <v>12</v>
      </c>
      <c r="C12" s="5">
        <v>44200</v>
      </c>
      <c r="D12" s="6" t="s">
        <v>8</v>
      </c>
      <c r="E12" s="6">
        <v>4</v>
      </c>
      <c r="F12" s="6">
        <v>104</v>
      </c>
    </row>
    <row r="13" spans="1:6" ht="14.5" x14ac:dyDescent="0.35">
      <c r="A13" s="1">
        <v>12</v>
      </c>
      <c r="B13" s="4" t="s">
        <v>12</v>
      </c>
      <c r="C13" s="5">
        <v>44200</v>
      </c>
      <c r="D13" s="6" t="s">
        <v>9</v>
      </c>
      <c r="E13" s="6">
        <v>0</v>
      </c>
      <c r="F13" s="6">
        <v>103</v>
      </c>
    </row>
    <row r="14" spans="1:6" ht="14.5" x14ac:dyDescent="0.35">
      <c r="A14" s="1">
        <v>13</v>
      </c>
      <c r="B14" s="4" t="s">
        <v>13</v>
      </c>
      <c r="C14" s="5">
        <v>44201</v>
      </c>
      <c r="D14" s="6" t="s">
        <v>7</v>
      </c>
      <c r="E14" s="6">
        <v>4</v>
      </c>
      <c r="F14" s="6">
        <v>117</v>
      </c>
    </row>
    <row r="15" spans="1:6" ht="14.5" x14ac:dyDescent="0.35">
      <c r="A15" s="1">
        <v>14</v>
      </c>
      <c r="B15" s="4" t="s">
        <v>13</v>
      </c>
      <c r="C15" s="5">
        <v>44201</v>
      </c>
      <c r="D15" s="6" t="s">
        <v>8</v>
      </c>
      <c r="E15" s="6">
        <v>2</v>
      </c>
      <c r="F15" s="6">
        <v>101</v>
      </c>
    </row>
    <row r="16" spans="1:6" ht="14.5" x14ac:dyDescent="0.35">
      <c r="A16" s="1">
        <v>15</v>
      </c>
      <c r="B16" s="4" t="s">
        <v>13</v>
      </c>
      <c r="C16" s="5">
        <v>44201</v>
      </c>
      <c r="D16" s="6" t="s">
        <v>9</v>
      </c>
      <c r="E16" s="6">
        <v>1</v>
      </c>
      <c r="F16" s="6">
        <v>108</v>
      </c>
    </row>
    <row r="17" spans="1:6" ht="14.5" x14ac:dyDescent="0.35">
      <c r="A17" s="1">
        <v>16</v>
      </c>
      <c r="B17" s="4" t="s">
        <v>14</v>
      </c>
      <c r="C17" s="5">
        <v>44202</v>
      </c>
      <c r="D17" s="6" t="s">
        <v>7</v>
      </c>
      <c r="E17" s="6">
        <v>3</v>
      </c>
      <c r="F17" s="6">
        <v>102</v>
      </c>
    </row>
    <row r="18" spans="1:6" ht="14.5" x14ac:dyDescent="0.35">
      <c r="A18" s="1">
        <v>17</v>
      </c>
      <c r="B18" s="4" t="s">
        <v>14</v>
      </c>
      <c r="C18" s="5">
        <v>44202</v>
      </c>
      <c r="D18" s="6" t="s">
        <v>8</v>
      </c>
      <c r="E18" s="6">
        <v>2</v>
      </c>
      <c r="F18" s="6">
        <v>96</v>
      </c>
    </row>
    <row r="19" spans="1:6" ht="14.5" x14ac:dyDescent="0.35">
      <c r="A19" s="1">
        <v>18</v>
      </c>
      <c r="B19" s="4" t="s">
        <v>14</v>
      </c>
      <c r="C19" s="5">
        <v>44202</v>
      </c>
      <c r="D19" s="6" t="s">
        <v>9</v>
      </c>
      <c r="E19" s="6">
        <v>2</v>
      </c>
      <c r="F19" s="6">
        <v>96</v>
      </c>
    </row>
    <row r="20" spans="1:6" ht="14.5" x14ac:dyDescent="0.35">
      <c r="A20" s="1">
        <v>19</v>
      </c>
      <c r="B20" s="4" t="s">
        <v>15</v>
      </c>
      <c r="C20" s="5">
        <v>44203</v>
      </c>
      <c r="D20" s="6" t="s">
        <v>7</v>
      </c>
      <c r="E20" s="6">
        <v>4</v>
      </c>
      <c r="F20" s="6">
        <v>99</v>
      </c>
    </row>
    <row r="21" spans="1:6" ht="15.75" customHeight="1" x14ac:dyDescent="0.35">
      <c r="A21" s="1">
        <v>20</v>
      </c>
      <c r="B21" s="4" t="s">
        <v>15</v>
      </c>
      <c r="C21" s="5">
        <v>44203</v>
      </c>
      <c r="D21" s="6" t="s">
        <v>8</v>
      </c>
      <c r="E21" s="6">
        <v>3</v>
      </c>
      <c r="F21" s="6">
        <v>106</v>
      </c>
    </row>
    <row r="22" spans="1:6" ht="15.75" customHeight="1" x14ac:dyDescent="0.35">
      <c r="A22" s="1">
        <v>21</v>
      </c>
      <c r="B22" s="4" t="s">
        <v>15</v>
      </c>
      <c r="C22" s="5">
        <v>44203</v>
      </c>
      <c r="D22" s="6" t="s">
        <v>9</v>
      </c>
      <c r="E22" s="6">
        <v>1</v>
      </c>
      <c r="F22" s="6">
        <v>102</v>
      </c>
    </row>
    <row r="23" spans="1:6" ht="15.75" customHeight="1" x14ac:dyDescent="0.35">
      <c r="A23" s="1">
        <v>22</v>
      </c>
      <c r="B23" s="4" t="s">
        <v>6</v>
      </c>
      <c r="C23" s="5">
        <v>44204</v>
      </c>
      <c r="D23" s="6" t="s">
        <v>7</v>
      </c>
      <c r="E23" s="6">
        <v>4</v>
      </c>
      <c r="F23" s="6">
        <v>93</v>
      </c>
    </row>
    <row r="24" spans="1:6" ht="15.75" customHeight="1" x14ac:dyDescent="0.35">
      <c r="A24" s="1">
        <v>23</v>
      </c>
      <c r="B24" s="4" t="s">
        <v>6</v>
      </c>
      <c r="C24" s="5">
        <v>44204</v>
      </c>
      <c r="D24" s="6" t="s">
        <v>8</v>
      </c>
      <c r="E24" s="6">
        <v>1</v>
      </c>
      <c r="F24" s="6">
        <v>105</v>
      </c>
    </row>
    <row r="25" spans="1:6" ht="15.75" customHeight="1" x14ac:dyDescent="0.35">
      <c r="A25" s="1">
        <v>24</v>
      </c>
      <c r="B25" s="4" t="s">
        <v>6</v>
      </c>
      <c r="C25" s="5">
        <v>44204</v>
      </c>
      <c r="D25" s="6" t="s">
        <v>9</v>
      </c>
      <c r="E25" s="6">
        <v>0</v>
      </c>
      <c r="F25" s="6">
        <v>105</v>
      </c>
    </row>
    <row r="26" spans="1:6" ht="15.75" customHeight="1" x14ac:dyDescent="0.35">
      <c r="A26" s="1">
        <v>25</v>
      </c>
      <c r="B26" s="4" t="s">
        <v>10</v>
      </c>
      <c r="C26" s="5">
        <v>44205</v>
      </c>
      <c r="D26" s="6" t="s">
        <v>7</v>
      </c>
      <c r="E26" s="6">
        <v>3</v>
      </c>
      <c r="F26" s="6">
        <v>89</v>
      </c>
    </row>
    <row r="27" spans="1:6" ht="15.75" customHeight="1" x14ac:dyDescent="0.35">
      <c r="A27" s="1">
        <v>26</v>
      </c>
      <c r="B27" s="4" t="s">
        <v>10</v>
      </c>
      <c r="C27" s="5">
        <v>44205</v>
      </c>
      <c r="D27" s="6" t="s">
        <v>8</v>
      </c>
      <c r="E27" s="6">
        <v>1</v>
      </c>
      <c r="F27" s="6">
        <v>111</v>
      </c>
    </row>
    <row r="28" spans="1:6" ht="15.75" customHeight="1" x14ac:dyDescent="0.35">
      <c r="A28" s="1">
        <v>27</v>
      </c>
      <c r="B28" s="4" t="s">
        <v>10</v>
      </c>
      <c r="C28" s="5">
        <v>44205</v>
      </c>
      <c r="D28" s="6" t="s">
        <v>9</v>
      </c>
      <c r="E28" s="6">
        <v>2</v>
      </c>
      <c r="F28" s="6">
        <v>116</v>
      </c>
    </row>
    <row r="29" spans="1:6" ht="15.75" customHeight="1" x14ac:dyDescent="0.35">
      <c r="A29" s="1">
        <v>28</v>
      </c>
      <c r="B29" s="4" t="s">
        <v>11</v>
      </c>
      <c r="C29" s="5">
        <v>44206</v>
      </c>
      <c r="D29" s="6" t="s">
        <v>7</v>
      </c>
      <c r="E29" s="6">
        <v>6</v>
      </c>
      <c r="F29" s="6">
        <v>103</v>
      </c>
    </row>
    <row r="30" spans="1:6" ht="15.75" customHeight="1" x14ac:dyDescent="0.35">
      <c r="A30" s="1">
        <v>29</v>
      </c>
      <c r="B30" s="4" t="s">
        <v>11</v>
      </c>
      <c r="C30" s="5">
        <v>44206</v>
      </c>
      <c r="D30" s="6" t="s">
        <v>8</v>
      </c>
      <c r="E30" s="6">
        <v>2</v>
      </c>
      <c r="F30" s="6">
        <v>105</v>
      </c>
    </row>
    <row r="31" spans="1:6" ht="15.75" customHeight="1" x14ac:dyDescent="0.35">
      <c r="A31" s="1">
        <v>30</v>
      </c>
      <c r="B31" s="4" t="s">
        <v>11</v>
      </c>
      <c r="C31" s="5">
        <v>44206</v>
      </c>
      <c r="D31" s="6" t="s">
        <v>9</v>
      </c>
      <c r="E31" s="6">
        <v>0</v>
      </c>
      <c r="F31" s="6">
        <v>108</v>
      </c>
    </row>
    <row r="32" spans="1:6" ht="15.75" customHeight="1" x14ac:dyDescent="0.35">
      <c r="A32" s="1">
        <v>31</v>
      </c>
      <c r="B32" s="4" t="s">
        <v>12</v>
      </c>
      <c r="C32" s="5">
        <v>44207</v>
      </c>
      <c r="D32" s="6" t="s">
        <v>7</v>
      </c>
      <c r="E32" s="6">
        <v>4</v>
      </c>
      <c r="F32" s="6">
        <v>94</v>
      </c>
    </row>
    <row r="33" spans="1:6" ht="15.75" customHeight="1" x14ac:dyDescent="0.35">
      <c r="A33" s="1">
        <v>32</v>
      </c>
      <c r="B33" s="4" t="s">
        <v>12</v>
      </c>
      <c r="C33" s="5">
        <v>44207</v>
      </c>
      <c r="D33" s="6" t="s">
        <v>8</v>
      </c>
      <c r="E33" s="6">
        <v>2</v>
      </c>
      <c r="F33" s="6">
        <v>100</v>
      </c>
    </row>
    <row r="34" spans="1:6" ht="15.75" customHeight="1" x14ac:dyDescent="0.35">
      <c r="A34" s="1">
        <v>33</v>
      </c>
      <c r="B34" s="4" t="s">
        <v>12</v>
      </c>
      <c r="C34" s="5">
        <v>44207</v>
      </c>
      <c r="D34" s="6" t="s">
        <v>9</v>
      </c>
      <c r="E34" s="6">
        <v>0</v>
      </c>
      <c r="F34" s="6">
        <v>91</v>
      </c>
    </row>
    <row r="35" spans="1:6" ht="15.75" customHeight="1" x14ac:dyDescent="0.35">
      <c r="A35" s="1">
        <v>34</v>
      </c>
      <c r="B35" s="4" t="s">
        <v>13</v>
      </c>
      <c r="C35" s="5">
        <v>44208</v>
      </c>
      <c r="D35" s="6" t="s">
        <v>7</v>
      </c>
      <c r="E35" s="6">
        <v>1</v>
      </c>
      <c r="F35" s="6">
        <v>98</v>
      </c>
    </row>
    <row r="36" spans="1:6" ht="15.75" customHeight="1" x14ac:dyDescent="0.35">
      <c r="A36" s="1">
        <v>35</v>
      </c>
      <c r="B36" s="4" t="s">
        <v>13</v>
      </c>
      <c r="C36" s="5">
        <v>44208</v>
      </c>
      <c r="D36" s="6" t="s">
        <v>8</v>
      </c>
      <c r="E36" s="6">
        <v>2</v>
      </c>
      <c r="F36" s="6">
        <v>98</v>
      </c>
    </row>
    <row r="37" spans="1:6" ht="15.75" customHeight="1" x14ac:dyDescent="0.35">
      <c r="A37" s="1">
        <v>36</v>
      </c>
      <c r="B37" s="4" t="s">
        <v>13</v>
      </c>
      <c r="C37" s="5">
        <v>44208</v>
      </c>
      <c r="D37" s="6" t="s">
        <v>9</v>
      </c>
      <c r="E37" s="6">
        <v>0</v>
      </c>
      <c r="F37" s="6">
        <v>100</v>
      </c>
    </row>
    <row r="38" spans="1:6" ht="15.75" customHeight="1" x14ac:dyDescent="0.35">
      <c r="A38" s="1">
        <v>37</v>
      </c>
      <c r="B38" s="4" t="s">
        <v>14</v>
      </c>
      <c r="C38" s="5">
        <v>44209</v>
      </c>
      <c r="D38" s="6" t="s">
        <v>7</v>
      </c>
      <c r="E38" s="6">
        <v>8</v>
      </c>
      <c r="F38" s="6">
        <v>102</v>
      </c>
    </row>
    <row r="39" spans="1:6" ht="15.75" customHeight="1" x14ac:dyDescent="0.35">
      <c r="A39" s="1">
        <v>38</v>
      </c>
      <c r="B39" s="4" t="s">
        <v>14</v>
      </c>
      <c r="C39" s="5">
        <v>44209</v>
      </c>
      <c r="D39" s="6" t="s">
        <v>8</v>
      </c>
      <c r="E39" s="6">
        <v>2</v>
      </c>
      <c r="F39" s="6">
        <v>98</v>
      </c>
    </row>
    <row r="40" spans="1:6" ht="15.75" customHeight="1" x14ac:dyDescent="0.35">
      <c r="A40" s="1">
        <v>39</v>
      </c>
      <c r="B40" s="4" t="s">
        <v>14</v>
      </c>
      <c r="C40" s="5">
        <v>44209</v>
      </c>
      <c r="D40" s="6" t="s">
        <v>9</v>
      </c>
      <c r="E40" s="6">
        <v>0</v>
      </c>
      <c r="F40" s="6">
        <v>107</v>
      </c>
    </row>
    <row r="41" spans="1:6" ht="15.75" customHeight="1" x14ac:dyDescent="0.35">
      <c r="A41" s="1">
        <v>40</v>
      </c>
      <c r="B41" s="4" t="s">
        <v>15</v>
      </c>
      <c r="C41" s="5">
        <v>44210</v>
      </c>
      <c r="D41" s="6" t="s">
        <v>7</v>
      </c>
      <c r="E41" s="6">
        <v>4</v>
      </c>
      <c r="F41" s="6">
        <v>103</v>
      </c>
    </row>
    <row r="42" spans="1:6" ht="15.75" customHeight="1" x14ac:dyDescent="0.35">
      <c r="A42" s="1">
        <v>41</v>
      </c>
      <c r="B42" s="4" t="s">
        <v>15</v>
      </c>
      <c r="C42" s="5">
        <v>44210</v>
      </c>
      <c r="D42" s="6" t="s">
        <v>8</v>
      </c>
      <c r="E42" s="6">
        <v>1</v>
      </c>
      <c r="F42" s="6">
        <v>105</v>
      </c>
    </row>
    <row r="43" spans="1:6" ht="15.75" customHeight="1" x14ac:dyDescent="0.35">
      <c r="A43" s="1">
        <v>42</v>
      </c>
      <c r="B43" s="4" t="s">
        <v>15</v>
      </c>
      <c r="C43" s="5">
        <v>44210</v>
      </c>
      <c r="D43" s="6" t="s">
        <v>9</v>
      </c>
      <c r="E43" s="6">
        <v>0</v>
      </c>
      <c r="F43" s="6">
        <v>113</v>
      </c>
    </row>
    <row r="44" spans="1:6" ht="15.75" customHeight="1" x14ac:dyDescent="0.35">
      <c r="A44" s="1">
        <v>43</v>
      </c>
      <c r="B44" s="4" t="s">
        <v>6</v>
      </c>
      <c r="C44" s="5">
        <v>44211</v>
      </c>
      <c r="D44" s="6" t="s">
        <v>7</v>
      </c>
      <c r="E44" s="6">
        <v>1</v>
      </c>
      <c r="F44" s="6">
        <v>111</v>
      </c>
    </row>
    <row r="45" spans="1:6" ht="15.75" customHeight="1" x14ac:dyDescent="0.35">
      <c r="A45" s="1">
        <v>44</v>
      </c>
      <c r="B45" s="4" t="s">
        <v>6</v>
      </c>
      <c r="C45" s="5">
        <v>44211</v>
      </c>
      <c r="D45" s="6" t="s">
        <v>8</v>
      </c>
      <c r="E45" s="6">
        <v>2</v>
      </c>
      <c r="F45" s="6">
        <v>114</v>
      </c>
    </row>
    <row r="46" spans="1:6" ht="15.75" customHeight="1" x14ac:dyDescent="0.35">
      <c r="A46" s="1">
        <v>45</v>
      </c>
      <c r="B46" s="4" t="s">
        <v>6</v>
      </c>
      <c r="C46" s="5">
        <v>44211</v>
      </c>
      <c r="D46" s="6" t="s">
        <v>9</v>
      </c>
      <c r="E46" s="6">
        <v>1</v>
      </c>
      <c r="F46" s="6">
        <v>108</v>
      </c>
    </row>
    <row r="47" spans="1:6" ht="15.75" customHeight="1" x14ac:dyDescent="0.35">
      <c r="A47" s="1">
        <v>46</v>
      </c>
      <c r="B47" s="4" t="s">
        <v>10</v>
      </c>
      <c r="C47" s="5">
        <v>44212</v>
      </c>
      <c r="D47" s="6" t="s">
        <v>7</v>
      </c>
      <c r="E47" s="6">
        <v>4</v>
      </c>
      <c r="F47" s="6">
        <v>119</v>
      </c>
    </row>
    <row r="48" spans="1:6" ht="15.75" customHeight="1" x14ac:dyDescent="0.35">
      <c r="A48" s="1">
        <v>47</v>
      </c>
      <c r="B48" s="4" t="s">
        <v>10</v>
      </c>
      <c r="C48" s="5">
        <v>44212</v>
      </c>
      <c r="D48" s="6" t="s">
        <v>8</v>
      </c>
      <c r="E48" s="6">
        <v>2</v>
      </c>
      <c r="F48" s="6">
        <v>102</v>
      </c>
    </row>
    <row r="49" spans="1:6" ht="15.75" customHeight="1" x14ac:dyDescent="0.35">
      <c r="A49" s="1">
        <v>48</v>
      </c>
      <c r="B49" s="4" t="s">
        <v>10</v>
      </c>
      <c r="C49" s="5">
        <v>44212</v>
      </c>
      <c r="D49" s="6" t="s">
        <v>9</v>
      </c>
      <c r="E49" s="6">
        <v>2</v>
      </c>
      <c r="F49" s="6">
        <v>107</v>
      </c>
    </row>
    <row r="50" spans="1:6" ht="15.75" customHeight="1" x14ac:dyDescent="0.35">
      <c r="A50" s="1">
        <v>49</v>
      </c>
      <c r="B50" s="4" t="s">
        <v>11</v>
      </c>
      <c r="C50" s="5">
        <v>44213</v>
      </c>
      <c r="D50" s="6" t="s">
        <v>7</v>
      </c>
      <c r="E50" s="6">
        <v>2</v>
      </c>
      <c r="F50" s="6">
        <v>100</v>
      </c>
    </row>
    <row r="51" spans="1:6" ht="15.75" customHeight="1" x14ac:dyDescent="0.35">
      <c r="A51" s="1">
        <v>50</v>
      </c>
      <c r="B51" s="4" t="s">
        <v>11</v>
      </c>
      <c r="C51" s="5">
        <v>44213</v>
      </c>
      <c r="D51" s="6" t="s">
        <v>8</v>
      </c>
      <c r="E51" s="6">
        <v>6</v>
      </c>
      <c r="F51" s="6">
        <v>106</v>
      </c>
    </row>
    <row r="52" spans="1:6" ht="15.75" customHeight="1" x14ac:dyDescent="0.35">
      <c r="A52" s="1">
        <v>51</v>
      </c>
      <c r="B52" s="4" t="s">
        <v>11</v>
      </c>
      <c r="C52" s="5">
        <v>44213</v>
      </c>
      <c r="D52" s="6" t="s">
        <v>9</v>
      </c>
      <c r="E52" s="6">
        <v>0</v>
      </c>
      <c r="F52" s="6">
        <v>103</v>
      </c>
    </row>
    <row r="53" spans="1:6" ht="15.75" customHeight="1" x14ac:dyDescent="0.35">
      <c r="A53" s="1">
        <v>52</v>
      </c>
      <c r="B53" s="4" t="s">
        <v>12</v>
      </c>
      <c r="C53" s="5">
        <v>44214</v>
      </c>
      <c r="D53" s="6" t="s">
        <v>7</v>
      </c>
      <c r="E53" s="6">
        <v>5</v>
      </c>
      <c r="F53" s="6">
        <v>98</v>
      </c>
    </row>
    <row r="54" spans="1:6" ht="15.75" customHeight="1" x14ac:dyDescent="0.35">
      <c r="A54" s="1">
        <v>53</v>
      </c>
      <c r="B54" s="4" t="s">
        <v>12</v>
      </c>
      <c r="C54" s="5">
        <v>44214</v>
      </c>
      <c r="D54" s="6" t="s">
        <v>8</v>
      </c>
      <c r="E54" s="6">
        <v>3</v>
      </c>
      <c r="F54" s="6">
        <v>102</v>
      </c>
    </row>
    <row r="55" spans="1:6" ht="15.75" customHeight="1" x14ac:dyDescent="0.35">
      <c r="A55" s="1">
        <v>54</v>
      </c>
      <c r="B55" s="4" t="s">
        <v>12</v>
      </c>
      <c r="C55" s="5">
        <v>44214</v>
      </c>
      <c r="D55" s="6" t="s">
        <v>9</v>
      </c>
      <c r="E55" s="6">
        <v>2</v>
      </c>
      <c r="F55" s="6">
        <v>96</v>
      </c>
    </row>
    <row r="56" spans="1:6" ht="15.75" customHeight="1" x14ac:dyDescent="0.35">
      <c r="A56" s="1">
        <v>55</v>
      </c>
      <c r="B56" s="4" t="s">
        <v>13</v>
      </c>
      <c r="C56" s="5">
        <v>44215</v>
      </c>
      <c r="D56" s="6" t="s">
        <v>7</v>
      </c>
      <c r="E56" s="6">
        <v>2</v>
      </c>
      <c r="F56" s="6">
        <v>97</v>
      </c>
    </row>
    <row r="57" spans="1:6" ht="15.75" customHeight="1" x14ac:dyDescent="0.35">
      <c r="A57" s="1">
        <v>56</v>
      </c>
      <c r="B57" s="4" t="s">
        <v>13</v>
      </c>
      <c r="C57" s="5">
        <v>44215</v>
      </c>
      <c r="D57" s="6" t="s">
        <v>8</v>
      </c>
      <c r="E57" s="6">
        <v>3</v>
      </c>
      <c r="F57" s="6">
        <v>100</v>
      </c>
    </row>
    <row r="58" spans="1:6" ht="15.75" customHeight="1" x14ac:dyDescent="0.35">
      <c r="A58" s="1">
        <v>57</v>
      </c>
      <c r="B58" s="4" t="s">
        <v>13</v>
      </c>
      <c r="C58" s="5">
        <v>44215</v>
      </c>
      <c r="D58" s="6" t="s">
        <v>9</v>
      </c>
      <c r="E58" s="6">
        <v>2</v>
      </c>
      <c r="F58" s="6">
        <v>106</v>
      </c>
    </row>
    <row r="59" spans="1:6" ht="15.75" customHeight="1" x14ac:dyDescent="0.35">
      <c r="A59" s="1">
        <v>58</v>
      </c>
      <c r="B59" s="4" t="s">
        <v>14</v>
      </c>
      <c r="C59" s="5">
        <v>44216</v>
      </c>
      <c r="D59" s="6" t="s">
        <v>7</v>
      </c>
      <c r="E59" s="6">
        <v>4</v>
      </c>
      <c r="F59" s="6">
        <v>94</v>
      </c>
    </row>
    <row r="60" spans="1:6" ht="15.75" customHeight="1" x14ac:dyDescent="0.35">
      <c r="A60" s="1">
        <v>59</v>
      </c>
      <c r="B60" s="4" t="s">
        <v>14</v>
      </c>
      <c r="C60" s="5">
        <v>44216</v>
      </c>
      <c r="D60" s="6" t="s">
        <v>8</v>
      </c>
      <c r="E60" s="6">
        <v>1</v>
      </c>
      <c r="F60" s="6">
        <v>109</v>
      </c>
    </row>
    <row r="61" spans="1:6" ht="15.75" customHeight="1" x14ac:dyDescent="0.35">
      <c r="A61" s="1">
        <v>60</v>
      </c>
      <c r="B61" s="4" t="s">
        <v>14</v>
      </c>
      <c r="C61" s="5">
        <v>44216</v>
      </c>
      <c r="D61" s="6" t="s">
        <v>9</v>
      </c>
      <c r="E61" s="6">
        <v>0</v>
      </c>
      <c r="F61" s="6">
        <v>101</v>
      </c>
    </row>
    <row r="62" spans="1:6" ht="15.75" customHeight="1" x14ac:dyDescent="0.35">
      <c r="A62" s="1">
        <v>61</v>
      </c>
      <c r="B62" s="4" t="s">
        <v>15</v>
      </c>
      <c r="C62" s="5">
        <v>44217</v>
      </c>
      <c r="D62" s="6" t="s">
        <v>7</v>
      </c>
      <c r="E62" s="6">
        <v>5</v>
      </c>
      <c r="F62" s="6">
        <v>102</v>
      </c>
    </row>
    <row r="63" spans="1:6" ht="15.75" customHeight="1" x14ac:dyDescent="0.35">
      <c r="A63" s="1">
        <v>62</v>
      </c>
      <c r="B63" s="4" t="s">
        <v>15</v>
      </c>
      <c r="C63" s="5">
        <v>44217</v>
      </c>
      <c r="D63" s="6" t="s">
        <v>8</v>
      </c>
      <c r="E63" s="6">
        <v>3</v>
      </c>
      <c r="F63" s="6">
        <v>104</v>
      </c>
    </row>
    <row r="64" spans="1:6" ht="15.75" customHeight="1" x14ac:dyDescent="0.35">
      <c r="A64" s="1">
        <v>63</v>
      </c>
      <c r="B64" s="4" t="s">
        <v>15</v>
      </c>
      <c r="C64" s="5">
        <v>44217</v>
      </c>
      <c r="D64" s="6" t="s">
        <v>9</v>
      </c>
      <c r="E64" s="6">
        <v>2</v>
      </c>
      <c r="F64" s="6">
        <v>106</v>
      </c>
    </row>
    <row r="65" spans="1:6" ht="15.75" customHeight="1" x14ac:dyDescent="0.35">
      <c r="A65" s="1">
        <v>64</v>
      </c>
      <c r="B65" s="4" t="s">
        <v>6</v>
      </c>
      <c r="C65" s="5">
        <v>44218</v>
      </c>
      <c r="D65" s="6" t="s">
        <v>7</v>
      </c>
      <c r="E65" s="6">
        <v>3</v>
      </c>
      <c r="F65" s="6">
        <v>93</v>
      </c>
    </row>
    <row r="66" spans="1:6" ht="15.75" customHeight="1" x14ac:dyDescent="0.35">
      <c r="A66" s="1">
        <v>65</v>
      </c>
      <c r="B66" s="4" t="s">
        <v>6</v>
      </c>
      <c r="C66" s="5">
        <v>44218</v>
      </c>
      <c r="D66" s="6" t="s">
        <v>8</v>
      </c>
      <c r="E66" s="6">
        <v>1</v>
      </c>
      <c r="F66" s="6">
        <v>110</v>
      </c>
    </row>
    <row r="67" spans="1:6" ht="15.75" customHeight="1" x14ac:dyDescent="0.35">
      <c r="A67" s="1">
        <v>66</v>
      </c>
      <c r="B67" s="4" t="s">
        <v>6</v>
      </c>
      <c r="C67" s="5">
        <v>44218</v>
      </c>
      <c r="D67" s="6" t="s">
        <v>9</v>
      </c>
      <c r="E67" s="6">
        <v>1</v>
      </c>
      <c r="F67" s="6">
        <v>101</v>
      </c>
    </row>
    <row r="68" spans="1:6" ht="15.75" customHeight="1" x14ac:dyDescent="0.35">
      <c r="A68" s="1">
        <v>67</v>
      </c>
      <c r="B68" s="4" t="s">
        <v>10</v>
      </c>
      <c r="C68" s="5">
        <v>44219</v>
      </c>
      <c r="D68" s="6" t="s">
        <v>7</v>
      </c>
      <c r="E68" s="6">
        <v>2</v>
      </c>
      <c r="F68" s="6">
        <v>102</v>
      </c>
    </row>
    <row r="69" spans="1:6" ht="15.75" customHeight="1" x14ac:dyDescent="0.35">
      <c r="A69" s="1">
        <v>68</v>
      </c>
      <c r="B69" s="4" t="s">
        <v>10</v>
      </c>
      <c r="C69" s="5">
        <v>44219</v>
      </c>
      <c r="D69" s="6" t="s">
        <v>8</v>
      </c>
      <c r="E69" s="6">
        <v>2</v>
      </c>
      <c r="F69" s="6">
        <v>110</v>
      </c>
    </row>
    <row r="70" spans="1:6" ht="15.75" customHeight="1" x14ac:dyDescent="0.35">
      <c r="A70" s="1">
        <v>69</v>
      </c>
      <c r="B70" s="4" t="s">
        <v>10</v>
      </c>
      <c r="C70" s="5">
        <v>44219</v>
      </c>
      <c r="D70" s="6" t="s">
        <v>9</v>
      </c>
      <c r="E70" s="6">
        <v>3</v>
      </c>
      <c r="F70" s="6">
        <v>99</v>
      </c>
    </row>
    <row r="71" spans="1:6" ht="15.75" customHeight="1" x14ac:dyDescent="0.35">
      <c r="A71" s="1">
        <v>70</v>
      </c>
      <c r="B71" s="4" t="s">
        <v>11</v>
      </c>
      <c r="C71" s="5">
        <v>44220</v>
      </c>
      <c r="D71" s="6" t="s">
        <v>7</v>
      </c>
      <c r="E71" s="6">
        <v>3</v>
      </c>
      <c r="F71" s="6">
        <v>97</v>
      </c>
    </row>
    <row r="72" spans="1:6" ht="15.75" customHeight="1" x14ac:dyDescent="0.35">
      <c r="A72" s="1">
        <v>71</v>
      </c>
      <c r="B72" s="4" t="s">
        <v>11</v>
      </c>
      <c r="C72" s="5">
        <v>44220</v>
      </c>
      <c r="D72" s="6" t="s">
        <v>8</v>
      </c>
      <c r="E72" s="6">
        <v>3</v>
      </c>
      <c r="F72" s="6">
        <v>97</v>
      </c>
    </row>
    <row r="73" spans="1:6" ht="15.75" customHeight="1" x14ac:dyDescent="0.35">
      <c r="A73" s="1">
        <v>72</v>
      </c>
      <c r="B73" s="4" t="s">
        <v>11</v>
      </c>
      <c r="C73" s="5">
        <v>44220</v>
      </c>
      <c r="D73" s="6" t="s">
        <v>9</v>
      </c>
      <c r="E73" s="6">
        <v>0</v>
      </c>
      <c r="F73" s="6">
        <v>101</v>
      </c>
    </row>
    <row r="74" spans="1:6" ht="15.75" customHeight="1" x14ac:dyDescent="0.35">
      <c r="A74" s="1">
        <v>73</v>
      </c>
      <c r="B74" s="4" t="s">
        <v>12</v>
      </c>
      <c r="C74" s="5">
        <v>44221</v>
      </c>
      <c r="D74" s="6" t="s">
        <v>7</v>
      </c>
      <c r="E74" s="6">
        <v>5</v>
      </c>
      <c r="F74" s="6">
        <v>95</v>
      </c>
    </row>
    <row r="75" spans="1:6" ht="15.75" customHeight="1" x14ac:dyDescent="0.35">
      <c r="A75" s="1">
        <v>74</v>
      </c>
      <c r="B75" s="4" t="s">
        <v>12</v>
      </c>
      <c r="C75" s="5">
        <v>44221</v>
      </c>
      <c r="D75" s="6" t="s">
        <v>8</v>
      </c>
      <c r="E75" s="6">
        <v>4</v>
      </c>
      <c r="F75" s="6">
        <v>105</v>
      </c>
    </row>
    <row r="76" spans="1:6" ht="15.75" customHeight="1" x14ac:dyDescent="0.35">
      <c r="A76" s="1">
        <v>75</v>
      </c>
      <c r="B76" s="4" t="s">
        <v>12</v>
      </c>
      <c r="C76" s="5">
        <v>44221</v>
      </c>
      <c r="D76" s="6" t="s">
        <v>9</v>
      </c>
      <c r="E76" s="6">
        <v>0</v>
      </c>
      <c r="F76" s="6">
        <v>101</v>
      </c>
    </row>
    <row r="77" spans="1:6" ht="15.75" customHeight="1" x14ac:dyDescent="0.35">
      <c r="A77" s="1">
        <v>76</v>
      </c>
      <c r="B77" s="4" t="s">
        <v>13</v>
      </c>
      <c r="C77" s="5">
        <v>44222</v>
      </c>
      <c r="D77" s="6" t="s">
        <v>7</v>
      </c>
      <c r="E77" s="6">
        <v>4</v>
      </c>
      <c r="F77" s="6">
        <v>113</v>
      </c>
    </row>
    <row r="78" spans="1:6" ht="15.75" customHeight="1" x14ac:dyDescent="0.35">
      <c r="A78" s="1">
        <v>77</v>
      </c>
      <c r="B78" s="4" t="s">
        <v>13</v>
      </c>
      <c r="C78" s="5">
        <v>44222</v>
      </c>
      <c r="D78" s="6" t="s">
        <v>8</v>
      </c>
      <c r="E78" s="6">
        <v>3</v>
      </c>
      <c r="F78" s="6">
        <v>107</v>
      </c>
    </row>
    <row r="79" spans="1:6" ht="15.75" customHeight="1" x14ac:dyDescent="0.35">
      <c r="A79" s="1">
        <v>78</v>
      </c>
      <c r="B79" s="4" t="s">
        <v>13</v>
      </c>
      <c r="C79" s="5">
        <v>44222</v>
      </c>
      <c r="D79" s="6" t="s">
        <v>9</v>
      </c>
      <c r="E79" s="6">
        <v>2</v>
      </c>
      <c r="F79" s="6">
        <v>109</v>
      </c>
    </row>
    <row r="80" spans="1:6" ht="15.75" customHeight="1" x14ac:dyDescent="0.35">
      <c r="A80" s="1">
        <v>79</v>
      </c>
      <c r="B80" s="4" t="s">
        <v>14</v>
      </c>
      <c r="C80" s="5">
        <v>44223</v>
      </c>
      <c r="D80" s="6" t="s">
        <v>7</v>
      </c>
      <c r="E80" s="6">
        <v>5</v>
      </c>
      <c r="F80" s="6">
        <v>95</v>
      </c>
    </row>
    <row r="81" spans="1:6" ht="15.75" customHeight="1" x14ac:dyDescent="0.35">
      <c r="A81" s="1">
        <v>80</v>
      </c>
      <c r="B81" s="4" t="s">
        <v>14</v>
      </c>
      <c r="C81" s="5">
        <v>44223</v>
      </c>
      <c r="D81" s="6" t="s">
        <v>8</v>
      </c>
      <c r="E81" s="6">
        <v>3</v>
      </c>
      <c r="F81" s="6">
        <v>100</v>
      </c>
    </row>
    <row r="82" spans="1:6" ht="15.75" customHeight="1" x14ac:dyDescent="0.35">
      <c r="A82" s="1">
        <v>81</v>
      </c>
      <c r="B82" s="4" t="s">
        <v>14</v>
      </c>
      <c r="C82" s="5">
        <v>44223</v>
      </c>
      <c r="D82" s="6" t="s">
        <v>9</v>
      </c>
      <c r="E82" s="6">
        <v>2</v>
      </c>
      <c r="F82" s="6">
        <v>106</v>
      </c>
    </row>
    <row r="83" spans="1:6" ht="15.75" customHeight="1" x14ac:dyDescent="0.35">
      <c r="A83" s="1">
        <v>82</v>
      </c>
      <c r="B83" s="4" t="s">
        <v>15</v>
      </c>
      <c r="C83" s="5">
        <v>44224</v>
      </c>
      <c r="D83" s="6" t="s">
        <v>7</v>
      </c>
      <c r="E83" s="6">
        <v>4</v>
      </c>
      <c r="F83" s="6">
        <v>102</v>
      </c>
    </row>
    <row r="84" spans="1:6" ht="15.75" customHeight="1" x14ac:dyDescent="0.35">
      <c r="A84" s="1">
        <v>83</v>
      </c>
      <c r="B84" s="4" t="s">
        <v>15</v>
      </c>
      <c r="C84" s="5">
        <v>44224</v>
      </c>
      <c r="D84" s="6" t="s">
        <v>8</v>
      </c>
      <c r="E84" s="6">
        <v>1</v>
      </c>
      <c r="F84" s="6">
        <v>111</v>
      </c>
    </row>
    <row r="85" spans="1:6" ht="15.75" customHeight="1" x14ac:dyDescent="0.35">
      <c r="A85" s="1">
        <v>84</v>
      </c>
      <c r="B85" s="4" t="s">
        <v>15</v>
      </c>
      <c r="C85" s="5">
        <v>44224</v>
      </c>
      <c r="D85" s="6" t="s">
        <v>9</v>
      </c>
      <c r="E85" s="6">
        <v>0</v>
      </c>
      <c r="F85" s="6">
        <v>115</v>
      </c>
    </row>
    <row r="86" spans="1:6" ht="15.75" customHeight="1" x14ac:dyDescent="0.35">
      <c r="A86" s="1">
        <v>85</v>
      </c>
      <c r="B86" s="4" t="s">
        <v>6</v>
      </c>
      <c r="C86" s="5">
        <v>44225</v>
      </c>
      <c r="D86" s="6" t="s">
        <v>7</v>
      </c>
      <c r="E86" s="6">
        <v>3</v>
      </c>
      <c r="F86" s="6">
        <v>109</v>
      </c>
    </row>
    <row r="87" spans="1:6" ht="15.75" customHeight="1" x14ac:dyDescent="0.35">
      <c r="A87" s="1">
        <v>86</v>
      </c>
      <c r="B87" s="4" t="s">
        <v>6</v>
      </c>
      <c r="C87" s="5">
        <v>44225</v>
      </c>
      <c r="D87" s="6" t="s">
        <v>8</v>
      </c>
      <c r="E87" s="6">
        <v>2</v>
      </c>
      <c r="F87" s="6">
        <v>104</v>
      </c>
    </row>
    <row r="88" spans="1:6" ht="15.75" customHeight="1" x14ac:dyDescent="0.35">
      <c r="A88" s="1">
        <v>87</v>
      </c>
      <c r="B88" s="4" t="s">
        <v>6</v>
      </c>
      <c r="C88" s="5">
        <v>44225</v>
      </c>
      <c r="D88" s="6" t="s">
        <v>9</v>
      </c>
      <c r="E88" s="6">
        <v>1</v>
      </c>
      <c r="F88" s="6">
        <v>105</v>
      </c>
    </row>
    <row r="89" spans="1:6" ht="15.75" customHeight="1" x14ac:dyDescent="0.35">
      <c r="A89" s="1">
        <v>88</v>
      </c>
      <c r="B89" s="4" t="s">
        <v>10</v>
      </c>
      <c r="C89" s="5">
        <v>44226</v>
      </c>
      <c r="D89" s="6" t="s">
        <v>7</v>
      </c>
      <c r="E89" s="6">
        <v>5</v>
      </c>
      <c r="F89" s="6">
        <v>104</v>
      </c>
    </row>
    <row r="90" spans="1:6" ht="15.75" customHeight="1" x14ac:dyDescent="0.35">
      <c r="A90" s="1">
        <v>89</v>
      </c>
      <c r="B90" s="4" t="s">
        <v>10</v>
      </c>
      <c r="C90" s="5">
        <v>44226</v>
      </c>
      <c r="D90" s="6" t="s">
        <v>8</v>
      </c>
      <c r="E90" s="6">
        <v>2</v>
      </c>
      <c r="F90" s="6">
        <v>106</v>
      </c>
    </row>
    <row r="91" spans="1:6" ht="15.75" customHeight="1" x14ac:dyDescent="0.35">
      <c r="A91" s="1">
        <v>90</v>
      </c>
      <c r="B91" s="4" t="s">
        <v>10</v>
      </c>
      <c r="C91" s="5">
        <v>44226</v>
      </c>
      <c r="D91" s="6" t="s">
        <v>9</v>
      </c>
      <c r="E91" s="6">
        <v>0</v>
      </c>
      <c r="F91" s="6">
        <v>105</v>
      </c>
    </row>
    <row r="92" spans="1:6" ht="15.75" customHeight="1" x14ac:dyDescent="0.35">
      <c r="A92" s="1">
        <v>91</v>
      </c>
      <c r="B92" s="4" t="s">
        <v>11</v>
      </c>
      <c r="C92" s="5">
        <v>44227</v>
      </c>
      <c r="D92" s="6" t="s">
        <v>7</v>
      </c>
      <c r="E92" s="6">
        <v>3</v>
      </c>
      <c r="F92" s="6">
        <v>102</v>
      </c>
    </row>
    <row r="93" spans="1:6" ht="15.75" customHeight="1" x14ac:dyDescent="0.35">
      <c r="A93" s="1">
        <v>92</v>
      </c>
      <c r="B93" s="4" t="s">
        <v>11</v>
      </c>
      <c r="C93" s="5">
        <v>44227</v>
      </c>
      <c r="D93" s="6" t="s">
        <v>8</v>
      </c>
      <c r="E93" s="6">
        <v>5</v>
      </c>
      <c r="F93" s="6">
        <v>110</v>
      </c>
    </row>
    <row r="94" spans="1:6" ht="15.75" customHeight="1" x14ac:dyDescent="0.35">
      <c r="A94" s="1">
        <v>93</v>
      </c>
      <c r="B94" s="4" t="s">
        <v>11</v>
      </c>
      <c r="C94" s="5">
        <v>44227</v>
      </c>
      <c r="D94" s="6" t="s">
        <v>9</v>
      </c>
      <c r="E94" s="6">
        <v>0</v>
      </c>
      <c r="F94" s="6">
        <v>106</v>
      </c>
    </row>
    <row r="95" spans="1:6" ht="15.75" customHeight="1" x14ac:dyDescent="0.35">
      <c r="A95" s="1">
        <v>94</v>
      </c>
      <c r="B95" s="4" t="s">
        <v>12</v>
      </c>
      <c r="C95" s="5">
        <v>44228</v>
      </c>
      <c r="D95" s="6" t="s">
        <v>7</v>
      </c>
      <c r="E95" s="6">
        <v>2</v>
      </c>
      <c r="F95" s="6">
        <v>104</v>
      </c>
    </row>
    <row r="96" spans="1:6" ht="15.75" customHeight="1" x14ac:dyDescent="0.35">
      <c r="A96" s="1">
        <v>95</v>
      </c>
      <c r="B96" s="4" t="s">
        <v>12</v>
      </c>
      <c r="C96" s="5">
        <v>44228</v>
      </c>
      <c r="D96" s="6" t="s">
        <v>8</v>
      </c>
      <c r="E96" s="6">
        <v>5</v>
      </c>
      <c r="F96" s="6">
        <v>102</v>
      </c>
    </row>
    <row r="97" spans="1:6" ht="15.75" customHeight="1" x14ac:dyDescent="0.35">
      <c r="A97" s="1">
        <v>96</v>
      </c>
      <c r="B97" s="4" t="s">
        <v>12</v>
      </c>
      <c r="C97" s="5">
        <v>44228</v>
      </c>
      <c r="D97" s="6" t="s">
        <v>9</v>
      </c>
      <c r="E97" s="6">
        <v>3</v>
      </c>
      <c r="F97" s="6">
        <v>103</v>
      </c>
    </row>
    <row r="98" spans="1:6" ht="15.75" customHeight="1" x14ac:dyDescent="0.35">
      <c r="A98" s="1">
        <v>97</v>
      </c>
      <c r="B98" s="4" t="s">
        <v>13</v>
      </c>
      <c r="C98" s="5">
        <v>44229</v>
      </c>
      <c r="D98" s="6" t="s">
        <v>7</v>
      </c>
      <c r="E98" s="6">
        <v>1</v>
      </c>
      <c r="F98" s="6">
        <v>97</v>
      </c>
    </row>
    <row r="99" spans="1:6" ht="15.75" customHeight="1" x14ac:dyDescent="0.35">
      <c r="A99" s="1">
        <v>98</v>
      </c>
      <c r="B99" s="4" t="s">
        <v>13</v>
      </c>
      <c r="C99" s="5">
        <v>44229</v>
      </c>
      <c r="D99" s="6" t="s">
        <v>8</v>
      </c>
      <c r="E99" s="6">
        <v>1</v>
      </c>
      <c r="F99" s="6">
        <v>106</v>
      </c>
    </row>
    <row r="100" spans="1:6" ht="15.75" customHeight="1" x14ac:dyDescent="0.35">
      <c r="A100" s="1">
        <v>99</v>
      </c>
      <c r="B100" s="4" t="s">
        <v>13</v>
      </c>
      <c r="C100" s="5">
        <v>44229</v>
      </c>
      <c r="D100" s="6" t="s">
        <v>9</v>
      </c>
      <c r="E100" s="6">
        <v>0</v>
      </c>
      <c r="F100" s="6">
        <v>115</v>
      </c>
    </row>
    <row r="101" spans="1:6" ht="15.75" customHeight="1" x14ac:dyDescent="0.35">
      <c r="A101" s="1">
        <v>100</v>
      </c>
      <c r="B101" s="4" t="s">
        <v>14</v>
      </c>
      <c r="C101" s="5">
        <v>44230</v>
      </c>
      <c r="D101" s="6" t="s">
        <v>7</v>
      </c>
      <c r="E101" s="6">
        <v>3</v>
      </c>
      <c r="F101" s="6">
        <v>99</v>
      </c>
    </row>
    <row r="102" spans="1:6" ht="15.75" customHeight="1" x14ac:dyDescent="0.35">
      <c r="A102" s="1">
        <v>101</v>
      </c>
      <c r="B102" s="4" t="s">
        <v>14</v>
      </c>
      <c r="C102" s="5">
        <v>44230</v>
      </c>
      <c r="D102" s="6" t="s">
        <v>8</v>
      </c>
      <c r="E102" s="6">
        <v>3</v>
      </c>
      <c r="F102" s="6">
        <v>104</v>
      </c>
    </row>
    <row r="103" spans="1:6" ht="15.75" customHeight="1" x14ac:dyDescent="0.35">
      <c r="A103" s="1">
        <v>102</v>
      </c>
      <c r="B103" s="4" t="s">
        <v>14</v>
      </c>
      <c r="C103" s="5">
        <v>44230</v>
      </c>
      <c r="D103" s="6" t="s">
        <v>9</v>
      </c>
      <c r="E103" s="6">
        <v>1</v>
      </c>
      <c r="F103" s="6">
        <v>101</v>
      </c>
    </row>
    <row r="104" spans="1:6" ht="15.75" customHeight="1" x14ac:dyDescent="0.35">
      <c r="A104" s="1">
        <v>103</v>
      </c>
      <c r="B104" s="4" t="s">
        <v>15</v>
      </c>
      <c r="C104" s="5">
        <v>44231</v>
      </c>
      <c r="D104" s="6" t="s">
        <v>7</v>
      </c>
      <c r="E104" s="6">
        <v>6</v>
      </c>
      <c r="F104" s="6">
        <v>113</v>
      </c>
    </row>
    <row r="105" spans="1:6" ht="15.75" customHeight="1" x14ac:dyDescent="0.35">
      <c r="A105" s="1">
        <v>104</v>
      </c>
      <c r="B105" s="4" t="s">
        <v>15</v>
      </c>
      <c r="C105" s="5">
        <v>44231</v>
      </c>
      <c r="D105" s="6" t="s">
        <v>8</v>
      </c>
      <c r="E105" s="6">
        <v>5</v>
      </c>
      <c r="F105" s="6">
        <v>108</v>
      </c>
    </row>
    <row r="106" spans="1:6" ht="15.75" customHeight="1" x14ac:dyDescent="0.35">
      <c r="A106" s="1">
        <v>105</v>
      </c>
      <c r="B106" s="4" t="s">
        <v>15</v>
      </c>
      <c r="C106" s="5">
        <v>44231</v>
      </c>
      <c r="D106" s="6" t="s">
        <v>9</v>
      </c>
      <c r="E106" s="6">
        <v>1</v>
      </c>
      <c r="F106" s="6">
        <v>103</v>
      </c>
    </row>
    <row r="107" spans="1:6" ht="15.75" customHeight="1" x14ac:dyDescent="0.35">
      <c r="A107" s="1">
        <v>106</v>
      </c>
      <c r="B107" s="4" t="s">
        <v>6</v>
      </c>
      <c r="C107" s="5">
        <v>44232</v>
      </c>
      <c r="D107" s="6" t="s">
        <v>7</v>
      </c>
      <c r="E107" s="6">
        <v>3</v>
      </c>
      <c r="F107" s="6">
        <v>98</v>
      </c>
    </row>
    <row r="108" spans="1:6" ht="15.75" customHeight="1" x14ac:dyDescent="0.35">
      <c r="A108" s="1">
        <v>107</v>
      </c>
      <c r="B108" s="4" t="s">
        <v>6</v>
      </c>
      <c r="C108" s="5">
        <v>44232</v>
      </c>
      <c r="D108" s="6" t="s">
        <v>8</v>
      </c>
      <c r="E108" s="6">
        <v>2</v>
      </c>
      <c r="F108" s="6">
        <v>99</v>
      </c>
    </row>
    <row r="109" spans="1:6" ht="15.75" customHeight="1" x14ac:dyDescent="0.35">
      <c r="A109" s="1">
        <v>108</v>
      </c>
      <c r="B109" s="4" t="s">
        <v>6</v>
      </c>
      <c r="C109" s="5">
        <v>44232</v>
      </c>
      <c r="D109" s="6" t="s">
        <v>9</v>
      </c>
      <c r="E109" s="6">
        <v>1</v>
      </c>
      <c r="F109" s="6">
        <v>113</v>
      </c>
    </row>
    <row r="110" spans="1:6" ht="15.75" customHeight="1" x14ac:dyDescent="0.35">
      <c r="A110" s="1">
        <v>109</v>
      </c>
      <c r="B110" s="4" t="s">
        <v>10</v>
      </c>
      <c r="C110" s="5">
        <v>44233</v>
      </c>
      <c r="D110" s="6" t="s">
        <v>7</v>
      </c>
      <c r="E110" s="6">
        <v>2</v>
      </c>
      <c r="F110" s="6">
        <v>113</v>
      </c>
    </row>
    <row r="111" spans="1:6" ht="15.75" customHeight="1" x14ac:dyDescent="0.35">
      <c r="A111" s="1">
        <v>110</v>
      </c>
      <c r="B111" s="4" t="s">
        <v>10</v>
      </c>
      <c r="C111" s="5">
        <v>44233</v>
      </c>
      <c r="D111" s="6" t="s">
        <v>8</v>
      </c>
      <c r="E111" s="6">
        <v>1</v>
      </c>
      <c r="F111" s="6">
        <v>111</v>
      </c>
    </row>
    <row r="112" spans="1:6" ht="15.75" customHeight="1" x14ac:dyDescent="0.35">
      <c r="A112" s="1">
        <v>111</v>
      </c>
      <c r="B112" s="4" t="s">
        <v>10</v>
      </c>
      <c r="C112" s="5">
        <v>44233</v>
      </c>
      <c r="D112" s="6" t="s">
        <v>9</v>
      </c>
      <c r="E112" s="6">
        <v>0</v>
      </c>
      <c r="F112" s="6">
        <v>102</v>
      </c>
    </row>
    <row r="113" spans="1:6" ht="15.75" customHeight="1" x14ac:dyDescent="0.35">
      <c r="A113" s="1">
        <v>112</v>
      </c>
      <c r="B113" s="4" t="s">
        <v>11</v>
      </c>
      <c r="C113" s="5">
        <v>44234</v>
      </c>
      <c r="D113" s="6" t="s">
        <v>7</v>
      </c>
      <c r="E113" s="6">
        <v>4</v>
      </c>
      <c r="F113" s="6">
        <v>99</v>
      </c>
    </row>
    <row r="114" spans="1:6" ht="15.75" customHeight="1" x14ac:dyDescent="0.35">
      <c r="A114" s="1">
        <v>113</v>
      </c>
      <c r="B114" s="4" t="s">
        <v>11</v>
      </c>
      <c r="C114" s="5">
        <v>44234</v>
      </c>
      <c r="D114" s="6" t="s">
        <v>8</v>
      </c>
      <c r="E114" s="6">
        <v>3</v>
      </c>
      <c r="F114" s="6">
        <v>100</v>
      </c>
    </row>
    <row r="115" spans="1:6" ht="15.75" customHeight="1" x14ac:dyDescent="0.35">
      <c r="A115" s="1">
        <v>114</v>
      </c>
      <c r="B115" s="4" t="s">
        <v>11</v>
      </c>
      <c r="C115" s="5">
        <v>44234</v>
      </c>
      <c r="D115" s="6" t="s">
        <v>9</v>
      </c>
      <c r="E115" s="6">
        <v>2</v>
      </c>
      <c r="F115" s="6">
        <v>105</v>
      </c>
    </row>
    <row r="116" spans="1:6" ht="15.75" customHeight="1" x14ac:dyDescent="0.35">
      <c r="A116" s="1">
        <v>115</v>
      </c>
      <c r="B116" s="4" t="s">
        <v>12</v>
      </c>
      <c r="C116" s="5">
        <v>44235</v>
      </c>
      <c r="D116" s="6" t="s">
        <v>7</v>
      </c>
      <c r="E116" s="6">
        <v>3</v>
      </c>
      <c r="F116" s="6">
        <v>100</v>
      </c>
    </row>
    <row r="117" spans="1:6" ht="15.75" customHeight="1" x14ac:dyDescent="0.35">
      <c r="A117" s="1">
        <v>116</v>
      </c>
      <c r="B117" s="4" t="s">
        <v>12</v>
      </c>
      <c r="C117" s="5">
        <v>44235</v>
      </c>
      <c r="D117" s="6" t="s">
        <v>8</v>
      </c>
      <c r="E117" s="6">
        <v>5</v>
      </c>
      <c r="F117" s="6">
        <v>105</v>
      </c>
    </row>
    <row r="118" spans="1:6" ht="15.75" customHeight="1" x14ac:dyDescent="0.35">
      <c r="A118" s="1">
        <v>117</v>
      </c>
      <c r="B118" s="4" t="s">
        <v>12</v>
      </c>
      <c r="C118" s="5">
        <v>44235</v>
      </c>
      <c r="D118" s="6" t="s">
        <v>9</v>
      </c>
      <c r="E118" s="6">
        <v>2</v>
      </c>
      <c r="F118" s="6">
        <v>107</v>
      </c>
    </row>
    <row r="119" spans="1:6" ht="15.75" customHeight="1" x14ac:dyDescent="0.35">
      <c r="A119" s="1">
        <v>118</v>
      </c>
      <c r="B119" s="4" t="s">
        <v>13</v>
      </c>
      <c r="C119" s="5">
        <v>44236</v>
      </c>
      <c r="D119" s="6" t="s">
        <v>7</v>
      </c>
      <c r="E119" s="6">
        <v>1</v>
      </c>
      <c r="F119" s="6">
        <v>93</v>
      </c>
    </row>
    <row r="120" spans="1:6" ht="15.75" customHeight="1" x14ac:dyDescent="0.35">
      <c r="A120" s="1">
        <v>119</v>
      </c>
      <c r="B120" s="4" t="s">
        <v>13</v>
      </c>
      <c r="C120" s="5">
        <v>44236</v>
      </c>
      <c r="D120" s="6" t="s">
        <v>8</v>
      </c>
      <c r="E120" s="6">
        <v>0</v>
      </c>
      <c r="F120" s="6">
        <v>100</v>
      </c>
    </row>
    <row r="121" spans="1:6" ht="15.75" customHeight="1" x14ac:dyDescent="0.35">
      <c r="A121" s="1">
        <v>120</v>
      </c>
      <c r="B121" s="4" t="s">
        <v>13</v>
      </c>
      <c r="C121" s="5">
        <v>44236</v>
      </c>
      <c r="D121" s="6" t="s">
        <v>9</v>
      </c>
      <c r="E121" s="6">
        <v>1</v>
      </c>
      <c r="F121" s="6">
        <v>104</v>
      </c>
    </row>
    <row r="122" spans="1:6" ht="15.75" customHeight="1" x14ac:dyDescent="0.35">
      <c r="A122" s="1">
        <v>121</v>
      </c>
      <c r="B122" s="4" t="s">
        <v>14</v>
      </c>
      <c r="C122" s="5">
        <v>44237</v>
      </c>
      <c r="D122" s="6" t="s">
        <v>7</v>
      </c>
      <c r="E122" s="6">
        <v>5</v>
      </c>
      <c r="F122" s="6">
        <v>88</v>
      </c>
    </row>
    <row r="123" spans="1:6" ht="15.75" customHeight="1" x14ac:dyDescent="0.35">
      <c r="A123" s="1">
        <v>122</v>
      </c>
      <c r="B123" s="4" t="s">
        <v>14</v>
      </c>
      <c r="C123" s="5">
        <v>44237</v>
      </c>
      <c r="D123" s="6" t="s">
        <v>8</v>
      </c>
      <c r="E123" s="6">
        <v>3</v>
      </c>
      <c r="F123" s="6">
        <v>96</v>
      </c>
    </row>
    <row r="124" spans="1:6" ht="15.75" customHeight="1" x14ac:dyDescent="0.35">
      <c r="A124" s="1">
        <v>123</v>
      </c>
      <c r="B124" s="4" t="s">
        <v>14</v>
      </c>
      <c r="C124" s="5">
        <v>44237</v>
      </c>
      <c r="D124" s="6" t="s">
        <v>9</v>
      </c>
      <c r="E124" s="6">
        <v>0</v>
      </c>
      <c r="F124" s="6">
        <v>94</v>
      </c>
    </row>
    <row r="125" spans="1:6" ht="15.75" customHeight="1" x14ac:dyDescent="0.35">
      <c r="A125" s="1">
        <v>124</v>
      </c>
      <c r="B125" s="4" t="s">
        <v>15</v>
      </c>
      <c r="C125" s="5">
        <v>44238</v>
      </c>
      <c r="D125" s="6" t="s">
        <v>7</v>
      </c>
      <c r="E125" s="6">
        <v>1</v>
      </c>
      <c r="F125" s="6">
        <v>104</v>
      </c>
    </row>
    <row r="126" spans="1:6" ht="15.75" customHeight="1" x14ac:dyDescent="0.35">
      <c r="A126" s="1">
        <v>125</v>
      </c>
      <c r="B126" s="4" t="s">
        <v>15</v>
      </c>
      <c r="C126" s="5">
        <v>44238</v>
      </c>
      <c r="D126" s="6" t="s">
        <v>8</v>
      </c>
      <c r="E126" s="6">
        <v>2</v>
      </c>
      <c r="F126" s="6">
        <v>102</v>
      </c>
    </row>
    <row r="127" spans="1:6" ht="15.75" customHeight="1" x14ac:dyDescent="0.35">
      <c r="A127" s="1">
        <v>126</v>
      </c>
      <c r="B127" s="4" t="s">
        <v>15</v>
      </c>
      <c r="C127" s="5">
        <v>44238</v>
      </c>
      <c r="D127" s="6" t="s">
        <v>9</v>
      </c>
      <c r="E127" s="6">
        <v>0</v>
      </c>
      <c r="F127" s="6">
        <v>102</v>
      </c>
    </row>
    <row r="128" spans="1:6" ht="15.75" customHeight="1" x14ac:dyDescent="0.35">
      <c r="A128" s="1">
        <v>127</v>
      </c>
      <c r="B128" s="4" t="s">
        <v>6</v>
      </c>
      <c r="C128" s="5">
        <v>44239</v>
      </c>
      <c r="D128" s="6" t="s">
        <v>7</v>
      </c>
      <c r="E128" s="6">
        <v>5</v>
      </c>
      <c r="F128" s="6">
        <v>109</v>
      </c>
    </row>
    <row r="129" spans="1:6" ht="15.75" customHeight="1" x14ac:dyDescent="0.35">
      <c r="A129" s="1">
        <v>128</v>
      </c>
      <c r="B129" s="4" t="s">
        <v>6</v>
      </c>
      <c r="C129" s="5">
        <v>44239</v>
      </c>
      <c r="D129" s="6" t="s">
        <v>8</v>
      </c>
      <c r="E129" s="6">
        <v>6</v>
      </c>
      <c r="F129" s="6">
        <v>109</v>
      </c>
    </row>
    <row r="130" spans="1:6" ht="15.75" customHeight="1" x14ac:dyDescent="0.35">
      <c r="A130" s="1">
        <v>129</v>
      </c>
      <c r="B130" s="4" t="s">
        <v>6</v>
      </c>
      <c r="C130" s="5">
        <v>44239</v>
      </c>
      <c r="D130" s="6" t="s">
        <v>9</v>
      </c>
      <c r="E130" s="6">
        <v>1</v>
      </c>
      <c r="F130" s="6">
        <v>105</v>
      </c>
    </row>
    <row r="131" spans="1:6" ht="15.75" customHeight="1" x14ac:dyDescent="0.35">
      <c r="A131" s="1">
        <v>130</v>
      </c>
      <c r="B131" s="4" t="s">
        <v>10</v>
      </c>
      <c r="C131" s="5">
        <v>44240</v>
      </c>
      <c r="D131" s="6" t="s">
        <v>7</v>
      </c>
      <c r="E131" s="6">
        <v>2</v>
      </c>
      <c r="F131" s="6">
        <v>106</v>
      </c>
    </row>
    <row r="132" spans="1:6" ht="15.75" customHeight="1" x14ac:dyDescent="0.35">
      <c r="A132" s="1">
        <v>131</v>
      </c>
      <c r="B132" s="4" t="s">
        <v>10</v>
      </c>
      <c r="C132" s="5">
        <v>44240</v>
      </c>
      <c r="D132" s="6" t="s">
        <v>8</v>
      </c>
      <c r="E132" s="6">
        <v>2</v>
      </c>
      <c r="F132" s="6">
        <v>111</v>
      </c>
    </row>
    <row r="133" spans="1:6" ht="15.75" customHeight="1" x14ac:dyDescent="0.35">
      <c r="A133" s="1">
        <v>132</v>
      </c>
      <c r="B133" s="4" t="s">
        <v>10</v>
      </c>
      <c r="C133" s="5">
        <v>44240</v>
      </c>
      <c r="D133" s="6" t="s">
        <v>9</v>
      </c>
      <c r="E133" s="6">
        <v>0</v>
      </c>
      <c r="F133" s="6">
        <v>102</v>
      </c>
    </row>
    <row r="134" spans="1:6" ht="15.75" customHeight="1" x14ac:dyDescent="0.35">
      <c r="A134" s="1">
        <v>133</v>
      </c>
      <c r="B134" s="4" t="s">
        <v>11</v>
      </c>
      <c r="C134" s="5">
        <v>44241</v>
      </c>
      <c r="D134" s="6" t="s">
        <v>7</v>
      </c>
      <c r="E134" s="6">
        <v>2</v>
      </c>
      <c r="F134" s="6">
        <v>107</v>
      </c>
    </row>
    <row r="135" spans="1:6" ht="15.75" customHeight="1" x14ac:dyDescent="0.35">
      <c r="A135" s="1">
        <v>134</v>
      </c>
      <c r="B135" s="4" t="s">
        <v>11</v>
      </c>
      <c r="C135" s="5">
        <v>44241</v>
      </c>
      <c r="D135" s="6" t="s">
        <v>8</v>
      </c>
      <c r="E135" s="6">
        <v>2</v>
      </c>
      <c r="F135" s="6">
        <v>101</v>
      </c>
    </row>
    <row r="136" spans="1:6" ht="15.75" customHeight="1" x14ac:dyDescent="0.35">
      <c r="A136" s="1">
        <v>135</v>
      </c>
      <c r="B136" s="4" t="s">
        <v>11</v>
      </c>
      <c r="C136" s="5">
        <v>44241</v>
      </c>
      <c r="D136" s="6" t="s">
        <v>9</v>
      </c>
      <c r="E136" s="6">
        <v>1</v>
      </c>
      <c r="F136" s="6">
        <v>114</v>
      </c>
    </row>
    <row r="137" spans="1:6" ht="15.75" customHeight="1" x14ac:dyDescent="0.35">
      <c r="A137" s="1">
        <v>136</v>
      </c>
      <c r="B137" s="4" t="s">
        <v>12</v>
      </c>
      <c r="C137" s="5">
        <v>44242</v>
      </c>
      <c r="D137" s="6" t="s">
        <v>7</v>
      </c>
      <c r="E137" s="6">
        <v>5</v>
      </c>
      <c r="F137" s="6">
        <v>101</v>
      </c>
    </row>
    <row r="138" spans="1:6" ht="15.75" customHeight="1" x14ac:dyDescent="0.35">
      <c r="A138" s="1">
        <v>137</v>
      </c>
      <c r="B138" s="4" t="s">
        <v>12</v>
      </c>
      <c r="C138" s="5">
        <v>44242</v>
      </c>
      <c r="D138" s="6" t="s">
        <v>8</v>
      </c>
      <c r="E138" s="6">
        <v>7</v>
      </c>
      <c r="F138" s="6">
        <v>102</v>
      </c>
    </row>
    <row r="139" spans="1:6" ht="15.75" customHeight="1" x14ac:dyDescent="0.35">
      <c r="A139" s="1">
        <v>138</v>
      </c>
      <c r="B139" s="4" t="s">
        <v>12</v>
      </c>
      <c r="C139" s="5">
        <v>44242</v>
      </c>
      <c r="D139" s="6" t="s">
        <v>9</v>
      </c>
      <c r="E139" s="6">
        <v>0</v>
      </c>
      <c r="F139" s="6">
        <v>107</v>
      </c>
    </row>
    <row r="140" spans="1:6" ht="15.75" customHeight="1" x14ac:dyDescent="0.35">
      <c r="A140" s="1">
        <v>139</v>
      </c>
      <c r="B140" s="4" t="s">
        <v>13</v>
      </c>
      <c r="C140" s="5">
        <v>44243</v>
      </c>
      <c r="D140" s="6" t="s">
        <v>7</v>
      </c>
      <c r="E140" s="6">
        <v>4</v>
      </c>
      <c r="F140" s="6">
        <v>108</v>
      </c>
    </row>
    <row r="141" spans="1:6" ht="15.75" customHeight="1" x14ac:dyDescent="0.35">
      <c r="A141" s="1">
        <v>140</v>
      </c>
      <c r="B141" s="4" t="s">
        <v>13</v>
      </c>
      <c r="C141" s="5">
        <v>44243</v>
      </c>
      <c r="D141" s="6" t="s">
        <v>8</v>
      </c>
      <c r="E141" s="6">
        <v>2</v>
      </c>
      <c r="F141" s="6">
        <v>106</v>
      </c>
    </row>
    <row r="142" spans="1:6" ht="15.75" customHeight="1" x14ac:dyDescent="0.35">
      <c r="A142" s="1">
        <v>141</v>
      </c>
      <c r="B142" s="4" t="s">
        <v>13</v>
      </c>
      <c r="C142" s="5">
        <v>44243</v>
      </c>
      <c r="D142" s="6" t="s">
        <v>9</v>
      </c>
      <c r="E142" s="6">
        <v>1</v>
      </c>
      <c r="F142" s="6">
        <v>101</v>
      </c>
    </row>
    <row r="143" spans="1:6" ht="15.75" customHeight="1" x14ac:dyDescent="0.35">
      <c r="A143" s="1">
        <v>142</v>
      </c>
      <c r="B143" s="4" t="s">
        <v>14</v>
      </c>
      <c r="C143" s="5">
        <v>44244</v>
      </c>
      <c r="D143" s="6" t="s">
        <v>7</v>
      </c>
      <c r="E143" s="6">
        <v>2</v>
      </c>
      <c r="F143" s="6">
        <v>102</v>
      </c>
    </row>
    <row r="144" spans="1:6" ht="15.75" customHeight="1" x14ac:dyDescent="0.35">
      <c r="A144" s="1">
        <v>143</v>
      </c>
      <c r="B144" s="4" t="s">
        <v>14</v>
      </c>
      <c r="C144" s="5">
        <v>44244</v>
      </c>
      <c r="D144" s="6" t="s">
        <v>8</v>
      </c>
      <c r="E144" s="6">
        <v>5</v>
      </c>
      <c r="F144" s="6">
        <v>102</v>
      </c>
    </row>
    <row r="145" spans="1:6" ht="15.75" customHeight="1" x14ac:dyDescent="0.35">
      <c r="A145" s="1">
        <v>144</v>
      </c>
      <c r="B145" s="4" t="s">
        <v>14</v>
      </c>
      <c r="C145" s="5">
        <v>44244</v>
      </c>
      <c r="D145" s="6" t="s">
        <v>9</v>
      </c>
      <c r="E145" s="6">
        <v>2</v>
      </c>
      <c r="F145" s="6">
        <v>104</v>
      </c>
    </row>
    <row r="146" spans="1:6" ht="15.75" customHeight="1" x14ac:dyDescent="0.35">
      <c r="A146" s="1">
        <v>145</v>
      </c>
      <c r="B146" s="4" t="s">
        <v>15</v>
      </c>
      <c r="C146" s="5">
        <v>44245</v>
      </c>
      <c r="D146" s="6" t="s">
        <v>7</v>
      </c>
      <c r="E146" s="6">
        <v>3</v>
      </c>
      <c r="F146" s="6">
        <v>108</v>
      </c>
    </row>
    <row r="147" spans="1:6" ht="15.75" customHeight="1" x14ac:dyDescent="0.35">
      <c r="A147" s="1">
        <v>146</v>
      </c>
      <c r="B147" s="4" t="s">
        <v>15</v>
      </c>
      <c r="C147" s="5">
        <v>44245</v>
      </c>
      <c r="D147" s="6" t="s">
        <v>8</v>
      </c>
      <c r="E147" s="6">
        <v>3</v>
      </c>
      <c r="F147" s="6">
        <v>104</v>
      </c>
    </row>
    <row r="148" spans="1:6" ht="15.75" customHeight="1" x14ac:dyDescent="0.35">
      <c r="A148" s="1">
        <v>147</v>
      </c>
      <c r="B148" s="4" t="s">
        <v>15</v>
      </c>
      <c r="C148" s="5">
        <v>44245</v>
      </c>
      <c r="D148" s="6" t="s">
        <v>9</v>
      </c>
      <c r="E148" s="6">
        <v>0</v>
      </c>
      <c r="F148" s="6">
        <v>107</v>
      </c>
    </row>
    <row r="149" spans="1:6" ht="15.75" customHeight="1" x14ac:dyDescent="0.35">
      <c r="A149" s="1">
        <v>148</v>
      </c>
      <c r="B149" s="4" t="s">
        <v>6</v>
      </c>
      <c r="C149" s="5">
        <v>44246</v>
      </c>
      <c r="D149" s="6" t="s">
        <v>7</v>
      </c>
      <c r="E149" s="6">
        <v>2</v>
      </c>
      <c r="F149" s="6">
        <v>105</v>
      </c>
    </row>
    <row r="150" spans="1:6" ht="15.75" customHeight="1" x14ac:dyDescent="0.35">
      <c r="A150" s="1">
        <v>149</v>
      </c>
      <c r="B150" s="4" t="s">
        <v>6</v>
      </c>
      <c r="C150" s="5">
        <v>44246</v>
      </c>
      <c r="D150" s="6" t="s">
        <v>8</v>
      </c>
      <c r="E150" s="6">
        <v>2</v>
      </c>
      <c r="F150" s="6">
        <v>97</v>
      </c>
    </row>
    <row r="151" spans="1:6" ht="15.75" customHeight="1" x14ac:dyDescent="0.35">
      <c r="A151" s="1">
        <v>150</v>
      </c>
      <c r="B151" s="4" t="s">
        <v>6</v>
      </c>
      <c r="C151" s="5">
        <v>44246</v>
      </c>
      <c r="D151" s="6" t="s">
        <v>9</v>
      </c>
      <c r="E151" s="6">
        <v>0</v>
      </c>
      <c r="F151" s="6">
        <v>109</v>
      </c>
    </row>
    <row r="152" spans="1:6" ht="15.75" customHeight="1" x14ac:dyDescent="0.35">
      <c r="A152" s="1">
        <v>151</v>
      </c>
      <c r="B152" s="4" t="s">
        <v>10</v>
      </c>
      <c r="C152" s="5">
        <v>44247</v>
      </c>
      <c r="D152" s="6" t="s">
        <v>7</v>
      </c>
      <c r="E152" s="6">
        <v>2</v>
      </c>
      <c r="F152" s="6">
        <v>104</v>
      </c>
    </row>
    <row r="153" spans="1:6" ht="15.75" customHeight="1" x14ac:dyDescent="0.35">
      <c r="A153" s="1">
        <v>152</v>
      </c>
      <c r="B153" s="4" t="s">
        <v>10</v>
      </c>
      <c r="C153" s="5">
        <v>44247</v>
      </c>
      <c r="D153" s="6" t="s">
        <v>8</v>
      </c>
      <c r="E153" s="6">
        <v>2</v>
      </c>
      <c r="F153" s="6">
        <v>105</v>
      </c>
    </row>
    <row r="154" spans="1:6" ht="15.75" customHeight="1" x14ac:dyDescent="0.35">
      <c r="A154" s="1">
        <v>153</v>
      </c>
      <c r="B154" s="4" t="s">
        <v>10</v>
      </c>
      <c r="C154" s="5">
        <v>44247</v>
      </c>
      <c r="D154" s="6" t="s">
        <v>9</v>
      </c>
      <c r="E154" s="6">
        <v>1</v>
      </c>
      <c r="F154" s="6">
        <v>110</v>
      </c>
    </row>
    <row r="155" spans="1:6" ht="15.75" customHeight="1" x14ac:dyDescent="0.35">
      <c r="A155" s="1">
        <v>154</v>
      </c>
      <c r="B155" s="4" t="s">
        <v>11</v>
      </c>
      <c r="C155" s="5">
        <v>44248</v>
      </c>
      <c r="D155" s="6" t="s">
        <v>7</v>
      </c>
      <c r="E155" s="6">
        <v>5</v>
      </c>
      <c r="F155" s="6">
        <v>97</v>
      </c>
    </row>
    <row r="156" spans="1:6" ht="15.75" customHeight="1" x14ac:dyDescent="0.35">
      <c r="A156" s="1">
        <v>155</v>
      </c>
      <c r="B156" s="4" t="s">
        <v>11</v>
      </c>
      <c r="C156" s="5">
        <v>44248</v>
      </c>
      <c r="D156" s="6" t="s">
        <v>8</v>
      </c>
      <c r="E156" s="6">
        <v>6</v>
      </c>
      <c r="F156" s="6">
        <v>110</v>
      </c>
    </row>
    <row r="157" spans="1:6" ht="15.75" customHeight="1" x14ac:dyDescent="0.35">
      <c r="A157" s="1">
        <v>156</v>
      </c>
      <c r="B157" s="4" t="s">
        <v>11</v>
      </c>
      <c r="C157" s="5">
        <v>44248</v>
      </c>
      <c r="D157" s="6" t="s">
        <v>9</v>
      </c>
      <c r="E157" s="6">
        <v>1</v>
      </c>
      <c r="F157" s="6">
        <v>105</v>
      </c>
    </row>
    <row r="158" spans="1:6" ht="15.75" customHeight="1" x14ac:dyDescent="0.35">
      <c r="A158" s="1">
        <v>157</v>
      </c>
      <c r="B158" s="4" t="s">
        <v>12</v>
      </c>
      <c r="C158" s="5">
        <v>44249</v>
      </c>
      <c r="D158" s="6" t="s">
        <v>7</v>
      </c>
      <c r="E158" s="6">
        <v>3</v>
      </c>
      <c r="F158" s="6">
        <v>99</v>
      </c>
    </row>
    <row r="159" spans="1:6" ht="15.75" customHeight="1" x14ac:dyDescent="0.35">
      <c r="A159" s="1">
        <v>158</v>
      </c>
      <c r="B159" s="4" t="s">
        <v>12</v>
      </c>
      <c r="C159" s="5">
        <v>44249</v>
      </c>
      <c r="D159" s="6" t="s">
        <v>8</v>
      </c>
      <c r="E159" s="6">
        <v>1</v>
      </c>
      <c r="F159" s="6">
        <v>101</v>
      </c>
    </row>
    <row r="160" spans="1:6" ht="15.75" customHeight="1" x14ac:dyDescent="0.35">
      <c r="A160" s="1">
        <v>159</v>
      </c>
      <c r="B160" s="4" t="s">
        <v>12</v>
      </c>
      <c r="C160" s="5">
        <v>44249</v>
      </c>
      <c r="D160" s="6" t="s">
        <v>9</v>
      </c>
      <c r="E160" s="6">
        <v>0</v>
      </c>
      <c r="F160" s="6">
        <v>107</v>
      </c>
    </row>
    <row r="161" spans="1:6" ht="15.75" customHeight="1" x14ac:dyDescent="0.35">
      <c r="A161" s="1">
        <v>160</v>
      </c>
      <c r="B161" s="4" t="s">
        <v>13</v>
      </c>
      <c r="C161" s="5">
        <v>44250</v>
      </c>
      <c r="D161" s="6" t="s">
        <v>7</v>
      </c>
      <c r="E161" s="6">
        <v>2</v>
      </c>
      <c r="F161" s="6">
        <v>96</v>
      </c>
    </row>
    <row r="162" spans="1:6" ht="15.75" customHeight="1" x14ac:dyDescent="0.35">
      <c r="A162" s="1">
        <v>161</v>
      </c>
      <c r="B162" s="4" t="s">
        <v>13</v>
      </c>
      <c r="C162" s="5">
        <v>44250</v>
      </c>
      <c r="D162" s="6" t="s">
        <v>8</v>
      </c>
      <c r="E162" s="6">
        <v>5</v>
      </c>
      <c r="F162" s="6">
        <v>106</v>
      </c>
    </row>
    <row r="163" spans="1:6" ht="15.75" customHeight="1" x14ac:dyDescent="0.35">
      <c r="A163" s="1">
        <v>162</v>
      </c>
      <c r="B163" s="4" t="s">
        <v>13</v>
      </c>
      <c r="C163" s="5">
        <v>44250</v>
      </c>
      <c r="D163" s="6" t="s">
        <v>9</v>
      </c>
      <c r="E163" s="6">
        <v>2</v>
      </c>
      <c r="F163" s="6">
        <v>106</v>
      </c>
    </row>
    <row r="164" spans="1:6" ht="15.75" customHeight="1" x14ac:dyDescent="0.35">
      <c r="A164" s="1">
        <v>163</v>
      </c>
      <c r="B164" s="4" t="s">
        <v>14</v>
      </c>
      <c r="C164" s="5">
        <v>44251</v>
      </c>
      <c r="D164" s="6" t="s">
        <v>7</v>
      </c>
      <c r="E164" s="6">
        <v>8</v>
      </c>
      <c r="F164" s="6">
        <v>115</v>
      </c>
    </row>
    <row r="165" spans="1:6" ht="15.75" customHeight="1" x14ac:dyDescent="0.35">
      <c r="A165" s="1">
        <v>164</v>
      </c>
      <c r="B165" s="4" t="s">
        <v>14</v>
      </c>
      <c r="C165" s="5">
        <v>44251</v>
      </c>
      <c r="D165" s="6" t="s">
        <v>8</v>
      </c>
      <c r="E165" s="6">
        <v>4</v>
      </c>
      <c r="F165" s="6">
        <v>93</v>
      </c>
    </row>
    <row r="166" spans="1:6" ht="15.75" customHeight="1" x14ac:dyDescent="0.35">
      <c r="A166" s="1">
        <v>165</v>
      </c>
      <c r="B166" s="4" t="s">
        <v>14</v>
      </c>
      <c r="C166" s="5">
        <v>44251</v>
      </c>
      <c r="D166" s="6" t="s">
        <v>9</v>
      </c>
      <c r="E166" s="6">
        <v>2</v>
      </c>
      <c r="F166" s="6">
        <v>93</v>
      </c>
    </row>
    <row r="167" spans="1:6" ht="15.75" customHeight="1" x14ac:dyDescent="0.35">
      <c r="A167" s="1">
        <v>166</v>
      </c>
      <c r="B167" s="4" t="s">
        <v>15</v>
      </c>
      <c r="C167" s="5">
        <v>44252</v>
      </c>
      <c r="D167" s="6" t="s">
        <v>7</v>
      </c>
      <c r="E167" s="6">
        <v>4</v>
      </c>
      <c r="F167" s="6">
        <v>102</v>
      </c>
    </row>
    <row r="168" spans="1:6" ht="15.75" customHeight="1" x14ac:dyDescent="0.35">
      <c r="A168" s="1">
        <v>167</v>
      </c>
      <c r="B168" s="4" t="s">
        <v>15</v>
      </c>
      <c r="C168" s="5">
        <v>44252</v>
      </c>
      <c r="D168" s="6" t="s">
        <v>8</v>
      </c>
      <c r="E168" s="6">
        <v>1</v>
      </c>
      <c r="F168" s="6">
        <v>109</v>
      </c>
    </row>
    <row r="169" spans="1:6" ht="15.75" customHeight="1" x14ac:dyDescent="0.35">
      <c r="A169" s="1">
        <v>168</v>
      </c>
      <c r="B169" s="4" t="s">
        <v>15</v>
      </c>
      <c r="C169" s="5">
        <v>44252</v>
      </c>
      <c r="D169" s="6" t="s">
        <v>9</v>
      </c>
      <c r="E169" s="6">
        <v>0</v>
      </c>
      <c r="F169" s="6">
        <v>97</v>
      </c>
    </row>
    <row r="170" spans="1:6" ht="15.75" customHeight="1" x14ac:dyDescent="0.35">
      <c r="A170" s="1">
        <v>169</v>
      </c>
      <c r="B170" s="4" t="s">
        <v>6</v>
      </c>
      <c r="C170" s="5">
        <v>44253</v>
      </c>
      <c r="D170" s="6" t="s">
        <v>7</v>
      </c>
      <c r="E170" s="6">
        <v>4</v>
      </c>
      <c r="F170" s="6">
        <v>95</v>
      </c>
    </row>
    <row r="171" spans="1:6" ht="15.75" customHeight="1" x14ac:dyDescent="0.35">
      <c r="A171" s="1">
        <v>170</v>
      </c>
      <c r="B171" s="4" t="s">
        <v>6</v>
      </c>
      <c r="C171" s="5">
        <v>44253</v>
      </c>
      <c r="D171" s="6" t="s">
        <v>8</v>
      </c>
      <c r="E171" s="6">
        <v>2</v>
      </c>
      <c r="F171" s="6">
        <v>108</v>
      </c>
    </row>
    <row r="172" spans="1:6" ht="15.75" customHeight="1" x14ac:dyDescent="0.35">
      <c r="A172" s="1">
        <v>171</v>
      </c>
      <c r="B172" s="4" t="s">
        <v>6</v>
      </c>
      <c r="C172" s="5">
        <v>44253</v>
      </c>
      <c r="D172" s="6" t="s">
        <v>9</v>
      </c>
      <c r="E172" s="6">
        <v>1</v>
      </c>
      <c r="F172" s="6">
        <v>103</v>
      </c>
    </row>
    <row r="173" spans="1:6" ht="15.75" customHeight="1" x14ac:dyDescent="0.35">
      <c r="A173" s="1">
        <v>172</v>
      </c>
      <c r="B173" s="4" t="s">
        <v>10</v>
      </c>
      <c r="C173" s="5">
        <v>44254</v>
      </c>
      <c r="D173" s="6" t="s">
        <v>7</v>
      </c>
      <c r="E173" s="6">
        <v>2</v>
      </c>
      <c r="F173" s="6">
        <v>102</v>
      </c>
    </row>
    <row r="174" spans="1:6" ht="15.75" customHeight="1" x14ac:dyDescent="0.35">
      <c r="A174" s="1">
        <v>173</v>
      </c>
      <c r="B174" s="4" t="s">
        <v>10</v>
      </c>
      <c r="C174" s="5">
        <v>44254</v>
      </c>
      <c r="D174" s="6" t="s">
        <v>8</v>
      </c>
      <c r="E174" s="6">
        <v>1</v>
      </c>
      <c r="F174" s="6">
        <v>106</v>
      </c>
    </row>
    <row r="175" spans="1:6" ht="15.75" customHeight="1" x14ac:dyDescent="0.35">
      <c r="A175" s="1">
        <v>174</v>
      </c>
      <c r="B175" s="4" t="s">
        <v>10</v>
      </c>
      <c r="C175" s="5">
        <v>44254</v>
      </c>
      <c r="D175" s="6" t="s">
        <v>9</v>
      </c>
      <c r="E175" s="6">
        <v>1</v>
      </c>
      <c r="F175" s="6">
        <v>109</v>
      </c>
    </row>
    <row r="176" spans="1:6" ht="15.75" customHeight="1" x14ac:dyDescent="0.35">
      <c r="A176" s="1">
        <v>175</v>
      </c>
      <c r="B176" s="4" t="s">
        <v>11</v>
      </c>
      <c r="C176" s="5">
        <v>44255</v>
      </c>
      <c r="D176" s="6" t="s">
        <v>7</v>
      </c>
      <c r="E176" s="6">
        <v>3</v>
      </c>
      <c r="F176" s="6">
        <v>101</v>
      </c>
    </row>
    <row r="177" spans="1:6" ht="15.75" customHeight="1" x14ac:dyDescent="0.35">
      <c r="A177" s="1">
        <v>176</v>
      </c>
      <c r="B177" s="4" t="s">
        <v>11</v>
      </c>
      <c r="C177" s="5">
        <v>44255</v>
      </c>
      <c r="D177" s="6" t="s">
        <v>8</v>
      </c>
      <c r="E177" s="6">
        <v>4</v>
      </c>
      <c r="F177" s="6">
        <v>105</v>
      </c>
    </row>
    <row r="178" spans="1:6" ht="15.75" customHeight="1" x14ac:dyDescent="0.35">
      <c r="A178" s="1">
        <v>177</v>
      </c>
      <c r="B178" s="4" t="s">
        <v>11</v>
      </c>
      <c r="C178" s="5">
        <v>44255</v>
      </c>
      <c r="D178" s="6" t="s">
        <v>9</v>
      </c>
      <c r="E178" s="6">
        <v>0</v>
      </c>
      <c r="F178" s="6">
        <v>105</v>
      </c>
    </row>
    <row r="179" spans="1:6" ht="15.75" customHeight="1" x14ac:dyDescent="0.35">
      <c r="A179" s="1">
        <v>178</v>
      </c>
      <c r="B179" s="4" t="s">
        <v>12</v>
      </c>
      <c r="C179" s="5">
        <v>44256</v>
      </c>
      <c r="D179" s="6" t="s">
        <v>7</v>
      </c>
      <c r="E179" s="6">
        <v>6</v>
      </c>
      <c r="F179" s="6">
        <v>90</v>
      </c>
    </row>
    <row r="180" spans="1:6" ht="15.75" customHeight="1" x14ac:dyDescent="0.35">
      <c r="A180" s="1">
        <v>179</v>
      </c>
      <c r="B180" s="4" t="s">
        <v>12</v>
      </c>
      <c r="C180" s="5">
        <v>44256</v>
      </c>
      <c r="D180" s="6" t="s">
        <v>8</v>
      </c>
      <c r="E180" s="6">
        <v>2</v>
      </c>
      <c r="F180" s="6">
        <v>101</v>
      </c>
    </row>
    <row r="181" spans="1:6" ht="15.75" customHeight="1" x14ac:dyDescent="0.35">
      <c r="A181" s="1">
        <v>180</v>
      </c>
      <c r="B181" s="4" t="s">
        <v>12</v>
      </c>
      <c r="C181" s="5">
        <v>44256</v>
      </c>
      <c r="D181" s="6" t="s">
        <v>9</v>
      </c>
      <c r="E181" s="6">
        <v>1</v>
      </c>
      <c r="F181" s="6">
        <v>108</v>
      </c>
    </row>
    <row r="182" spans="1:6" ht="15.75" customHeight="1" x14ac:dyDescent="0.35">
      <c r="A182" s="1">
        <v>181</v>
      </c>
      <c r="B182" s="4" t="s">
        <v>13</v>
      </c>
      <c r="C182" s="5">
        <v>44257</v>
      </c>
      <c r="D182" s="6" t="s">
        <v>7</v>
      </c>
      <c r="E182" s="6">
        <v>4</v>
      </c>
      <c r="F182" s="6">
        <v>96</v>
      </c>
    </row>
    <row r="183" spans="1:6" ht="15.75" customHeight="1" x14ac:dyDescent="0.35">
      <c r="A183" s="1">
        <v>182</v>
      </c>
      <c r="B183" s="4" t="s">
        <v>13</v>
      </c>
      <c r="C183" s="5">
        <v>44257</v>
      </c>
      <c r="D183" s="6" t="s">
        <v>8</v>
      </c>
      <c r="E183" s="6">
        <v>3</v>
      </c>
      <c r="F183" s="6">
        <v>96</v>
      </c>
    </row>
    <row r="184" spans="1:6" ht="15.75" customHeight="1" x14ac:dyDescent="0.35">
      <c r="A184" s="1">
        <v>183</v>
      </c>
      <c r="B184" s="4" t="s">
        <v>13</v>
      </c>
      <c r="C184" s="5">
        <v>44257</v>
      </c>
      <c r="D184" s="6" t="s">
        <v>9</v>
      </c>
      <c r="E184" s="6">
        <v>1</v>
      </c>
      <c r="F184" s="6">
        <v>98</v>
      </c>
    </row>
    <row r="185" spans="1:6" ht="15.75" customHeight="1" x14ac:dyDescent="0.35">
      <c r="A185" s="1">
        <v>184</v>
      </c>
      <c r="B185" s="4" t="s">
        <v>14</v>
      </c>
      <c r="C185" s="5">
        <v>44258</v>
      </c>
      <c r="D185" s="6" t="s">
        <v>7</v>
      </c>
      <c r="E185" s="6">
        <v>2</v>
      </c>
      <c r="F185" s="6">
        <v>94</v>
      </c>
    </row>
    <row r="186" spans="1:6" ht="15.75" customHeight="1" x14ac:dyDescent="0.35">
      <c r="A186" s="1">
        <v>185</v>
      </c>
      <c r="B186" s="4" t="s">
        <v>14</v>
      </c>
      <c r="C186" s="5">
        <v>44258</v>
      </c>
      <c r="D186" s="6" t="s">
        <v>8</v>
      </c>
      <c r="E186" s="6">
        <v>1</v>
      </c>
      <c r="F186" s="6">
        <v>106</v>
      </c>
    </row>
    <row r="187" spans="1:6" ht="15.75" customHeight="1" x14ac:dyDescent="0.35">
      <c r="A187" s="1">
        <v>186</v>
      </c>
      <c r="B187" s="4" t="s">
        <v>14</v>
      </c>
      <c r="C187" s="5">
        <v>44258</v>
      </c>
      <c r="D187" s="6" t="s">
        <v>9</v>
      </c>
      <c r="E187" s="6">
        <v>0</v>
      </c>
      <c r="F187" s="6">
        <v>107</v>
      </c>
    </row>
    <row r="188" spans="1:6" ht="15.75" customHeight="1" x14ac:dyDescent="0.35">
      <c r="A188" s="1">
        <v>187</v>
      </c>
      <c r="B188" s="4" t="s">
        <v>15</v>
      </c>
      <c r="C188" s="5">
        <v>44259</v>
      </c>
      <c r="D188" s="6" t="s">
        <v>7</v>
      </c>
      <c r="E188" s="6">
        <v>6</v>
      </c>
      <c r="F188" s="6">
        <v>94</v>
      </c>
    </row>
    <row r="189" spans="1:6" ht="15.75" customHeight="1" x14ac:dyDescent="0.35">
      <c r="A189" s="1">
        <v>188</v>
      </c>
      <c r="B189" s="4" t="s">
        <v>15</v>
      </c>
      <c r="C189" s="5">
        <v>44259</v>
      </c>
      <c r="D189" s="6" t="s">
        <v>8</v>
      </c>
      <c r="E189" s="6">
        <v>6</v>
      </c>
      <c r="F189" s="6">
        <v>99</v>
      </c>
    </row>
    <row r="190" spans="1:6" ht="15.75" customHeight="1" x14ac:dyDescent="0.35">
      <c r="A190" s="1">
        <v>189</v>
      </c>
      <c r="B190" s="4" t="s">
        <v>15</v>
      </c>
      <c r="C190" s="5">
        <v>44259</v>
      </c>
      <c r="D190" s="6" t="s">
        <v>9</v>
      </c>
      <c r="E190" s="6">
        <v>0</v>
      </c>
      <c r="F190" s="6">
        <v>105</v>
      </c>
    </row>
    <row r="191" spans="1:6" ht="15.75" customHeight="1" x14ac:dyDescent="0.35">
      <c r="A191" s="1">
        <v>190</v>
      </c>
      <c r="B191" s="4" t="s">
        <v>6</v>
      </c>
      <c r="C191" s="5">
        <v>44260</v>
      </c>
      <c r="D191" s="6" t="s">
        <v>7</v>
      </c>
      <c r="E191" s="6">
        <v>5</v>
      </c>
      <c r="F191" s="6">
        <v>108</v>
      </c>
    </row>
    <row r="192" spans="1:6" ht="15.75" customHeight="1" x14ac:dyDescent="0.35">
      <c r="A192" s="1">
        <v>191</v>
      </c>
      <c r="B192" s="4" t="s">
        <v>6</v>
      </c>
      <c r="C192" s="5">
        <v>44260</v>
      </c>
      <c r="D192" s="6" t="s">
        <v>8</v>
      </c>
      <c r="E192" s="6">
        <v>4</v>
      </c>
      <c r="F192" s="6">
        <v>110</v>
      </c>
    </row>
    <row r="193" spans="1:6" ht="15.75" customHeight="1" x14ac:dyDescent="0.35">
      <c r="A193" s="1">
        <v>192</v>
      </c>
      <c r="B193" s="4" t="s">
        <v>6</v>
      </c>
      <c r="C193" s="5">
        <v>44260</v>
      </c>
      <c r="D193" s="6" t="s">
        <v>9</v>
      </c>
      <c r="E193" s="6">
        <v>2</v>
      </c>
      <c r="F193" s="6">
        <v>103</v>
      </c>
    </row>
    <row r="194" spans="1:6" ht="15.75" customHeight="1" x14ac:dyDescent="0.35">
      <c r="A194" s="1">
        <v>193</v>
      </c>
      <c r="B194" s="4" t="s">
        <v>10</v>
      </c>
      <c r="C194" s="5">
        <v>44261</v>
      </c>
      <c r="D194" s="6" t="s">
        <v>7</v>
      </c>
      <c r="E194" s="6">
        <v>4</v>
      </c>
      <c r="F194" s="6">
        <v>106</v>
      </c>
    </row>
    <row r="195" spans="1:6" ht="15.75" customHeight="1" x14ac:dyDescent="0.35">
      <c r="A195" s="1">
        <v>194</v>
      </c>
      <c r="B195" s="4" t="s">
        <v>10</v>
      </c>
      <c r="C195" s="5">
        <v>44261</v>
      </c>
      <c r="D195" s="6" t="s">
        <v>8</v>
      </c>
      <c r="E195" s="6">
        <v>4</v>
      </c>
      <c r="F195" s="6">
        <v>112</v>
      </c>
    </row>
    <row r="196" spans="1:6" ht="15.75" customHeight="1" x14ac:dyDescent="0.35">
      <c r="A196" s="1">
        <v>195</v>
      </c>
      <c r="B196" s="4" t="s">
        <v>10</v>
      </c>
      <c r="C196" s="5">
        <v>44261</v>
      </c>
      <c r="D196" s="6" t="s">
        <v>9</v>
      </c>
      <c r="E196" s="6">
        <v>1</v>
      </c>
      <c r="F196" s="6">
        <v>104</v>
      </c>
    </row>
    <row r="197" spans="1:6" ht="15.75" customHeight="1" x14ac:dyDescent="0.35">
      <c r="A197" s="1">
        <v>196</v>
      </c>
      <c r="B197" s="4" t="s">
        <v>11</v>
      </c>
      <c r="C197" s="5">
        <v>44262</v>
      </c>
      <c r="D197" s="6" t="s">
        <v>7</v>
      </c>
      <c r="E197" s="6">
        <v>6</v>
      </c>
      <c r="F197" s="6">
        <v>104</v>
      </c>
    </row>
    <row r="198" spans="1:6" ht="15.75" customHeight="1" x14ac:dyDescent="0.35">
      <c r="A198" s="1">
        <v>197</v>
      </c>
      <c r="B198" s="4" t="s">
        <v>11</v>
      </c>
      <c r="C198" s="5">
        <v>44262</v>
      </c>
      <c r="D198" s="6" t="s">
        <v>8</v>
      </c>
      <c r="E198" s="6">
        <v>3</v>
      </c>
      <c r="F198" s="6">
        <v>106</v>
      </c>
    </row>
    <row r="199" spans="1:6" ht="15.75" customHeight="1" x14ac:dyDescent="0.35">
      <c r="A199" s="1">
        <v>198</v>
      </c>
      <c r="B199" s="4" t="s">
        <v>11</v>
      </c>
      <c r="C199" s="5">
        <v>44262</v>
      </c>
      <c r="D199" s="6" t="s">
        <v>9</v>
      </c>
      <c r="E199" s="6">
        <v>1</v>
      </c>
      <c r="F199" s="6">
        <v>102</v>
      </c>
    </row>
    <row r="200" spans="1:6" ht="15.75" customHeight="1" x14ac:dyDescent="0.35">
      <c r="A200" s="1">
        <v>199</v>
      </c>
      <c r="B200" s="4" t="s">
        <v>12</v>
      </c>
      <c r="C200" s="5">
        <v>44263</v>
      </c>
      <c r="D200" s="6" t="s">
        <v>7</v>
      </c>
      <c r="E200" s="6">
        <v>2</v>
      </c>
      <c r="F200" s="6">
        <v>98</v>
      </c>
    </row>
    <row r="201" spans="1:6" ht="15.75" customHeight="1" x14ac:dyDescent="0.35">
      <c r="A201" s="1">
        <v>200</v>
      </c>
      <c r="B201" s="4" t="s">
        <v>12</v>
      </c>
      <c r="C201" s="5">
        <v>44263</v>
      </c>
      <c r="D201" s="6" t="s">
        <v>8</v>
      </c>
      <c r="E201" s="6">
        <v>3</v>
      </c>
      <c r="F201" s="6">
        <v>109</v>
      </c>
    </row>
    <row r="202" spans="1:6" ht="15.75" customHeight="1" x14ac:dyDescent="0.35">
      <c r="A202" s="1">
        <v>201</v>
      </c>
      <c r="B202" s="4" t="s">
        <v>12</v>
      </c>
      <c r="C202" s="5">
        <v>44263</v>
      </c>
      <c r="D202" s="6" t="s">
        <v>9</v>
      </c>
      <c r="E202" s="6">
        <v>0</v>
      </c>
      <c r="F202" s="6">
        <v>106</v>
      </c>
    </row>
    <row r="203" spans="1:6" ht="15.75" customHeight="1" x14ac:dyDescent="0.35">
      <c r="A203" s="1">
        <v>202</v>
      </c>
      <c r="B203" s="4" t="s">
        <v>13</v>
      </c>
      <c r="C203" s="5">
        <v>44264</v>
      </c>
      <c r="D203" s="6" t="s">
        <v>7</v>
      </c>
      <c r="E203" s="6">
        <v>1</v>
      </c>
      <c r="F203" s="6">
        <v>98</v>
      </c>
    </row>
    <row r="204" spans="1:6" ht="15.75" customHeight="1" x14ac:dyDescent="0.35">
      <c r="A204" s="1">
        <v>203</v>
      </c>
      <c r="B204" s="4" t="s">
        <v>13</v>
      </c>
      <c r="C204" s="5">
        <v>44264</v>
      </c>
      <c r="D204" s="6" t="s">
        <v>8</v>
      </c>
      <c r="E204" s="6">
        <v>0</v>
      </c>
      <c r="F204" s="6">
        <v>98</v>
      </c>
    </row>
    <row r="205" spans="1:6" ht="15.75" customHeight="1" x14ac:dyDescent="0.35">
      <c r="A205" s="1">
        <v>204</v>
      </c>
      <c r="B205" s="4" t="s">
        <v>13</v>
      </c>
      <c r="C205" s="5">
        <v>44264</v>
      </c>
      <c r="D205" s="6" t="s">
        <v>9</v>
      </c>
      <c r="E205" s="6">
        <v>1</v>
      </c>
      <c r="F205" s="6">
        <v>102</v>
      </c>
    </row>
    <row r="206" spans="1:6" ht="15.75" customHeight="1" x14ac:dyDescent="0.35">
      <c r="A206" s="1">
        <v>205</v>
      </c>
      <c r="B206" s="4" t="s">
        <v>14</v>
      </c>
      <c r="C206" s="5">
        <v>44265</v>
      </c>
      <c r="D206" s="6" t="s">
        <v>7</v>
      </c>
      <c r="E206" s="6">
        <v>3</v>
      </c>
      <c r="F206" s="6">
        <v>99</v>
      </c>
    </row>
    <row r="207" spans="1:6" ht="15.75" customHeight="1" x14ac:dyDescent="0.35">
      <c r="A207" s="1">
        <v>206</v>
      </c>
      <c r="B207" s="4" t="s">
        <v>14</v>
      </c>
      <c r="C207" s="5">
        <v>44265</v>
      </c>
      <c r="D207" s="6" t="s">
        <v>8</v>
      </c>
      <c r="E207" s="6">
        <v>3</v>
      </c>
      <c r="F207" s="6">
        <v>114</v>
      </c>
    </row>
    <row r="208" spans="1:6" ht="15.75" customHeight="1" x14ac:dyDescent="0.35">
      <c r="A208" s="1">
        <v>207</v>
      </c>
      <c r="B208" s="4" t="s">
        <v>14</v>
      </c>
      <c r="C208" s="5">
        <v>44265</v>
      </c>
      <c r="D208" s="6" t="s">
        <v>9</v>
      </c>
      <c r="E208" s="6">
        <v>0</v>
      </c>
      <c r="F208" s="6">
        <v>101</v>
      </c>
    </row>
    <row r="209" spans="1:6" ht="15.75" customHeight="1" x14ac:dyDescent="0.35">
      <c r="A209" s="1">
        <v>208</v>
      </c>
      <c r="B209" s="4" t="s">
        <v>15</v>
      </c>
      <c r="C209" s="5">
        <v>44266</v>
      </c>
      <c r="D209" s="6" t="s">
        <v>7</v>
      </c>
      <c r="E209" s="6">
        <v>1</v>
      </c>
      <c r="F209" s="6">
        <v>96</v>
      </c>
    </row>
    <row r="210" spans="1:6" ht="15.75" customHeight="1" x14ac:dyDescent="0.35">
      <c r="A210" s="1">
        <v>209</v>
      </c>
      <c r="B210" s="4" t="s">
        <v>15</v>
      </c>
      <c r="C210" s="5">
        <v>44266</v>
      </c>
      <c r="D210" s="6" t="s">
        <v>8</v>
      </c>
      <c r="E210" s="6">
        <v>1</v>
      </c>
      <c r="F210" s="6">
        <v>107</v>
      </c>
    </row>
    <row r="211" spans="1:6" ht="15.75" customHeight="1" x14ac:dyDescent="0.35">
      <c r="A211" s="1">
        <v>210</v>
      </c>
      <c r="B211" s="4" t="s">
        <v>15</v>
      </c>
      <c r="C211" s="5">
        <v>44266</v>
      </c>
      <c r="D211" s="6" t="s">
        <v>9</v>
      </c>
      <c r="E211" s="6">
        <v>1</v>
      </c>
      <c r="F211" s="6">
        <v>97</v>
      </c>
    </row>
    <row r="212" spans="1:6" ht="15.75" customHeight="1" x14ac:dyDescent="0.35">
      <c r="A212" s="1">
        <v>211</v>
      </c>
      <c r="B212" s="4" t="s">
        <v>6</v>
      </c>
      <c r="C212" s="5">
        <v>44267</v>
      </c>
      <c r="D212" s="6" t="s">
        <v>7</v>
      </c>
      <c r="E212" s="6">
        <v>3</v>
      </c>
      <c r="F212" s="6">
        <v>108</v>
      </c>
    </row>
    <row r="213" spans="1:6" ht="15.75" customHeight="1" x14ac:dyDescent="0.35">
      <c r="A213" s="1">
        <v>212</v>
      </c>
      <c r="B213" s="4" t="s">
        <v>6</v>
      </c>
      <c r="C213" s="5">
        <v>44267</v>
      </c>
      <c r="D213" s="6" t="s">
        <v>8</v>
      </c>
      <c r="E213" s="6">
        <v>2</v>
      </c>
      <c r="F213" s="6">
        <v>109</v>
      </c>
    </row>
    <row r="214" spans="1:6" ht="15.75" customHeight="1" x14ac:dyDescent="0.35">
      <c r="A214" s="1">
        <v>213</v>
      </c>
      <c r="B214" s="4" t="s">
        <v>6</v>
      </c>
      <c r="C214" s="5">
        <v>44267</v>
      </c>
      <c r="D214" s="6" t="s">
        <v>9</v>
      </c>
      <c r="E214" s="6">
        <v>2</v>
      </c>
      <c r="F214" s="6">
        <v>105</v>
      </c>
    </row>
    <row r="215" spans="1:6" ht="15.75" customHeight="1" x14ac:dyDescent="0.35">
      <c r="A215" s="1">
        <v>214</v>
      </c>
      <c r="B215" s="4" t="s">
        <v>10</v>
      </c>
      <c r="C215" s="5">
        <v>44268</v>
      </c>
      <c r="D215" s="6" t="s">
        <v>7</v>
      </c>
      <c r="E215" s="6">
        <v>4</v>
      </c>
      <c r="F215" s="6">
        <v>107</v>
      </c>
    </row>
    <row r="216" spans="1:6" ht="15.75" customHeight="1" x14ac:dyDescent="0.35">
      <c r="A216" s="1">
        <v>215</v>
      </c>
      <c r="B216" s="4" t="s">
        <v>10</v>
      </c>
      <c r="C216" s="5">
        <v>44268</v>
      </c>
      <c r="D216" s="6" t="s">
        <v>8</v>
      </c>
      <c r="E216" s="6">
        <v>1</v>
      </c>
      <c r="F216" s="6">
        <v>101</v>
      </c>
    </row>
    <row r="217" spans="1:6" ht="15.75" customHeight="1" x14ac:dyDescent="0.35">
      <c r="A217" s="1">
        <v>216</v>
      </c>
      <c r="B217" s="4" t="s">
        <v>10</v>
      </c>
      <c r="C217" s="5">
        <v>44268</v>
      </c>
      <c r="D217" s="6" t="s">
        <v>9</v>
      </c>
      <c r="E217" s="6">
        <v>0</v>
      </c>
      <c r="F217" s="6">
        <v>111</v>
      </c>
    </row>
    <row r="218" spans="1:6" ht="15.75" customHeight="1" x14ac:dyDescent="0.35">
      <c r="A218" s="1">
        <v>217</v>
      </c>
      <c r="B218" s="4" t="s">
        <v>11</v>
      </c>
      <c r="C218" s="5">
        <v>44269</v>
      </c>
      <c r="D218" s="6" t="s">
        <v>7</v>
      </c>
      <c r="E218" s="6">
        <v>2</v>
      </c>
      <c r="F218" s="6">
        <v>109</v>
      </c>
    </row>
    <row r="219" spans="1:6" ht="15.75" customHeight="1" x14ac:dyDescent="0.35">
      <c r="A219" s="1">
        <v>218</v>
      </c>
      <c r="B219" s="4" t="s">
        <v>11</v>
      </c>
      <c r="C219" s="5">
        <v>44269</v>
      </c>
      <c r="D219" s="6" t="s">
        <v>8</v>
      </c>
      <c r="E219" s="6">
        <v>3</v>
      </c>
      <c r="F219" s="6">
        <v>110</v>
      </c>
    </row>
    <row r="220" spans="1:6" ht="15.75" customHeight="1" x14ac:dyDescent="0.35">
      <c r="A220" s="1">
        <v>219</v>
      </c>
      <c r="B220" s="4" t="s">
        <v>11</v>
      </c>
      <c r="C220" s="5">
        <v>44269</v>
      </c>
      <c r="D220" s="6" t="s">
        <v>9</v>
      </c>
      <c r="E220" s="6">
        <v>1</v>
      </c>
      <c r="F220" s="6">
        <v>112</v>
      </c>
    </row>
    <row r="221" spans="1:6" ht="15.75" customHeight="1" x14ac:dyDescent="0.35">
      <c r="A221" s="1">
        <v>220</v>
      </c>
      <c r="B221" s="4" t="s">
        <v>12</v>
      </c>
      <c r="C221" s="5">
        <v>44270</v>
      </c>
      <c r="D221" s="6" t="s">
        <v>7</v>
      </c>
      <c r="E221" s="6">
        <v>1</v>
      </c>
      <c r="F221" s="6">
        <v>92</v>
      </c>
    </row>
    <row r="222" spans="1:6" ht="15.75" customHeight="1" x14ac:dyDescent="0.35">
      <c r="A222" s="1">
        <v>221</v>
      </c>
      <c r="B222" s="4" t="s">
        <v>12</v>
      </c>
      <c r="C222" s="5">
        <v>44270</v>
      </c>
      <c r="D222" s="6" t="s">
        <v>8</v>
      </c>
      <c r="E222" s="6">
        <v>0</v>
      </c>
      <c r="F222" s="6">
        <v>107</v>
      </c>
    </row>
    <row r="223" spans="1:6" ht="15.75" customHeight="1" x14ac:dyDescent="0.35">
      <c r="A223" s="1">
        <v>222</v>
      </c>
      <c r="B223" s="4" t="s">
        <v>12</v>
      </c>
      <c r="C223" s="5">
        <v>44270</v>
      </c>
      <c r="D223" s="6" t="s">
        <v>9</v>
      </c>
      <c r="E223" s="6">
        <v>0</v>
      </c>
      <c r="F223" s="6">
        <v>101</v>
      </c>
    </row>
    <row r="224" spans="1:6" ht="15.75" customHeight="1" x14ac:dyDescent="0.35">
      <c r="A224" s="1">
        <v>223</v>
      </c>
      <c r="B224" s="4" t="s">
        <v>13</v>
      </c>
      <c r="C224" s="5">
        <v>44271</v>
      </c>
      <c r="D224" s="6" t="s">
        <v>7</v>
      </c>
      <c r="E224" s="6">
        <v>2</v>
      </c>
      <c r="F224" s="6">
        <v>104</v>
      </c>
    </row>
    <row r="225" spans="1:6" ht="15.75" customHeight="1" x14ac:dyDescent="0.35">
      <c r="A225" s="1">
        <v>224</v>
      </c>
      <c r="B225" s="4" t="s">
        <v>13</v>
      </c>
      <c r="C225" s="5">
        <v>44271</v>
      </c>
      <c r="D225" s="6" t="s">
        <v>8</v>
      </c>
      <c r="E225" s="6">
        <v>3</v>
      </c>
      <c r="F225" s="6">
        <v>97</v>
      </c>
    </row>
    <row r="226" spans="1:6" ht="15.75" customHeight="1" x14ac:dyDescent="0.35">
      <c r="A226" s="1">
        <v>225</v>
      </c>
      <c r="B226" s="4" t="s">
        <v>13</v>
      </c>
      <c r="C226" s="5">
        <v>44271</v>
      </c>
      <c r="D226" s="6" t="s">
        <v>9</v>
      </c>
      <c r="E226" s="6">
        <v>1</v>
      </c>
      <c r="F226" s="6">
        <v>105</v>
      </c>
    </row>
    <row r="227" spans="1:6" ht="15.75" customHeight="1" x14ac:dyDescent="0.35">
      <c r="A227" s="1">
        <v>226</v>
      </c>
      <c r="B227" s="4" t="s">
        <v>14</v>
      </c>
      <c r="C227" s="5">
        <v>44272</v>
      </c>
      <c r="D227" s="6" t="s">
        <v>7</v>
      </c>
      <c r="E227" s="6">
        <v>4</v>
      </c>
      <c r="F227" s="6">
        <v>93</v>
      </c>
    </row>
    <row r="228" spans="1:6" ht="15.75" customHeight="1" x14ac:dyDescent="0.35">
      <c r="A228" s="1">
        <v>227</v>
      </c>
      <c r="B228" s="4" t="s">
        <v>14</v>
      </c>
      <c r="C228" s="5">
        <v>44272</v>
      </c>
      <c r="D228" s="6" t="s">
        <v>8</v>
      </c>
      <c r="E228" s="6">
        <v>1</v>
      </c>
      <c r="F228" s="6">
        <v>107</v>
      </c>
    </row>
    <row r="229" spans="1:6" ht="15.75" customHeight="1" x14ac:dyDescent="0.35">
      <c r="A229" s="1">
        <v>228</v>
      </c>
      <c r="B229" s="4" t="s">
        <v>14</v>
      </c>
      <c r="C229" s="5">
        <v>44272</v>
      </c>
      <c r="D229" s="6" t="s">
        <v>9</v>
      </c>
      <c r="E229" s="6">
        <v>0</v>
      </c>
      <c r="F229" s="6">
        <v>101</v>
      </c>
    </row>
    <row r="230" spans="1:6" ht="15.75" customHeight="1" x14ac:dyDescent="0.35">
      <c r="A230" s="1">
        <v>229</v>
      </c>
      <c r="B230" s="4" t="s">
        <v>15</v>
      </c>
      <c r="C230" s="5">
        <v>44273</v>
      </c>
      <c r="D230" s="6" t="s">
        <v>7</v>
      </c>
      <c r="E230" s="6">
        <v>2</v>
      </c>
      <c r="F230" s="6">
        <v>92</v>
      </c>
    </row>
    <row r="231" spans="1:6" ht="15.75" customHeight="1" x14ac:dyDescent="0.35">
      <c r="A231" s="1">
        <v>230</v>
      </c>
      <c r="B231" s="4" t="s">
        <v>15</v>
      </c>
      <c r="C231" s="5">
        <v>44273</v>
      </c>
      <c r="D231" s="6" t="s">
        <v>8</v>
      </c>
      <c r="E231" s="6">
        <v>1</v>
      </c>
      <c r="F231" s="6">
        <v>96</v>
      </c>
    </row>
    <row r="232" spans="1:6" ht="15.75" customHeight="1" x14ac:dyDescent="0.35">
      <c r="A232" s="1">
        <v>231</v>
      </c>
      <c r="B232" s="4" t="s">
        <v>15</v>
      </c>
      <c r="C232" s="5">
        <v>44273</v>
      </c>
      <c r="D232" s="6" t="s">
        <v>9</v>
      </c>
      <c r="E232" s="6">
        <v>4</v>
      </c>
      <c r="F232" s="6">
        <v>113</v>
      </c>
    </row>
    <row r="233" spans="1:6" ht="15.75" customHeight="1" x14ac:dyDescent="0.35">
      <c r="A233" s="1">
        <v>232</v>
      </c>
      <c r="B233" s="4" t="s">
        <v>6</v>
      </c>
      <c r="C233" s="5">
        <v>44274</v>
      </c>
      <c r="D233" s="6" t="s">
        <v>7</v>
      </c>
      <c r="E233" s="6">
        <v>3</v>
      </c>
      <c r="F233" s="6">
        <v>115</v>
      </c>
    </row>
    <row r="234" spans="1:6" ht="15.75" customHeight="1" x14ac:dyDescent="0.35">
      <c r="A234" s="1">
        <v>233</v>
      </c>
      <c r="B234" s="4" t="s">
        <v>6</v>
      </c>
      <c r="C234" s="5">
        <v>44274</v>
      </c>
      <c r="D234" s="6" t="s">
        <v>8</v>
      </c>
      <c r="E234" s="6">
        <v>6</v>
      </c>
      <c r="F234" s="6">
        <v>98</v>
      </c>
    </row>
    <row r="235" spans="1:6" ht="15.75" customHeight="1" x14ac:dyDescent="0.35">
      <c r="A235" s="1">
        <v>234</v>
      </c>
      <c r="B235" s="4" t="s">
        <v>6</v>
      </c>
      <c r="C235" s="5">
        <v>44274</v>
      </c>
      <c r="D235" s="6" t="s">
        <v>9</v>
      </c>
      <c r="E235" s="6">
        <v>0</v>
      </c>
      <c r="F235" s="6">
        <v>115</v>
      </c>
    </row>
    <row r="236" spans="1:6" ht="15.75" customHeight="1" x14ac:dyDescent="0.35">
      <c r="A236" s="1">
        <v>235</v>
      </c>
      <c r="B236" s="4" t="s">
        <v>10</v>
      </c>
      <c r="C236" s="5">
        <v>44275</v>
      </c>
      <c r="D236" s="6" t="s">
        <v>7</v>
      </c>
      <c r="E236" s="6">
        <v>4</v>
      </c>
      <c r="F236" s="6">
        <v>104</v>
      </c>
    </row>
    <row r="237" spans="1:6" ht="15.75" customHeight="1" x14ac:dyDescent="0.35">
      <c r="A237" s="1">
        <v>236</v>
      </c>
      <c r="B237" s="4" t="s">
        <v>10</v>
      </c>
      <c r="C237" s="5">
        <v>44275</v>
      </c>
      <c r="D237" s="6" t="s">
        <v>8</v>
      </c>
      <c r="E237" s="6">
        <v>2</v>
      </c>
      <c r="F237" s="6">
        <v>94</v>
      </c>
    </row>
    <row r="238" spans="1:6" ht="15.75" customHeight="1" x14ac:dyDescent="0.35">
      <c r="A238" s="1">
        <v>237</v>
      </c>
      <c r="B238" s="4" t="s">
        <v>10</v>
      </c>
      <c r="C238" s="5">
        <v>44275</v>
      </c>
      <c r="D238" s="6" t="s">
        <v>9</v>
      </c>
      <c r="E238" s="6">
        <v>3</v>
      </c>
      <c r="F238" s="6">
        <v>107</v>
      </c>
    </row>
    <row r="239" spans="1:6" ht="15.75" customHeight="1" x14ac:dyDescent="0.35">
      <c r="A239" s="1">
        <v>238</v>
      </c>
      <c r="B239" s="4" t="s">
        <v>11</v>
      </c>
      <c r="C239" s="5">
        <v>44276</v>
      </c>
      <c r="D239" s="6" t="s">
        <v>7</v>
      </c>
      <c r="E239" s="6">
        <v>1</v>
      </c>
      <c r="F239" s="6">
        <v>107</v>
      </c>
    </row>
    <row r="240" spans="1:6" ht="15.75" customHeight="1" x14ac:dyDescent="0.35">
      <c r="A240" s="1">
        <v>239</v>
      </c>
      <c r="B240" s="4" t="s">
        <v>11</v>
      </c>
      <c r="C240" s="5">
        <v>44276</v>
      </c>
      <c r="D240" s="6" t="s">
        <v>8</v>
      </c>
      <c r="E240" s="6">
        <v>0</v>
      </c>
      <c r="F240" s="6">
        <v>104</v>
      </c>
    </row>
    <row r="241" spans="1:6" ht="15.75" customHeight="1" x14ac:dyDescent="0.35">
      <c r="A241" s="1">
        <v>240</v>
      </c>
      <c r="B241" s="4" t="s">
        <v>11</v>
      </c>
      <c r="C241" s="5">
        <v>44276</v>
      </c>
      <c r="D241" s="6" t="s">
        <v>9</v>
      </c>
      <c r="E241" s="6">
        <v>0</v>
      </c>
      <c r="F241" s="6">
        <v>110</v>
      </c>
    </row>
    <row r="242" spans="1:6" ht="15.75" customHeight="1" x14ac:dyDescent="0.35">
      <c r="A242" s="1">
        <v>241</v>
      </c>
      <c r="B242" s="4" t="s">
        <v>12</v>
      </c>
      <c r="C242" s="5">
        <v>44277</v>
      </c>
      <c r="D242" s="6" t="s">
        <v>7</v>
      </c>
      <c r="E242" s="6">
        <v>5</v>
      </c>
      <c r="F242" s="6">
        <v>103</v>
      </c>
    </row>
    <row r="243" spans="1:6" ht="15.75" customHeight="1" x14ac:dyDescent="0.35">
      <c r="A243" s="1">
        <v>242</v>
      </c>
      <c r="B243" s="4" t="s">
        <v>12</v>
      </c>
      <c r="C243" s="5">
        <v>44277</v>
      </c>
      <c r="D243" s="6" t="s">
        <v>8</v>
      </c>
      <c r="E243" s="6">
        <v>1</v>
      </c>
      <c r="F243" s="6">
        <v>94</v>
      </c>
    </row>
    <row r="244" spans="1:6" ht="15.75" customHeight="1" x14ac:dyDescent="0.35">
      <c r="A244" s="1">
        <v>243</v>
      </c>
      <c r="B244" s="4" t="s">
        <v>12</v>
      </c>
      <c r="C244" s="5">
        <v>44277</v>
      </c>
      <c r="D244" s="6" t="s">
        <v>9</v>
      </c>
      <c r="E244" s="6">
        <v>1</v>
      </c>
      <c r="F244" s="6">
        <v>105</v>
      </c>
    </row>
    <row r="245" spans="1:6" ht="15.75" customHeight="1" x14ac:dyDescent="0.35">
      <c r="A245" s="1">
        <v>244</v>
      </c>
      <c r="B245" s="4" t="s">
        <v>13</v>
      </c>
      <c r="C245" s="5">
        <v>44278</v>
      </c>
      <c r="D245" s="6" t="s">
        <v>7</v>
      </c>
      <c r="E245" s="6">
        <v>4</v>
      </c>
      <c r="F245" s="6">
        <v>103</v>
      </c>
    </row>
    <row r="246" spans="1:6" ht="15.75" customHeight="1" x14ac:dyDescent="0.35">
      <c r="A246" s="1">
        <v>245</v>
      </c>
      <c r="B246" s="4" t="s">
        <v>13</v>
      </c>
      <c r="C246" s="5">
        <v>44278</v>
      </c>
      <c r="D246" s="6" t="s">
        <v>8</v>
      </c>
      <c r="E246" s="6">
        <v>1</v>
      </c>
      <c r="F246" s="6">
        <v>99</v>
      </c>
    </row>
    <row r="247" spans="1:6" ht="15.75" customHeight="1" x14ac:dyDescent="0.35">
      <c r="A247" s="1">
        <v>246</v>
      </c>
      <c r="B247" s="4" t="s">
        <v>13</v>
      </c>
      <c r="C247" s="5">
        <v>44278</v>
      </c>
      <c r="D247" s="6" t="s">
        <v>9</v>
      </c>
      <c r="E247" s="6">
        <v>0</v>
      </c>
      <c r="F247" s="6">
        <v>104</v>
      </c>
    </row>
    <row r="248" spans="1:6" ht="15.75" customHeight="1" x14ac:dyDescent="0.35">
      <c r="A248" s="1">
        <v>247</v>
      </c>
      <c r="B248" s="4" t="s">
        <v>14</v>
      </c>
      <c r="C248" s="5">
        <v>44279</v>
      </c>
      <c r="D248" s="6" t="s">
        <v>7</v>
      </c>
      <c r="E248" s="6">
        <v>5</v>
      </c>
      <c r="F248" s="6">
        <v>102</v>
      </c>
    </row>
    <row r="249" spans="1:6" ht="15.75" customHeight="1" x14ac:dyDescent="0.35">
      <c r="A249" s="1">
        <v>248</v>
      </c>
      <c r="B249" s="4" t="s">
        <v>14</v>
      </c>
      <c r="C249" s="5">
        <v>44279</v>
      </c>
      <c r="D249" s="6" t="s">
        <v>8</v>
      </c>
      <c r="E249" s="6">
        <v>0</v>
      </c>
      <c r="F249" s="6">
        <v>101</v>
      </c>
    </row>
    <row r="250" spans="1:6" ht="15.75" customHeight="1" x14ac:dyDescent="0.35">
      <c r="A250" s="1">
        <v>249</v>
      </c>
      <c r="B250" s="4" t="s">
        <v>14</v>
      </c>
      <c r="C250" s="5">
        <v>44279</v>
      </c>
      <c r="D250" s="6" t="s">
        <v>9</v>
      </c>
      <c r="E250" s="6">
        <v>0</v>
      </c>
      <c r="F250" s="6">
        <v>104</v>
      </c>
    </row>
    <row r="251" spans="1:6" ht="15.75" customHeight="1" x14ac:dyDescent="0.35">
      <c r="A251" s="1">
        <v>250</v>
      </c>
      <c r="B251" s="4" t="s">
        <v>15</v>
      </c>
      <c r="C251" s="5">
        <v>44280</v>
      </c>
      <c r="D251" s="6" t="s">
        <v>7</v>
      </c>
      <c r="E251" s="6">
        <v>6</v>
      </c>
      <c r="F251" s="6">
        <v>107</v>
      </c>
    </row>
    <row r="252" spans="1:6" ht="15.75" customHeight="1" x14ac:dyDescent="0.35">
      <c r="A252" s="1">
        <v>251</v>
      </c>
      <c r="B252" s="4" t="s">
        <v>15</v>
      </c>
      <c r="C252" s="5">
        <v>44280</v>
      </c>
      <c r="D252" s="6" t="s">
        <v>8</v>
      </c>
      <c r="E252" s="6">
        <v>0</v>
      </c>
      <c r="F252" s="6">
        <v>103</v>
      </c>
    </row>
    <row r="253" spans="1:6" ht="15.75" customHeight="1" x14ac:dyDescent="0.35">
      <c r="A253" s="1">
        <v>252</v>
      </c>
      <c r="B253" s="4" t="s">
        <v>15</v>
      </c>
      <c r="C253" s="5">
        <v>44280</v>
      </c>
      <c r="D253" s="6" t="s">
        <v>9</v>
      </c>
      <c r="E253" s="6">
        <v>2</v>
      </c>
      <c r="F253" s="6">
        <v>107</v>
      </c>
    </row>
    <row r="254" spans="1:6" ht="15.75" customHeight="1" x14ac:dyDescent="0.35">
      <c r="A254" s="1">
        <v>253</v>
      </c>
      <c r="B254" s="4" t="s">
        <v>6</v>
      </c>
      <c r="C254" s="5">
        <v>44281</v>
      </c>
      <c r="D254" s="6" t="s">
        <v>7</v>
      </c>
      <c r="E254" s="6">
        <v>1</v>
      </c>
      <c r="F254" s="6">
        <v>80</v>
      </c>
    </row>
    <row r="255" spans="1:6" ht="15.75" customHeight="1" x14ac:dyDescent="0.35">
      <c r="A255" s="1">
        <v>254</v>
      </c>
      <c r="B255" s="4" t="s">
        <v>6</v>
      </c>
      <c r="C255" s="5">
        <v>44281</v>
      </c>
      <c r="D255" s="6" t="s">
        <v>8</v>
      </c>
      <c r="E255" s="6">
        <v>5</v>
      </c>
      <c r="F255" s="6">
        <v>106</v>
      </c>
    </row>
    <row r="256" spans="1:6" ht="15.75" customHeight="1" x14ac:dyDescent="0.35">
      <c r="A256" s="1">
        <v>255</v>
      </c>
      <c r="B256" s="4" t="s">
        <v>6</v>
      </c>
      <c r="C256" s="5">
        <v>44281</v>
      </c>
      <c r="D256" s="6" t="s">
        <v>9</v>
      </c>
      <c r="E256" s="6">
        <v>0</v>
      </c>
      <c r="F256" s="6">
        <v>99</v>
      </c>
    </row>
    <row r="257" spans="1:6" ht="15.75" customHeight="1" x14ac:dyDescent="0.35">
      <c r="A257" s="1">
        <v>256</v>
      </c>
      <c r="B257" s="4" t="s">
        <v>10</v>
      </c>
      <c r="C257" s="5">
        <v>44282</v>
      </c>
      <c r="D257" s="6" t="s">
        <v>7</v>
      </c>
      <c r="E257" s="6">
        <v>2</v>
      </c>
      <c r="F257" s="6">
        <v>103</v>
      </c>
    </row>
    <row r="258" spans="1:6" ht="15.75" customHeight="1" x14ac:dyDescent="0.35">
      <c r="A258" s="1">
        <v>257</v>
      </c>
      <c r="B258" s="4" t="s">
        <v>10</v>
      </c>
      <c r="C258" s="5">
        <v>44282</v>
      </c>
      <c r="D258" s="6" t="s">
        <v>8</v>
      </c>
      <c r="E258" s="6">
        <v>2</v>
      </c>
      <c r="F258" s="6">
        <v>108</v>
      </c>
    </row>
    <row r="259" spans="1:6" ht="15.75" customHeight="1" x14ac:dyDescent="0.35">
      <c r="A259" s="1">
        <v>258</v>
      </c>
      <c r="B259" s="4" t="s">
        <v>10</v>
      </c>
      <c r="C259" s="5">
        <v>44282</v>
      </c>
      <c r="D259" s="6" t="s">
        <v>9</v>
      </c>
      <c r="E259" s="6">
        <v>0</v>
      </c>
      <c r="F259" s="6">
        <v>100</v>
      </c>
    </row>
    <row r="260" spans="1:6" ht="15.75" customHeight="1" x14ac:dyDescent="0.35">
      <c r="A260" s="1">
        <v>259</v>
      </c>
      <c r="B260" s="4" t="s">
        <v>11</v>
      </c>
      <c r="C260" s="5">
        <v>44283</v>
      </c>
      <c r="D260" s="6" t="s">
        <v>7</v>
      </c>
      <c r="E260" s="6">
        <v>3</v>
      </c>
      <c r="F260" s="6">
        <v>95</v>
      </c>
    </row>
    <row r="261" spans="1:6" ht="15.75" customHeight="1" x14ac:dyDescent="0.35">
      <c r="A261" s="1">
        <v>260</v>
      </c>
      <c r="B261" s="4" t="s">
        <v>11</v>
      </c>
      <c r="C261" s="5">
        <v>44283</v>
      </c>
      <c r="D261" s="6" t="s">
        <v>8</v>
      </c>
      <c r="E261" s="6">
        <v>4</v>
      </c>
      <c r="F261" s="6">
        <v>98</v>
      </c>
    </row>
    <row r="262" spans="1:6" ht="15.75" customHeight="1" x14ac:dyDescent="0.35">
      <c r="A262" s="1">
        <v>261</v>
      </c>
      <c r="B262" s="4" t="s">
        <v>11</v>
      </c>
      <c r="C262" s="5">
        <v>44283</v>
      </c>
      <c r="D262" s="6" t="s">
        <v>9</v>
      </c>
      <c r="E262" s="6">
        <v>0</v>
      </c>
      <c r="F262" s="6">
        <v>106</v>
      </c>
    </row>
    <row r="263" spans="1:6" ht="15.75" customHeight="1" x14ac:dyDescent="0.35">
      <c r="A263" s="1">
        <v>262</v>
      </c>
      <c r="B263" s="4" t="s">
        <v>12</v>
      </c>
      <c r="C263" s="5">
        <v>44284</v>
      </c>
      <c r="D263" s="6" t="s">
        <v>7</v>
      </c>
      <c r="E263" s="6">
        <v>3</v>
      </c>
      <c r="F263" s="6">
        <v>104</v>
      </c>
    </row>
    <row r="264" spans="1:6" ht="15.75" customHeight="1" x14ac:dyDescent="0.35">
      <c r="A264" s="1">
        <v>263</v>
      </c>
      <c r="B264" s="4" t="s">
        <v>12</v>
      </c>
      <c r="C264" s="5">
        <v>44284</v>
      </c>
      <c r="D264" s="6" t="s">
        <v>8</v>
      </c>
      <c r="E264" s="6">
        <v>3</v>
      </c>
      <c r="F264" s="6">
        <v>96</v>
      </c>
    </row>
    <row r="265" spans="1:6" ht="15.75" customHeight="1" x14ac:dyDescent="0.35">
      <c r="A265" s="1">
        <v>264</v>
      </c>
      <c r="B265" s="4" t="s">
        <v>12</v>
      </c>
      <c r="C265" s="5">
        <v>44284</v>
      </c>
      <c r="D265" s="6" t="s">
        <v>9</v>
      </c>
      <c r="E265" s="6">
        <v>1</v>
      </c>
      <c r="F265" s="6">
        <v>115</v>
      </c>
    </row>
    <row r="266" spans="1:6" ht="15.75" customHeight="1" x14ac:dyDescent="0.35">
      <c r="A266" s="1">
        <v>265</v>
      </c>
      <c r="B266" s="4" t="s">
        <v>13</v>
      </c>
      <c r="C266" s="5">
        <v>44285</v>
      </c>
      <c r="D266" s="6" t="s">
        <v>7</v>
      </c>
      <c r="E266" s="6">
        <v>1</v>
      </c>
      <c r="F266" s="6">
        <v>88</v>
      </c>
    </row>
    <row r="267" spans="1:6" ht="15.75" customHeight="1" x14ac:dyDescent="0.35">
      <c r="A267" s="1">
        <v>266</v>
      </c>
      <c r="B267" s="4" t="s">
        <v>13</v>
      </c>
      <c r="C267" s="5">
        <v>44285</v>
      </c>
      <c r="D267" s="6" t="s">
        <v>8</v>
      </c>
      <c r="E267" s="6">
        <v>1</v>
      </c>
      <c r="F267" s="6">
        <v>104</v>
      </c>
    </row>
    <row r="268" spans="1:6" ht="15.75" customHeight="1" x14ac:dyDescent="0.35">
      <c r="A268" s="1">
        <v>267</v>
      </c>
      <c r="B268" s="4" t="s">
        <v>13</v>
      </c>
      <c r="C268" s="5">
        <v>44285</v>
      </c>
      <c r="D268" s="6" t="s">
        <v>9</v>
      </c>
      <c r="E268" s="6">
        <v>1</v>
      </c>
      <c r="F268" s="6">
        <v>105</v>
      </c>
    </row>
    <row r="269" spans="1:6" ht="15.75" customHeight="1" x14ac:dyDescent="0.35">
      <c r="A269" s="1">
        <v>268</v>
      </c>
      <c r="B269" s="4" t="s">
        <v>14</v>
      </c>
      <c r="C269" s="5">
        <v>44286</v>
      </c>
      <c r="D269" s="6" t="s">
        <v>7</v>
      </c>
      <c r="E269" s="6">
        <v>2</v>
      </c>
      <c r="F269" s="6">
        <v>101</v>
      </c>
    </row>
    <row r="270" spans="1:6" ht="15.75" customHeight="1" x14ac:dyDescent="0.35">
      <c r="A270" s="1">
        <v>269</v>
      </c>
      <c r="B270" s="4" t="s">
        <v>14</v>
      </c>
      <c r="C270" s="5">
        <v>44286</v>
      </c>
      <c r="D270" s="6" t="s">
        <v>8</v>
      </c>
      <c r="E270" s="6">
        <v>1</v>
      </c>
      <c r="F270" s="6">
        <v>101</v>
      </c>
    </row>
    <row r="271" spans="1:6" ht="15.75" customHeight="1" x14ac:dyDescent="0.35">
      <c r="A271" s="1">
        <v>270</v>
      </c>
      <c r="B271" s="4" t="s">
        <v>14</v>
      </c>
      <c r="C271" s="5">
        <v>44286</v>
      </c>
      <c r="D271" s="6" t="s">
        <v>9</v>
      </c>
      <c r="E271" s="6">
        <v>0</v>
      </c>
      <c r="F271" s="6">
        <v>96</v>
      </c>
    </row>
    <row r="272" spans="1:6" ht="15.75" customHeight="1" x14ac:dyDescent="0.35">
      <c r="A272" s="1">
        <v>271</v>
      </c>
      <c r="B272" s="4" t="s">
        <v>15</v>
      </c>
      <c r="C272" s="5">
        <v>44287</v>
      </c>
      <c r="D272" s="6" t="s">
        <v>7</v>
      </c>
      <c r="E272" s="6">
        <v>7</v>
      </c>
      <c r="F272" s="6">
        <v>106</v>
      </c>
    </row>
    <row r="273" spans="1:6" ht="15.75" customHeight="1" x14ac:dyDescent="0.35">
      <c r="A273" s="1">
        <v>272</v>
      </c>
      <c r="B273" s="4" t="s">
        <v>15</v>
      </c>
      <c r="C273" s="5">
        <v>44287</v>
      </c>
      <c r="D273" s="6" t="s">
        <v>8</v>
      </c>
      <c r="E273" s="6">
        <v>4</v>
      </c>
      <c r="F273" s="6">
        <v>106</v>
      </c>
    </row>
    <row r="274" spans="1:6" ht="15.75" customHeight="1" x14ac:dyDescent="0.35">
      <c r="A274" s="1">
        <v>273</v>
      </c>
      <c r="B274" s="4" t="s">
        <v>15</v>
      </c>
      <c r="C274" s="5">
        <v>44287</v>
      </c>
      <c r="D274" s="6" t="s">
        <v>9</v>
      </c>
      <c r="E274" s="6">
        <v>1</v>
      </c>
      <c r="F274" s="6">
        <v>102</v>
      </c>
    </row>
    <row r="275" spans="1:6" ht="15.75" customHeight="1" x14ac:dyDescent="0.35">
      <c r="A275" s="1">
        <v>274</v>
      </c>
      <c r="B275" s="4" t="s">
        <v>6</v>
      </c>
      <c r="C275" s="5">
        <v>44288</v>
      </c>
      <c r="D275" s="6" t="s">
        <v>7</v>
      </c>
      <c r="E275" s="6">
        <v>4</v>
      </c>
      <c r="F275" s="6">
        <v>105</v>
      </c>
    </row>
    <row r="276" spans="1:6" ht="15.75" customHeight="1" x14ac:dyDescent="0.35">
      <c r="A276" s="1">
        <v>275</v>
      </c>
      <c r="B276" s="4" t="s">
        <v>6</v>
      </c>
      <c r="C276" s="5">
        <v>44288</v>
      </c>
      <c r="D276" s="6" t="s">
        <v>8</v>
      </c>
      <c r="E276" s="6">
        <v>2</v>
      </c>
      <c r="F276" s="6">
        <v>108</v>
      </c>
    </row>
    <row r="277" spans="1:6" ht="15.75" customHeight="1" x14ac:dyDescent="0.35">
      <c r="A277" s="1">
        <v>276</v>
      </c>
      <c r="B277" s="4" t="s">
        <v>6</v>
      </c>
      <c r="C277" s="5">
        <v>44288</v>
      </c>
      <c r="D277" s="6" t="s">
        <v>9</v>
      </c>
      <c r="E277" s="6">
        <v>0</v>
      </c>
      <c r="F277" s="6">
        <v>103</v>
      </c>
    </row>
    <row r="278" spans="1:6" ht="15.75" customHeight="1" x14ac:dyDescent="0.35">
      <c r="A278" s="1">
        <v>277</v>
      </c>
      <c r="B278" s="4" t="s">
        <v>10</v>
      </c>
      <c r="C278" s="5">
        <v>44289</v>
      </c>
      <c r="D278" s="6" t="s">
        <v>7</v>
      </c>
      <c r="E278" s="6">
        <v>1</v>
      </c>
      <c r="F278" s="6">
        <v>105</v>
      </c>
    </row>
    <row r="279" spans="1:6" ht="15.75" customHeight="1" x14ac:dyDescent="0.35">
      <c r="A279" s="1">
        <v>278</v>
      </c>
      <c r="B279" s="4" t="s">
        <v>10</v>
      </c>
      <c r="C279" s="5">
        <v>44289</v>
      </c>
      <c r="D279" s="6" t="s">
        <v>8</v>
      </c>
      <c r="E279" s="6">
        <v>2</v>
      </c>
      <c r="F279" s="6">
        <v>115</v>
      </c>
    </row>
    <row r="280" spans="1:6" ht="15.75" customHeight="1" x14ac:dyDescent="0.35">
      <c r="A280" s="1">
        <v>279</v>
      </c>
      <c r="B280" s="4" t="s">
        <v>10</v>
      </c>
      <c r="C280" s="5">
        <v>44289</v>
      </c>
      <c r="D280" s="6" t="s">
        <v>9</v>
      </c>
      <c r="E280" s="6">
        <v>1</v>
      </c>
      <c r="F280" s="6">
        <v>99</v>
      </c>
    </row>
    <row r="281" spans="1:6" ht="15.75" customHeight="1" x14ac:dyDescent="0.35">
      <c r="A281" s="1">
        <v>280</v>
      </c>
      <c r="B281" s="4" t="s">
        <v>11</v>
      </c>
      <c r="C281" s="5">
        <v>44290</v>
      </c>
      <c r="D281" s="6" t="s">
        <v>7</v>
      </c>
      <c r="E281" s="6">
        <v>3</v>
      </c>
      <c r="F281" s="6">
        <v>96</v>
      </c>
    </row>
    <row r="282" spans="1:6" ht="15.75" customHeight="1" x14ac:dyDescent="0.35">
      <c r="A282" s="1">
        <v>281</v>
      </c>
      <c r="B282" s="4" t="s">
        <v>11</v>
      </c>
      <c r="C282" s="5">
        <v>44290</v>
      </c>
      <c r="D282" s="6" t="s">
        <v>8</v>
      </c>
      <c r="E282" s="6">
        <v>1</v>
      </c>
      <c r="F282" s="6">
        <v>105</v>
      </c>
    </row>
    <row r="283" spans="1:6" ht="15.75" customHeight="1" x14ac:dyDescent="0.35">
      <c r="A283" s="1">
        <v>282</v>
      </c>
      <c r="B283" s="4" t="s">
        <v>11</v>
      </c>
      <c r="C283" s="5">
        <v>44290</v>
      </c>
      <c r="D283" s="6" t="s">
        <v>9</v>
      </c>
      <c r="E283" s="6">
        <v>1</v>
      </c>
      <c r="F283" s="6">
        <v>104</v>
      </c>
    </row>
    <row r="284" spans="1:6" ht="15.75" customHeight="1" x14ac:dyDescent="0.35">
      <c r="A284" s="1">
        <v>283</v>
      </c>
      <c r="B284" s="4" t="s">
        <v>12</v>
      </c>
      <c r="C284" s="5">
        <v>44291</v>
      </c>
      <c r="D284" s="6" t="s">
        <v>7</v>
      </c>
      <c r="E284" s="6">
        <v>3</v>
      </c>
      <c r="F284" s="6">
        <v>95</v>
      </c>
    </row>
    <row r="285" spans="1:6" ht="15.75" customHeight="1" x14ac:dyDescent="0.35">
      <c r="A285" s="1">
        <v>284</v>
      </c>
      <c r="B285" s="4" t="s">
        <v>12</v>
      </c>
      <c r="C285" s="5">
        <v>44291</v>
      </c>
      <c r="D285" s="6" t="s">
        <v>8</v>
      </c>
      <c r="E285" s="6">
        <v>2</v>
      </c>
      <c r="F285" s="6">
        <v>97</v>
      </c>
    </row>
    <row r="286" spans="1:6" ht="15.75" customHeight="1" x14ac:dyDescent="0.35">
      <c r="A286" s="1">
        <v>285</v>
      </c>
      <c r="B286" s="4" t="s">
        <v>12</v>
      </c>
      <c r="C286" s="5">
        <v>44291</v>
      </c>
      <c r="D286" s="6" t="s">
        <v>9</v>
      </c>
      <c r="E286" s="6">
        <v>1</v>
      </c>
      <c r="F286" s="6">
        <v>106</v>
      </c>
    </row>
    <row r="287" spans="1:6" ht="15.75" customHeight="1" x14ac:dyDescent="0.35">
      <c r="A287" s="1">
        <v>286</v>
      </c>
      <c r="B287" s="4" t="s">
        <v>13</v>
      </c>
      <c r="C287" s="5">
        <v>44292</v>
      </c>
      <c r="D287" s="6" t="s">
        <v>7</v>
      </c>
      <c r="E287" s="6">
        <v>3</v>
      </c>
      <c r="F287" s="6">
        <v>81</v>
      </c>
    </row>
    <row r="288" spans="1:6" ht="15.75" customHeight="1" x14ac:dyDescent="0.35">
      <c r="A288" s="1">
        <v>287</v>
      </c>
      <c r="B288" s="4" t="s">
        <v>13</v>
      </c>
      <c r="C288" s="5">
        <v>44292</v>
      </c>
      <c r="D288" s="6" t="s">
        <v>8</v>
      </c>
      <c r="E288" s="6">
        <v>3</v>
      </c>
      <c r="F288" s="6">
        <v>102</v>
      </c>
    </row>
    <row r="289" spans="1:6" ht="15.75" customHeight="1" x14ac:dyDescent="0.35">
      <c r="A289" s="1">
        <v>288</v>
      </c>
      <c r="B289" s="4" t="s">
        <v>13</v>
      </c>
      <c r="C289" s="5">
        <v>44292</v>
      </c>
      <c r="D289" s="6" t="s">
        <v>9</v>
      </c>
      <c r="E289" s="6">
        <v>0</v>
      </c>
      <c r="F289" s="6">
        <v>103</v>
      </c>
    </row>
    <row r="290" spans="1:6" ht="15.75" customHeight="1" x14ac:dyDescent="0.35">
      <c r="A290" s="1">
        <v>289</v>
      </c>
      <c r="B290" s="4" t="s">
        <v>14</v>
      </c>
      <c r="C290" s="5">
        <v>44293</v>
      </c>
      <c r="D290" s="6" t="s">
        <v>7</v>
      </c>
      <c r="E290" s="6">
        <v>3</v>
      </c>
      <c r="F290" s="6">
        <v>110</v>
      </c>
    </row>
    <row r="291" spans="1:6" ht="15.75" customHeight="1" x14ac:dyDescent="0.35">
      <c r="A291" s="1">
        <v>290</v>
      </c>
      <c r="B291" s="4" t="s">
        <v>14</v>
      </c>
      <c r="C291" s="5">
        <v>44293</v>
      </c>
      <c r="D291" s="6" t="s">
        <v>8</v>
      </c>
      <c r="E291" s="6">
        <v>0</v>
      </c>
      <c r="F291" s="6">
        <v>100</v>
      </c>
    </row>
    <row r="292" spans="1:6" ht="15.75" customHeight="1" x14ac:dyDescent="0.35">
      <c r="A292" s="1">
        <v>291</v>
      </c>
      <c r="B292" s="4" t="s">
        <v>14</v>
      </c>
      <c r="C292" s="5">
        <v>44293</v>
      </c>
      <c r="D292" s="6" t="s">
        <v>9</v>
      </c>
      <c r="E292" s="6">
        <v>2</v>
      </c>
      <c r="F292" s="6">
        <v>108</v>
      </c>
    </row>
    <row r="293" spans="1:6" ht="15.75" customHeight="1" x14ac:dyDescent="0.35">
      <c r="A293" s="1">
        <v>292</v>
      </c>
      <c r="B293" s="4" t="s">
        <v>15</v>
      </c>
      <c r="C293" s="5">
        <v>44294</v>
      </c>
      <c r="D293" s="6" t="s">
        <v>7</v>
      </c>
      <c r="E293" s="6">
        <v>6</v>
      </c>
      <c r="F293" s="6">
        <v>96</v>
      </c>
    </row>
    <row r="294" spans="1:6" ht="15.75" customHeight="1" x14ac:dyDescent="0.35">
      <c r="A294" s="1">
        <v>293</v>
      </c>
      <c r="B294" s="4" t="s">
        <v>15</v>
      </c>
      <c r="C294" s="5">
        <v>44294</v>
      </c>
      <c r="D294" s="6" t="s">
        <v>8</v>
      </c>
      <c r="E294" s="6">
        <v>1</v>
      </c>
      <c r="F294" s="6">
        <v>100</v>
      </c>
    </row>
    <row r="295" spans="1:6" ht="15.75" customHeight="1" x14ac:dyDescent="0.35">
      <c r="A295" s="1">
        <v>294</v>
      </c>
      <c r="B295" s="4" t="s">
        <v>15</v>
      </c>
      <c r="C295" s="5">
        <v>44294</v>
      </c>
      <c r="D295" s="6" t="s">
        <v>9</v>
      </c>
      <c r="E295" s="6">
        <v>2</v>
      </c>
      <c r="F295" s="6">
        <v>103</v>
      </c>
    </row>
    <row r="296" spans="1:6" ht="15.75" customHeight="1" x14ac:dyDescent="0.35">
      <c r="A296" s="1">
        <v>295</v>
      </c>
      <c r="B296" s="4" t="s">
        <v>6</v>
      </c>
      <c r="C296" s="5">
        <v>44295</v>
      </c>
      <c r="D296" s="6" t="s">
        <v>7</v>
      </c>
      <c r="E296" s="6">
        <v>2</v>
      </c>
      <c r="F296" s="6">
        <v>105</v>
      </c>
    </row>
    <row r="297" spans="1:6" ht="15.75" customHeight="1" x14ac:dyDescent="0.35">
      <c r="A297" s="1">
        <v>296</v>
      </c>
      <c r="B297" s="4" t="s">
        <v>6</v>
      </c>
      <c r="C297" s="5">
        <v>44295</v>
      </c>
      <c r="D297" s="6" t="s">
        <v>8</v>
      </c>
      <c r="E297" s="6">
        <v>1</v>
      </c>
      <c r="F297" s="6">
        <v>114</v>
      </c>
    </row>
    <row r="298" spans="1:6" ht="15.75" customHeight="1" x14ac:dyDescent="0.35">
      <c r="A298" s="1">
        <v>297</v>
      </c>
      <c r="B298" s="4" t="s">
        <v>6</v>
      </c>
      <c r="C298" s="5">
        <v>44295</v>
      </c>
      <c r="D298" s="6" t="s">
        <v>9</v>
      </c>
      <c r="E298" s="6">
        <v>2</v>
      </c>
      <c r="F298" s="6">
        <v>102</v>
      </c>
    </row>
    <row r="299" spans="1:6" ht="15.75" customHeight="1" x14ac:dyDescent="0.35">
      <c r="A299" s="1">
        <v>298</v>
      </c>
      <c r="B299" s="4" t="s">
        <v>10</v>
      </c>
      <c r="C299" s="5">
        <v>44296</v>
      </c>
      <c r="D299" s="6" t="s">
        <v>7</v>
      </c>
      <c r="E299" s="6">
        <v>7</v>
      </c>
      <c r="F299" s="6">
        <v>103</v>
      </c>
    </row>
    <row r="300" spans="1:6" ht="15.75" customHeight="1" x14ac:dyDescent="0.35">
      <c r="A300" s="1">
        <v>299</v>
      </c>
      <c r="B300" s="4" t="s">
        <v>10</v>
      </c>
      <c r="C300" s="5">
        <v>44296</v>
      </c>
      <c r="D300" s="6" t="s">
        <v>8</v>
      </c>
      <c r="E300" s="6">
        <v>0</v>
      </c>
      <c r="F300" s="6">
        <v>100</v>
      </c>
    </row>
    <row r="301" spans="1:6" ht="15.75" customHeight="1" x14ac:dyDescent="0.35">
      <c r="A301" s="1">
        <v>300</v>
      </c>
      <c r="B301" s="4" t="s">
        <v>10</v>
      </c>
      <c r="C301" s="5">
        <v>44296</v>
      </c>
      <c r="D301" s="6" t="s">
        <v>9</v>
      </c>
      <c r="E301" s="6">
        <v>0</v>
      </c>
      <c r="F301" s="6">
        <v>104</v>
      </c>
    </row>
    <row r="302" spans="1:6" ht="15.75" customHeight="1" x14ac:dyDescent="0.35">
      <c r="A302" s="1">
        <v>301</v>
      </c>
      <c r="B302" s="4" t="s">
        <v>11</v>
      </c>
      <c r="C302" s="5">
        <v>44297</v>
      </c>
      <c r="D302" s="6" t="s">
        <v>7</v>
      </c>
      <c r="E302" s="6">
        <v>2</v>
      </c>
      <c r="F302" s="6">
        <v>108</v>
      </c>
    </row>
    <row r="303" spans="1:6" ht="15.75" customHeight="1" x14ac:dyDescent="0.35">
      <c r="A303" s="1">
        <v>302</v>
      </c>
      <c r="B303" s="4" t="s">
        <v>11</v>
      </c>
      <c r="C303" s="5">
        <v>44297</v>
      </c>
      <c r="D303" s="6" t="s">
        <v>8</v>
      </c>
      <c r="E303" s="6">
        <v>3</v>
      </c>
      <c r="F303" s="6">
        <v>103</v>
      </c>
    </row>
    <row r="304" spans="1:6" ht="15.75" customHeight="1" x14ac:dyDescent="0.35">
      <c r="A304" s="1">
        <v>303</v>
      </c>
      <c r="B304" s="4" t="s">
        <v>11</v>
      </c>
      <c r="C304" s="5">
        <v>44297</v>
      </c>
      <c r="D304" s="6" t="s">
        <v>9</v>
      </c>
      <c r="E304" s="6">
        <v>2</v>
      </c>
      <c r="F304" s="6">
        <v>106</v>
      </c>
    </row>
    <row r="305" spans="1:6" ht="15.75" customHeight="1" x14ac:dyDescent="0.35">
      <c r="A305" s="1">
        <v>304</v>
      </c>
      <c r="B305" s="4" t="s">
        <v>12</v>
      </c>
      <c r="C305" s="5">
        <v>44298</v>
      </c>
      <c r="D305" s="6" t="s">
        <v>7</v>
      </c>
      <c r="E305" s="6">
        <v>4</v>
      </c>
      <c r="F305" s="6">
        <v>87</v>
      </c>
    </row>
    <row r="306" spans="1:6" ht="15.75" customHeight="1" x14ac:dyDescent="0.35">
      <c r="A306" s="1">
        <v>305</v>
      </c>
      <c r="B306" s="4" t="s">
        <v>12</v>
      </c>
      <c r="C306" s="5">
        <v>44298</v>
      </c>
      <c r="D306" s="6" t="s">
        <v>8</v>
      </c>
      <c r="E306" s="6">
        <v>2</v>
      </c>
      <c r="F306" s="6">
        <v>94</v>
      </c>
    </row>
    <row r="307" spans="1:6" ht="15.75" customHeight="1" x14ac:dyDescent="0.35">
      <c r="A307" s="1">
        <v>306</v>
      </c>
      <c r="B307" s="4" t="s">
        <v>12</v>
      </c>
      <c r="C307" s="5">
        <v>44298</v>
      </c>
      <c r="D307" s="6" t="s">
        <v>9</v>
      </c>
      <c r="E307" s="6">
        <v>0</v>
      </c>
      <c r="F307" s="6">
        <v>94</v>
      </c>
    </row>
    <row r="308" spans="1:6" ht="15.75" customHeight="1" x14ac:dyDescent="0.35">
      <c r="A308" s="1">
        <v>307</v>
      </c>
      <c r="B308" s="4" t="s">
        <v>13</v>
      </c>
      <c r="C308" s="5">
        <v>44299</v>
      </c>
      <c r="D308" s="6" t="s">
        <v>7</v>
      </c>
      <c r="E308" s="6">
        <v>3</v>
      </c>
      <c r="F308" s="6">
        <v>105</v>
      </c>
    </row>
    <row r="309" spans="1:6" ht="15.75" customHeight="1" x14ac:dyDescent="0.35">
      <c r="A309" s="1">
        <v>308</v>
      </c>
      <c r="B309" s="4" t="s">
        <v>13</v>
      </c>
      <c r="C309" s="5">
        <v>44299</v>
      </c>
      <c r="D309" s="6" t="s">
        <v>8</v>
      </c>
      <c r="E309" s="6">
        <v>2</v>
      </c>
      <c r="F309" s="6">
        <v>98</v>
      </c>
    </row>
    <row r="310" spans="1:6" ht="15.75" customHeight="1" x14ac:dyDescent="0.35">
      <c r="A310" s="1">
        <v>309</v>
      </c>
      <c r="B310" s="4" t="s">
        <v>13</v>
      </c>
      <c r="C310" s="5">
        <v>44299</v>
      </c>
      <c r="D310" s="6" t="s">
        <v>9</v>
      </c>
      <c r="E310" s="6">
        <v>0</v>
      </c>
      <c r="F310" s="6">
        <v>104</v>
      </c>
    </row>
    <row r="311" spans="1:6" ht="15.75" customHeight="1" x14ac:dyDescent="0.35">
      <c r="A311" s="1">
        <v>310</v>
      </c>
      <c r="B311" s="4" t="s">
        <v>14</v>
      </c>
      <c r="C311" s="5">
        <v>44300</v>
      </c>
      <c r="D311" s="6" t="s">
        <v>7</v>
      </c>
      <c r="E311" s="6">
        <v>4</v>
      </c>
      <c r="F311" s="6">
        <v>96</v>
      </c>
    </row>
    <row r="312" spans="1:6" ht="15.75" customHeight="1" x14ac:dyDescent="0.35">
      <c r="A312" s="1">
        <v>311</v>
      </c>
      <c r="B312" s="4" t="s">
        <v>14</v>
      </c>
      <c r="C312" s="5">
        <v>44300</v>
      </c>
      <c r="D312" s="6" t="s">
        <v>8</v>
      </c>
      <c r="E312" s="6">
        <v>2</v>
      </c>
      <c r="F312" s="6">
        <v>100</v>
      </c>
    </row>
    <row r="313" spans="1:6" ht="15.75" customHeight="1" x14ac:dyDescent="0.35">
      <c r="A313" s="1">
        <v>312</v>
      </c>
      <c r="B313" s="4" t="s">
        <v>14</v>
      </c>
      <c r="C313" s="5">
        <v>44300</v>
      </c>
      <c r="D313" s="6" t="s">
        <v>9</v>
      </c>
      <c r="E313" s="6">
        <v>0</v>
      </c>
      <c r="F313" s="6">
        <v>102</v>
      </c>
    </row>
    <row r="314" spans="1:6" ht="15.75" customHeight="1" x14ac:dyDescent="0.35">
      <c r="A314" s="1">
        <v>313</v>
      </c>
      <c r="B314" s="4" t="s">
        <v>15</v>
      </c>
      <c r="C314" s="5">
        <v>44301</v>
      </c>
      <c r="D314" s="6" t="s">
        <v>7</v>
      </c>
      <c r="E314" s="6">
        <v>7</v>
      </c>
      <c r="F314" s="6">
        <v>110</v>
      </c>
    </row>
    <row r="315" spans="1:6" ht="15.75" customHeight="1" x14ac:dyDescent="0.35">
      <c r="A315" s="1">
        <v>314</v>
      </c>
      <c r="B315" s="4" t="s">
        <v>15</v>
      </c>
      <c r="C315" s="5">
        <v>44301</v>
      </c>
      <c r="D315" s="6" t="s">
        <v>8</v>
      </c>
      <c r="E315" s="6">
        <v>2</v>
      </c>
      <c r="F315" s="6">
        <v>99</v>
      </c>
    </row>
    <row r="316" spans="1:6" ht="15.75" customHeight="1" x14ac:dyDescent="0.35">
      <c r="A316" s="1">
        <v>315</v>
      </c>
      <c r="B316" s="4" t="s">
        <v>15</v>
      </c>
      <c r="C316" s="5">
        <v>44301</v>
      </c>
      <c r="D316" s="6" t="s">
        <v>9</v>
      </c>
      <c r="E316" s="6">
        <v>0</v>
      </c>
      <c r="F316" s="6">
        <v>100</v>
      </c>
    </row>
    <row r="317" spans="1:6" ht="15.75" customHeight="1" x14ac:dyDescent="0.35">
      <c r="A317" s="1">
        <v>316</v>
      </c>
      <c r="B317" s="4" t="s">
        <v>6</v>
      </c>
      <c r="C317" s="5">
        <v>44302</v>
      </c>
      <c r="D317" s="6" t="s">
        <v>7</v>
      </c>
      <c r="E317" s="6">
        <v>3</v>
      </c>
      <c r="F317" s="6">
        <v>115</v>
      </c>
    </row>
    <row r="318" spans="1:6" ht="15.75" customHeight="1" x14ac:dyDescent="0.35">
      <c r="A318" s="1">
        <v>317</v>
      </c>
      <c r="B318" s="4" t="s">
        <v>6</v>
      </c>
      <c r="C318" s="5">
        <v>44302</v>
      </c>
      <c r="D318" s="6" t="s">
        <v>8</v>
      </c>
      <c r="E318" s="6">
        <v>5</v>
      </c>
      <c r="F318" s="6">
        <v>98</v>
      </c>
    </row>
    <row r="319" spans="1:6" ht="15.75" customHeight="1" x14ac:dyDescent="0.35">
      <c r="A319" s="1">
        <v>318</v>
      </c>
      <c r="B319" s="4" t="s">
        <v>6</v>
      </c>
      <c r="C319" s="5">
        <v>44302</v>
      </c>
      <c r="D319" s="6" t="s">
        <v>9</v>
      </c>
      <c r="E319" s="6">
        <v>1</v>
      </c>
      <c r="F319" s="6">
        <v>100</v>
      </c>
    </row>
    <row r="320" spans="1:6" ht="15.75" customHeight="1" x14ac:dyDescent="0.35">
      <c r="A320" s="1">
        <v>319</v>
      </c>
      <c r="B320" s="4" t="s">
        <v>10</v>
      </c>
      <c r="C320" s="5">
        <v>44303</v>
      </c>
      <c r="D320" s="6" t="s">
        <v>7</v>
      </c>
      <c r="E320" s="6">
        <v>3</v>
      </c>
      <c r="F320" s="6">
        <v>104</v>
      </c>
    </row>
    <row r="321" spans="1:6" ht="15.75" customHeight="1" x14ac:dyDescent="0.35">
      <c r="A321" s="1">
        <v>320</v>
      </c>
      <c r="B321" s="4" t="s">
        <v>10</v>
      </c>
      <c r="C321" s="5">
        <v>44303</v>
      </c>
      <c r="D321" s="6" t="s">
        <v>8</v>
      </c>
      <c r="E321" s="6">
        <v>3</v>
      </c>
      <c r="F321" s="6">
        <v>104</v>
      </c>
    </row>
    <row r="322" spans="1:6" ht="15.75" customHeight="1" x14ac:dyDescent="0.35">
      <c r="A322" s="1">
        <v>321</v>
      </c>
      <c r="B322" s="4" t="s">
        <v>10</v>
      </c>
      <c r="C322" s="5">
        <v>44303</v>
      </c>
      <c r="D322" s="6" t="s">
        <v>9</v>
      </c>
      <c r="E322" s="6">
        <v>1</v>
      </c>
      <c r="F322" s="6">
        <v>104</v>
      </c>
    </row>
    <row r="323" spans="1:6" ht="15.75" customHeight="1" x14ac:dyDescent="0.35">
      <c r="A323" s="1">
        <v>322</v>
      </c>
      <c r="B323" s="4" t="s">
        <v>11</v>
      </c>
      <c r="C323" s="5">
        <v>44304</v>
      </c>
      <c r="D323" s="6" t="s">
        <v>7</v>
      </c>
      <c r="E323" s="6">
        <v>2</v>
      </c>
      <c r="F323" s="6">
        <v>102</v>
      </c>
    </row>
    <row r="324" spans="1:6" ht="15.75" customHeight="1" x14ac:dyDescent="0.35">
      <c r="A324" s="1">
        <v>323</v>
      </c>
      <c r="B324" s="4" t="s">
        <v>11</v>
      </c>
      <c r="C324" s="5">
        <v>44304</v>
      </c>
      <c r="D324" s="6" t="s">
        <v>8</v>
      </c>
      <c r="E324" s="6">
        <v>3</v>
      </c>
      <c r="F324" s="6">
        <v>110</v>
      </c>
    </row>
    <row r="325" spans="1:6" ht="15.75" customHeight="1" x14ac:dyDescent="0.35">
      <c r="A325" s="1">
        <v>324</v>
      </c>
      <c r="B325" s="4" t="s">
        <v>11</v>
      </c>
      <c r="C325" s="5">
        <v>44304</v>
      </c>
      <c r="D325" s="6" t="s">
        <v>9</v>
      </c>
      <c r="E325" s="6">
        <v>0</v>
      </c>
      <c r="F325" s="6">
        <v>101</v>
      </c>
    </row>
    <row r="326" spans="1:6" ht="15.75" customHeight="1" x14ac:dyDescent="0.35">
      <c r="A326" s="1">
        <v>325</v>
      </c>
      <c r="B326" s="4" t="s">
        <v>12</v>
      </c>
      <c r="C326" s="5">
        <v>44305</v>
      </c>
      <c r="D326" s="6" t="s">
        <v>7</v>
      </c>
      <c r="E326" s="6">
        <v>2</v>
      </c>
      <c r="F326" s="6">
        <v>110</v>
      </c>
    </row>
    <row r="327" spans="1:6" ht="15.75" customHeight="1" x14ac:dyDescent="0.35">
      <c r="A327" s="1">
        <v>326</v>
      </c>
      <c r="B327" s="4" t="s">
        <v>12</v>
      </c>
      <c r="C327" s="5">
        <v>44305</v>
      </c>
      <c r="D327" s="6" t="s">
        <v>8</v>
      </c>
      <c r="E327" s="6">
        <v>0</v>
      </c>
      <c r="F327" s="6">
        <v>104</v>
      </c>
    </row>
    <row r="328" spans="1:6" ht="15.75" customHeight="1" x14ac:dyDescent="0.35">
      <c r="A328" s="1">
        <v>327</v>
      </c>
      <c r="B328" s="4" t="s">
        <v>12</v>
      </c>
      <c r="C328" s="5">
        <v>44305</v>
      </c>
      <c r="D328" s="6" t="s">
        <v>9</v>
      </c>
      <c r="E328" s="6">
        <v>0</v>
      </c>
      <c r="F328" s="6">
        <v>102</v>
      </c>
    </row>
    <row r="329" spans="1:6" ht="15.75" customHeight="1" x14ac:dyDescent="0.35">
      <c r="A329" s="1">
        <v>328</v>
      </c>
      <c r="B329" s="4" t="s">
        <v>13</v>
      </c>
      <c r="C329" s="5">
        <v>44306</v>
      </c>
      <c r="D329" s="6" t="s">
        <v>7</v>
      </c>
      <c r="E329" s="6">
        <v>1</v>
      </c>
      <c r="F329" s="6">
        <v>95</v>
      </c>
    </row>
    <row r="330" spans="1:6" ht="15.75" customHeight="1" x14ac:dyDescent="0.35">
      <c r="A330" s="1">
        <v>329</v>
      </c>
      <c r="B330" s="4" t="s">
        <v>13</v>
      </c>
      <c r="C330" s="5">
        <v>44306</v>
      </c>
      <c r="D330" s="6" t="s">
        <v>8</v>
      </c>
      <c r="E330" s="6">
        <v>0</v>
      </c>
      <c r="F330" s="6">
        <v>101</v>
      </c>
    </row>
    <row r="331" spans="1:6" ht="15.75" customHeight="1" x14ac:dyDescent="0.35">
      <c r="A331" s="1">
        <v>330</v>
      </c>
      <c r="B331" s="4" t="s">
        <v>13</v>
      </c>
      <c r="C331" s="5">
        <v>44306</v>
      </c>
      <c r="D331" s="6" t="s">
        <v>9</v>
      </c>
      <c r="E331" s="6">
        <v>1</v>
      </c>
      <c r="F331" s="6">
        <v>104</v>
      </c>
    </row>
    <row r="332" spans="1:6" ht="15.75" customHeight="1" x14ac:dyDescent="0.35">
      <c r="A332" s="1">
        <v>331</v>
      </c>
      <c r="B332" s="4" t="s">
        <v>14</v>
      </c>
      <c r="C332" s="5">
        <v>44307</v>
      </c>
      <c r="D332" s="6" t="s">
        <v>7</v>
      </c>
      <c r="E332" s="6">
        <v>0</v>
      </c>
      <c r="F332" s="6">
        <v>106</v>
      </c>
    </row>
    <row r="333" spans="1:6" ht="15.75" customHeight="1" x14ac:dyDescent="0.35">
      <c r="A333" s="1">
        <v>332</v>
      </c>
      <c r="B333" s="4" t="s">
        <v>14</v>
      </c>
      <c r="C333" s="5">
        <v>44307</v>
      </c>
      <c r="D333" s="6" t="s">
        <v>8</v>
      </c>
      <c r="E333" s="6">
        <v>5</v>
      </c>
      <c r="F333" s="6">
        <v>94</v>
      </c>
    </row>
    <row r="334" spans="1:6" ht="15.75" customHeight="1" x14ac:dyDescent="0.35">
      <c r="A334" s="1">
        <v>333</v>
      </c>
      <c r="B334" s="4" t="s">
        <v>14</v>
      </c>
      <c r="C334" s="5">
        <v>44307</v>
      </c>
      <c r="D334" s="6" t="s">
        <v>9</v>
      </c>
      <c r="E334" s="6">
        <v>3</v>
      </c>
      <c r="F334" s="6">
        <v>99</v>
      </c>
    </row>
    <row r="335" spans="1:6" ht="15.75" customHeight="1" x14ac:dyDescent="0.35">
      <c r="A335" s="1">
        <v>334</v>
      </c>
      <c r="B335" s="4" t="s">
        <v>15</v>
      </c>
      <c r="C335" s="5">
        <v>44308</v>
      </c>
      <c r="D335" s="6" t="s">
        <v>7</v>
      </c>
      <c r="E335" s="6">
        <v>5</v>
      </c>
      <c r="F335" s="6">
        <v>101</v>
      </c>
    </row>
    <row r="336" spans="1:6" ht="15.75" customHeight="1" x14ac:dyDescent="0.35">
      <c r="A336" s="1">
        <v>335</v>
      </c>
      <c r="B336" s="4" t="s">
        <v>15</v>
      </c>
      <c r="C336" s="5">
        <v>44308</v>
      </c>
      <c r="D336" s="6" t="s">
        <v>8</v>
      </c>
      <c r="E336" s="6">
        <v>2</v>
      </c>
      <c r="F336" s="6">
        <v>105</v>
      </c>
    </row>
    <row r="337" spans="1:6" ht="15.75" customHeight="1" x14ac:dyDescent="0.35">
      <c r="A337" s="1">
        <v>336</v>
      </c>
      <c r="B337" s="4" t="s">
        <v>15</v>
      </c>
      <c r="C337" s="5">
        <v>44308</v>
      </c>
      <c r="D337" s="6" t="s">
        <v>9</v>
      </c>
      <c r="E337" s="6">
        <v>0</v>
      </c>
      <c r="F337" s="6">
        <v>101</v>
      </c>
    </row>
    <row r="338" spans="1:6" ht="15.75" customHeight="1" x14ac:dyDescent="0.35">
      <c r="A338" s="1">
        <v>337</v>
      </c>
      <c r="B338" s="4" t="s">
        <v>6</v>
      </c>
      <c r="C338" s="5">
        <v>44309</v>
      </c>
      <c r="D338" s="6" t="s">
        <v>7</v>
      </c>
      <c r="E338" s="6">
        <v>4</v>
      </c>
      <c r="F338" s="6">
        <v>101</v>
      </c>
    </row>
    <row r="339" spans="1:6" ht="15.75" customHeight="1" x14ac:dyDescent="0.35">
      <c r="A339" s="1">
        <v>338</v>
      </c>
      <c r="B339" s="4" t="s">
        <v>6</v>
      </c>
      <c r="C339" s="5">
        <v>44309</v>
      </c>
      <c r="D339" s="6" t="s">
        <v>8</v>
      </c>
      <c r="E339" s="6">
        <v>1</v>
      </c>
      <c r="F339" s="6">
        <v>109</v>
      </c>
    </row>
    <row r="340" spans="1:6" ht="15.75" customHeight="1" x14ac:dyDescent="0.35">
      <c r="A340" s="1">
        <v>339</v>
      </c>
      <c r="B340" s="4" t="s">
        <v>6</v>
      </c>
      <c r="C340" s="5">
        <v>44309</v>
      </c>
      <c r="D340" s="6" t="s">
        <v>9</v>
      </c>
      <c r="E340" s="6">
        <v>1</v>
      </c>
      <c r="F340" s="6">
        <v>107</v>
      </c>
    </row>
    <row r="341" spans="1:6" ht="15.75" customHeight="1" x14ac:dyDescent="0.35">
      <c r="A341" s="1">
        <v>340</v>
      </c>
      <c r="B341" s="4" t="s">
        <v>10</v>
      </c>
      <c r="C341" s="5">
        <v>44310</v>
      </c>
      <c r="D341" s="6" t="s">
        <v>7</v>
      </c>
      <c r="E341" s="6">
        <v>3</v>
      </c>
      <c r="F341" s="6">
        <v>114</v>
      </c>
    </row>
    <row r="342" spans="1:6" ht="15.75" customHeight="1" x14ac:dyDescent="0.35">
      <c r="A342" s="1">
        <v>341</v>
      </c>
      <c r="B342" s="4" t="s">
        <v>10</v>
      </c>
      <c r="C342" s="5">
        <v>44310</v>
      </c>
      <c r="D342" s="6" t="s">
        <v>8</v>
      </c>
      <c r="E342" s="6">
        <v>2</v>
      </c>
      <c r="F342" s="6">
        <v>104</v>
      </c>
    </row>
    <row r="343" spans="1:6" ht="15.75" customHeight="1" x14ac:dyDescent="0.35">
      <c r="A343" s="1">
        <v>342</v>
      </c>
      <c r="B343" s="4" t="s">
        <v>10</v>
      </c>
      <c r="C343" s="5">
        <v>44310</v>
      </c>
      <c r="D343" s="6" t="s">
        <v>9</v>
      </c>
      <c r="E343" s="6">
        <v>1</v>
      </c>
      <c r="F343" s="6">
        <v>111</v>
      </c>
    </row>
    <row r="344" spans="1:6" ht="15.75" customHeight="1" x14ac:dyDescent="0.35">
      <c r="A344" s="1">
        <v>343</v>
      </c>
      <c r="B344" s="4" t="s">
        <v>11</v>
      </c>
      <c r="C344" s="5">
        <v>44311</v>
      </c>
      <c r="D344" s="6" t="s">
        <v>7</v>
      </c>
      <c r="E344" s="6">
        <v>2</v>
      </c>
      <c r="F344" s="6">
        <v>110</v>
      </c>
    </row>
    <row r="345" spans="1:6" ht="15.75" customHeight="1" x14ac:dyDescent="0.35">
      <c r="A345" s="1">
        <v>344</v>
      </c>
      <c r="B345" s="4" t="s">
        <v>11</v>
      </c>
      <c r="C345" s="5">
        <v>44311</v>
      </c>
      <c r="D345" s="6" t="s">
        <v>8</v>
      </c>
      <c r="E345" s="6">
        <v>2</v>
      </c>
      <c r="F345" s="6">
        <v>104</v>
      </c>
    </row>
    <row r="346" spans="1:6" ht="15.75" customHeight="1" x14ac:dyDescent="0.35">
      <c r="A346" s="1">
        <v>345</v>
      </c>
      <c r="B346" s="4" t="s">
        <v>11</v>
      </c>
      <c r="C346" s="5">
        <v>44311</v>
      </c>
      <c r="D346" s="6" t="s">
        <v>9</v>
      </c>
      <c r="E346" s="6">
        <v>0</v>
      </c>
      <c r="F346" s="6">
        <v>116</v>
      </c>
    </row>
    <row r="347" spans="1:6" ht="15.75" customHeight="1" x14ac:dyDescent="0.35">
      <c r="A347" s="1">
        <v>346</v>
      </c>
      <c r="B347" s="4" t="s">
        <v>12</v>
      </c>
      <c r="C347" s="5">
        <v>44312</v>
      </c>
      <c r="D347" s="6" t="s">
        <v>7</v>
      </c>
      <c r="E347" s="6">
        <v>3</v>
      </c>
      <c r="F347" s="6">
        <v>99</v>
      </c>
    </row>
    <row r="348" spans="1:6" ht="15.75" customHeight="1" x14ac:dyDescent="0.35">
      <c r="A348" s="1">
        <v>347</v>
      </c>
      <c r="B348" s="4" t="s">
        <v>12</v>
      </c>
      <c r="C348" s="5">
        <v>44312</v>
      </c>
      <c r="D348" s="6" t="s">
        <v>8</v>
      </c>
      <c r="E348" s="6">
        <v>1</v>
      </c>
      <c r="F348" s="6">
        <v>104</v>
      </c>
    </row>
    <row r="349" spans="1:6" ht="15.75" customHeight="1" x14ac:dyDescent="0.35">
      <c r="A349" s="1">
        <v>348</v>
      </c>
      <c r="B349" s="4" t="s">
        <v>12</v>
      </c>
      <c r="C349" s="5">
        <v>44312</v>
      </c>
      <c r="D349" s="6" t="s">
        <v>9</v>
      </c>
      <c r="E349" s="6">
        <v>1</v>
      </c>
      <c r="F349" s="6">
        <v>104</v>
      </c>
    </row>
    <row r="350" spans="1:6" ht="15.75" customHeight="1" x14ac:dyDescent="0.35">
      <c r="A350" s="1">
        <v>349</v>
      </c>
      <c r="B350" s="4" t="s">
        <v>13</v>
      </c>
      <c r="C350" s="5">
        <v>44313</v>
      </c>
      <c r="D350" s="6" t="s">
        <v>7</v>
      </c>
      <c r="E350" s="6">
        <v>4</v>
      </c>
      <c r="F350" s="6">
        <v>100</v>
      </c>
    </row>
    <row r="351" spans="1:6" ht="15.75" customHeight="1" x14ac:dyDescent="0.35">
      <c r="A351" s="1">
        <v>350</v>
      </c>
      <c r="B351" s="4" t="s">
        <v>13</v>
      </c>
      <c r="C351" s="5">
        <v>44313</v>
      </c>
      <c r="D351" s="6" t="s">
        <v>8</v>
      </c>
      <c r="E351" s="6">
        <v>1</v>
      </c>
      <c r="F351" s="6">
        <v>95</v>
      </c>
    </row>
    <row r="352" spans="1:6" ht="15.75" customHeight="1" x14ac:dyDescent="0.35">
      <c r="A352" s="1">
        <v>351</v>
      </c>
      <c r="B352" s="4" t="s">
        <v>13</v>
      </c>
      <c r="C352" s="5">
        <v>44313</v>
      </c>
      <c r="D352" s="6" t="s">
        <v>9</v>
      </c>
      <c r="E352" s="6">
        <v>2</v>
      </c>
      <c r="F352" s="6">
        <v>106</v>
      </c>
    </row>
    <row r="353" spans="1:6" ht="15.75" customHeight="1" x14ac:dyDescent="0.35">
      <c r="A353" s="1">
        <v>352</v>
      </c>
      <c r="B353" s="4" t="s">
        <v>14</v>
      </c>
      <c r="C353" s="5">
        <v>44314</v>
      </c>
      <c r="D353" s="6" t="s">
        <v>7</v>
      </c>
      <c r="E353" s="6">
        <v>3</v>
      </c>
      <c r="F353" s="6">
        <v>107</v>
      </c>
    </row>
    <row r="354" spans="1:6" ht="15.75" customHeight="1" x14ac:dyDescent="0.35">
      <c r="A354" s="1">
        <v>353</v>
      </c>
      <c r="B354" s="4" t="s">
        <v>14</v>
      </c>
      <c r="C354" s="5">
        <v>44314</v>
      </c>
      <c r="D354" s="6" t="s">
        <v>8</v>
      </c>
      <c r="E354" s="6">
        <v>1</v>
      </c>
      <c r="F354" s="6">
        <v>95</v>
      </c>
    </row>
    <row r="355" spans="1:6" ht="15.75" customHeight="1" x14ac:dyDescent="0.35">
      <c r="A355" s="1">
        <v>354</v>
      </c>
      <c r="B355" s="4" t="s">
        <v>14</v>
      </c>
      <c r="C355" s="5">
        <v>44314</v>
      </c>
      <c r="D355" s="6" t="s">
        <v>9</v>
      </c>
      <c r="E355" s="6">
        <v>1</v>
      </c>
      <c r="F355" s="6">
        <v>104</v>
      </c>
    </row>
    <row r="356" spans="1:6" ht="15.75" customHeight="1" x14ac:dyDescent="0.35">
      <c r="A356" s="1">
        <v>355</v>
      </c>
      <c r="B356" s="4" t="s">
        <v>15</v>
      </c>
      <c r="C356" s="5">
        <v>44315</v>
      </c>
      <c r="D356" s="6" t="s">
        <v>7</v>
      </c>
      <c r="E356" s="6">
        <v>4</v>
      </c>
      <c r="F356" s="6">
        <v>84</v>
      </c>
    </row>
    <row r="357" spans="1:6" ht="15.75" customHeight="1" x14ac:dyDescent="0.35">
      <c r="A357" s="1">
        <v>356</v>
      </c>
      <c r="B357" s="4" t="s">
        <v>15</v>
      </c>
      <c r="C357" s="5">
        <v>44315</v>
      </c>
      <c r="D357" s="6" t="s">
        <v>8</v>
      </c>
      <c r="E357" s="6">
        <v>3</v>
      </c>
      <c r="F357" s="6">
        <v>101</v>
      </c>
    </row>
    <row r="358" spans="1:6" ht="15.75" customHeight="1" x14ac:dyDescent="0.35">
      <c r="A358" s="1">
        <v>357</v>
      </c>
      <c r="B358" s="4" t="s">
        <v>15</v>
      </c>
      <c r="C358" s="5">
        <v>44315</v>
      </c>
      <c r="D358" s="6" t="s">
        <v>9</v>
      </c>
      <c r="E358" s="6">
        <v>1</v>
      </c>
      <c r="F358" s="6">
        <v>108</v>
      </c>
    </row>
    <row r="359" spans="1:6" ht="15.75" customHeight="1" x14ac:dyDescent="0.35">
      <c r="A359" s="1">
        <v>358</v>
      </c>
      <c r="B359" s="4" t="s">
        <v>6</v>
      </c>
      <c r="C359" s="5">
        <v>44316</v>
      </c>
      <c r="D359" s="6" t="s">
        <v>7</v>
      </c>
      <c r="E359" s="6">
        <v>2</v>
      </c>
      <c r="F359" s="6">
        <v>115</v>
      </c>
    </row>
    <row r="360" spans="1:6" ht="15.75" customHeight="1" x14ac:dyDescent="0.35">
      <c r="A360" s="1">
        <v>359</v>
      </c>
      <c r="B360" s="4" t="s">
        <v>6</v>
      </c>
      <c r="C360" s="5">
        <v>44316</v>
      </c>
      <c r="D360" s="6" t="s">
        <v>8</v>
      </c>
      <c r="E360" s="6">
        <v>3</v>
      </c>
      <c r="F360" s="6">
        <v>116</v>
      </c>
    </row>
    <row r="361" spans="1:6" ht="15.75" customHeight="1" x14ac:dyDescent="0.35">
      <c r="A361" s="1">
        <v>360</v>
      </c>
      <c r="B361" s="4" t="s">
        <v>6</v>
      </c>
      <c r="C361" s="5">
        <v>44316</v>
      </c>
      <c r="D361" s="6" t="s">
        <v>9</v>
      </c>
      <c r="E361" s="6">
        <v>2</v>
      </c>
      <c r="F361" s="6">
        <v>109</v>
      </c>
    </row>
    <row r="362" spans="1:6" ht="15.75" customHeight="1" x14ac:dyDescent="0.35">
      <c r="A362" s="1">
        <v>361</v>
      </c>
      <c r="B362" s="4" t="s">
        <v>10</v>
      </c>
      <c r="C362" s="5">
        <v>44317</v>
      </c>
      <c r="D362" s="6" t="s">
        <v>7</v>
      </c>
      <c r="E362" s="6">
        <v>7</v>
      </c>
      <c r="F362" s="6">
        <v>99</v>
      </c>
    </row>
    <row r="363" spans="1:6" ht="15.75" customHeight="1" x14ac:dyDescent="0.35">
      <c r="A363" s="1">
        <v>362</v>
      </c>
      <c r="B363" s="4" t="s">
        <v>10</v>
      </c>
      <c r="C363" s="5">
        <v>44317</v>
      </c>
      <c r="D363" s="6" t="s">
        <v>8</v>
      </c>
      <c r="E363" s="6">
        <v>1</v>
      </c>
      <c r="F363" s="6">
        <v>96</v>
      </c>
    </row>
    <row r="364" spans="1:6" ht="15.75" customHeight="1" x14ac:dyDescent="0.35">
      <c r="A364" s="1">
        <v>363</v>
      </c>
      <c r="B364" s="4" t="s">
        <v>10</v>
      </c>
      <c r="C364" s="5">
        <v>44317</v>
      </c>
      <c r="D364" s="6" t="s">
        <v>9</v>
      </c>
      <c r="E364" s="6">
        <v>1</v>
      </c>
      <c r="F364" s="6">
        <v>101</v>
      </c>
    </row>
    <row r="365" spans="1:6" ht="15.75" customHeight="1" x14ac:dyDescent="0.35">
      <c r="A365" s="1">
        <v>364</v>
      </c>
      <c r="B365" s="4" t="s">
        <v>11</v>
      </c>
      <c r="C365" s="5">
        <v>44318</v>
      </c>
      <c r="D365" s="6" t="s">
        <v>7</v>
      </c>
      <c r="E365" s="6">
        <v>2</v>
      </c>
      <c r="F365" s="6">
        <v>96</v>
      </c>
    </row>
    <row r="366" spans="1:6" ht="15.75" customHeight="1" x14ac:dyDescent="0.35">
      <c r="A366" s="1">
        <v>365</v>
      </c>
      <c r="B366" s="4" t="s">
        <v>11</v>
      </c>
      <c r="C366" s="5">
        <v>44318</v>
      </c>
      <c r="D366" s="6" t="s">
        <v>8</v>
      </c>
      <c r="E366" s="6">
        <v>2</v>
      </c>
      <c r="F366" s="6">
        <v>93</v>
      </c>
    </row>
    <row r="367" spans="1:6" ht="15.75" customHeight="1" x14ac:dyDescent="0.35">
      <c r="A367" s="1">
        <v>366</v>
      </c>
      <c r="B367" s="4" t="s">
        <v>11</v>
      </c>
      <c r="C367" s="5">
        <v>44318</v>
      </c>
      <c r="D367" s="6" t="s">
        <v>9</v>
      </c>
      <c r="E367" s="6">
        <v>2</v>
      </c>
      <c r="F367" s="6">
        <v>97</v>
      </c>
    </row>
    <row r="368" spans="1:6" ht="15.75" customHeight="1" x14ac:dyDescent="0.35">
      <c r="A368" s="1">
        <v>367</v>
      </c>
      <c r="B368" s="4" t="s">
        <v>12</v>
      </c>
      <c r="C368" s="5">
        <v>44319</v>
      </c>
      <c r="D368" s="6" t="s">
        <v>7</v>
      </c>
      <c r="E368" s="6">
        <v>4</v>
      </c>
      <c r="F368" s="6">
        <v>98</v>
      </c>
    </row>
    <row r="369" spans="1:6" ht="15.75" customHeight="1" x14ac:dyDescent="0.35">
      <c r="A369" s="1">
        <v>368</v>
      </c>
      <c r="B369" s="4" t="s">
        <v>12</v>
      </c>
      <c r="C369" s="5">
        <v>44319</v>
      </c>
      <c r="D369" s="6" t="s">
        <v>8</v>
      </c>
      <c r="E369" s="6">
        <v>6</v>
      </c>
      <c r="F369" s="6">
        <v>101</v>
      </c>
    </row>
    <row r="370" spans="1:6" ht="15.75" customHeight="1" x14ac:dyDescent="0.35">
      <c r="A370" s="1">
        <v>369</v>
      </c>
      <c r="B370" s="4" t="s">
        <v>12</v>
      </c>
      <c r="C370" s="5">
        <v>44319</v>
      </c>
      <c r="D370" s="6" t="s">
        <v>9</v>
      </c>
      <c r="E370" s="6">
        <v>1</v>
      </c>
      <c r="F370" s="6">
        <v>106</v>
      </c>
    </row>
    <row r="371" spans="1:6" ht="15.75" customHeight="1" x14ac:dyDescent="0.35">
      <c r="A371" s="1">
        <v>370</v>
      </c>
      <c r="B371" s="4" t="s">
        <v>13</v>
      </c>
      <c r="C371" s="5">
        <v>44320</v>
      </c>
      <c r="D371" s="6" t="s">
        <v>7</v>
      </c>
      <c r="E371" s="6">
        <v>7</v>
      </c>
      <c r="F371" s="6">
        <v>106</v>
      </c>
    </row>
    <row r="372" spans="1:6" ht="15.75" customHeight="1" x14ac:dyDescent="0.35">
      <c r="A372" s="1">
        <v>371</v>
      </c>
      <c r="B372" s="4" t="s">
        <v>13</v>
      </c>
      <c r="C372" s="5">
        <v>44320</v>
      </c>
      <c r="D372" s="6" t="s">
        <v>8</v>
      </c>
      <c r="E372" s="6">
        <v>1</v>
      </c>
      <c r="F372" s="6">
        <v>97</v>
      </c>
    </row>
    <row r="373" spans="1:6" ht="15.75" customHeight="1" x14ac:dyDescent="0.35">
      <c r="A373" s="1">
        <v>372</v>
      </c>
      <c r="B373" s="4" t="s">
        <v>13</v>
      </c>
      <c r="C373" s="5">
        <v>44320</v>
      </c>
      <c r="D373" s="6" t="s">
        <v>9</v>
      </c>
      <c r="E373" s="6">
        <v>1</v>
      </c>
      <c r="F373" s="6">
        <v>107</v>
      </c>
    </row>
    <row r="374" spans="1:6" ht="15.75" customHeight="1" x14ac:dyDescent="0.35">
      <c r="A374" s="1">
        <v>373</v>
      </c>
      <c r="B374" s="4" t="s">
        <v>14</v>
      </c>
      <c r="C374" s="5">
        <v>44321</v>
      </c>
      <c r="D374" s="6" t="s">
        <v>7</v>
      </c>
      <c r="E374" s="6">
        <v>8</v>
      </c>
      <c r="F374" s="6">
        <v>95</v>
      </c>
    </row>
    <row r="375" spans="1:6" ht="15.75" customHeight="1" x14ac:dyDescent="0.35">
      <c r="A375" s="1">
        <v>374</v>
      </c>
      <c r="B375" s="4" t="s">
        <v>14</v>
      </c>
      <c r="C375" s="5">
        <v>44321</v>
      </c>
      <c r="D375" s="6" t="s">
        <v>8</v>
      </c>
      <c r="E375" s="6">
        <v>4</v>
      </c>
      <c r="F375" s="6">
        <v>97</v>
      </c>
    </row>
    <row r="376" spans="1:6" ht="15.75" customHeight="1" x14ac:dyDescent="0.35">
      <c r="A376" s="1">
        <v>375</v>
      </c>
      <c r="B376" s="4" t="s">
        <v>14</v>
      </c>
      <c r="C376" s="5">
        <v>44321</v>
      </c>
      <c r="D376" s="6" t="s">
        <v>9</v>
      </c>
      <c r="E376" s="6">
        <v>4</v>
      </c>
      <c r="F376" s="6">
        <v>108</v>
      </c>
    </row>
    <row r="377" spans="1:6" ht="15.75" customHeight="1" x14ac:dyDescent="0.35">
      <c r="A377" s="1">
        <v>376</v>
      </c>
      <c r="B377" s="4" t="s">
        <v>15</v>
      </c>
      <c r="C377" s="5">
        <v>44322</v>
      </c>
      <c r="D377" s="6" t="s">
        <v>7</v>
      </c>
      <c r="E377" s="6">
        <v>3</v>
      </c>
      <c r="F377" s="6">
        <v>100</v>
      </c>
    </row>
    <row r="378" spans="1:6" ht="15.75" customHeight="1" x14ac:dyDescent="0.35">
      <c r="A378" s="1">
        <v>377</v>
      </c>
      <c r="B378" s="4" t="s">
        <v>15</v>
      </c>
      <c r="C378" s="5">
        <v>44322</v>
      </c>
      <c r="D378" s="6" t="s">
        <v>8</v>
      </c>
      <c r="E378" s="6">
        <v>4</v>
      </c>
      <c r="F378" s="6">
        <v>103</v>
      </c>
    </row>
    <row r="379" spans="1:6" ht="15.75" customHeight="1" x14ac:dyDescent="0.35">
      <c r="A379" s="1">
        <v>378</v>
      </c>
      <c r="B379" s="4" t="s">
        <v>15</v>
      </c>
      <c r="C379" s="5">
        <v>44322</v>
      </c>
      <c r="D379" s="6" t="s">
        <v>9</v>
      </c>
      <c r="E379" s="6">
        <v>0</v>
      </c>
      <c r="F379" s="6">
        <v>109</v>
      </c>
    </row>
    <row r="380" spans="1:6" ht="15.75" customHeight="1" x14ac:dyDescent="0.35">
      <c r="A380" s="1">
        <v>379</v>
      </c>
      <c r="B380" s="4" t="s">
        <v>6</v>
      </c>
      <c r="C380" s="5">
        <v>44323</v>
      </c>
      <c r="D380" s="6" t="s">
        <v>7</v>
      </c>
      <c r="E380" s="6">
        <v>4</v>
      </c>
      <c r="F380" s="6">
        <v>108</v>
      </c>
    </row>
    <row r="381" spans="1:6" ht="15.75" customHeight="1" x14ac:dyDescent="0.35">
      <c r="A381" s="1">
        <v>380</v>
      </c>
      <c r="B381" s="4" t="s">
        <v>6</v>
      </c>
      <c r="C381" s="5">
        <v>44323</v>
      </c>
      <c r="D381" s="6" t="s">
        <v>8</v>
      </c>
      <c r="E381" s="6">
        <v>3</v>
      </c>
      <c r="F381" s="6">
        <v>98</v>
      </c>
    </row>
    <row r="382" spans="1:6" ht="15.75" customHeight="1" x14ac:dyDescent="0.35">
      <c r="A382" s="1">
        <v>381</v>
      </c>
      <c r="B382" s="4" t="s">
        <v>6</v>
      </c>
      <c r="C382" s="5">
        <v>44323</v>
      </c>
      <c r="D382" s="6" t="s">
        <v>9</v>
      </c>
      <c r="E382" s="6">
        <v>1</v>
      </c>
      <c r="F382" s="6">
        <v>106</v>
      </c>
    </row>
    <row r="383" spans="1:6" ht="15.75" customHeight="1" x14ac:dyDescent="0.35">
      <c r="A383" s="1">
        <v>382</v>
      </c>
      <c r="B383" s="4" t="s">
        <v>10</v>
      </c>
      <c r="C383" s="5">
        <v>44324</v>
      </c>
      <c r="D383" s="6" t="s">
        <v>7</v>
      </c>
      <c r="E383" s="6">
        <v>4</v>
      </c>
      <c r="F383" s="6">
        <v>100</v>
      </c>
    </row>
    <row r="384" spans="1:6" ht="15.75" customHeight="1" x14ac:dyDescent="0.35">
      <c r="A384" s="1">
        <v>383</v>
      </c>
      <c r="B384" s="4" t="s">
        <v>10</v>
      </c>
      <c r="C384" s="5">
        <v>44324</v>
      </c>
      <c r="D384" s="6" t="s">
        <v>8</v>
      </c>
      <c r="E384" s="6">
        <v>5</v>
      </c>
      <c r="F384" s="6">
        <v>103</v>
      </c>
    </row>
    <row r="385" spans="1:6" ht="15.75" customHeight="1" x14ac:dyDescent="0.35">
      <c r="A385" s="1">
        <v>384</v>
      </c>
      <c r="B385" s="4" t="s">
        <v>10</v>
      </c>
      <c r="C385" s="5">
        <v>44324</v>
      </c>
      <c r="D385" s="6" t="s">
        <v>9</v>
      </c>
      <c r="E385" s="6">
        <v>2</v>
      </c>
      <c r="F385" s="6">
        <v>105</v>
      </c>
    </row>
    <row r="386" spans="1:6" ht="15.75" customHeight="1" x14ac:dyDescent="0.35">
      <c r="A386" s="1">
        <v>385</v>
      </c>
      <c r="B386" s="4" t="s">
        <v>11</v>
      </c>
      <c r="C386" s="5">
        <v>44325</v>
      </c>
      <c r="D386" s="6" t="s">
        <v>7</v>
      </c>
      <c r="E386" s="6">
        <v>4</v>
      </c>
      <c r="F386" s="6">
        <v>106</v>
      </c>
    </row>
    <row r="387" spans="1:6" ht="15.75" customHeight="1" x14ac:dyDescent="0.35">
      <c r="A387" s="1">
        <v>386</v>
      </c>
      <c r="B387" s="4" t="s">
        <v>11</v>
      </c>
      <c r="C387" s="5">
        <v>44325</v>
      </c>
      <c r="D387" s="6" t="s">
        <v>8</v>
      </c>
      <c r="E387" s="6">
        <v>2</v>
      </c>
      <c r="F387" s="6">
        <v>114</v>
      </c>
    </row>
    <row r="388" spans="1:6" ht="15.75" customHeight="1" x14ac:dyDescent="0.35">
      <c r="A388" s="1">
        <v>387</v>
      </c>
      <c r="B388" s="4" t="s">
        <v>11</v>
      </c>
      <c r="C388" s="5">
        <v>44325</v>
      </c>
      <c r="D388" s="6" t="s">
        <v>9</v>
      </c>
      <c r="E388" s="6">
        <v>1</v>
      </c>
      <c r="F388" s="6">
        <v>109</v>
      </c>
    </row>
    <row r="389" spans="1:6" ht="15.75" customHeight="1" x14ac:dyDescent="0.35">
      <c r="A389" s="1">
        <v>388</v>
      </c>
      <c r="B389" s="4" t="s">
        <v>12</v>
      </c>
      <c r="C389" s="5">
        <v>44326</v>
      </c>
      <c r="D389" s="6" t="s">
        <v>7</v>
      </c>
      <c r="E389" s="6">
        <v>4</v>
      </c>
      <c r="F389" s="6">
        <v>102</v>
      </c>
    </row>
    <row r="390" spans="1:6" ht="15.75" customHeight="1" x14ac:dyDescent="0.35">
      <c r="A390" s="1">
        <v>389</v>
      </c>
      <c r="B390" s="4" t="s">
        <v>12</v>
      </c>
      <c r="C390" s="5">
        <v>44326</v>
      </c>
      <c r="D390" s="6" t="s">
        <v>8</v>
      </c>
      <c r="E390" s="6">
        <v>3</v>
      </c>
      <c r="F390" s="6">
        <v>109</v>
      </c>
    </row>
    <row r="391" spans="1:6" ht="15.75" customHeight="1" x14ac:dyDescent="0.35">
      <c r="A391" s="1">
        <v>390</v>
      </c>
      <c r="B391" s="4" t="s">
        <v>12</v>
      </c>
      <c r="C391" s="5">
        <v>44326</v>
      </c>
      <c r="D391" s="6" t="s">
        <v>9</v>
      </c>
      <c r="E391" s="6">
        <v>1</v>
      </c>
      <c r="F391" s="6">
        <v>103</v>
      </c>
    </row>
    <row r="392" spans="1:6" ht="15.75" customHeight="1" x14ac:dyDescent="0.35">
      <c r="A392" s="1">
        <v>391</v>
      </c>
      <c r="B392" s="4" t="s">
        <v>13</v>
      </c>
      <c r="C392" s="5">
        <v>44327</v>
      </c>
      <c r="D392" s="6" t="s">
        <v>7</v>
      </c>
      <c r="E392" s="6">
        <v>2</v>
      </c>
      <c r="F392" s="6">
        <v>85</v>
      </c>
    </row>
    <row r="393" spans="1:6" ht="15.75" customHeight="1" x14ac:dyDescent="0.35">
      <c r="A393" s="1">
        <v>392</v>
      </c>
      <c r="B393" s="4" t="s">
        <v>13</v>
      </c>
      <c r="C393" s="5">
        <v>44327</v>
      </c>
      <c r="D393" s="6" t="s">
        <v>8</v>
      </c>
      <c r="E393" s="6">
        <v>7</v>
      </c>
      <c r="F393" s="6">
        <v>94</v>
      </c>
    </row>
    <row r="394" spans="1:6" ht="15.75" customHeight="1" x14ac:dyDescent="0.35">
      <c r="A394" s="1">
        <v>393</v>
      </c>
      <c r="B394" s="4" t="s">
        <v>13</v>
      </c>
      <c r="C394" s="5">
        <v>44327</v>
      </c>
      <c r="D394" s="6" t="s">
        <v>9</v>
      </c>
      <c r="E394" s="6">
        <v>2</v>
      </c>
      <c r="F394" s="6">
        <v>103</v>
      </c>
    </row>
    <row r="395" spans="1:6" ht="15.75" customHeight="1" x14ac:dyDescent="0.35">
      <c r="A395" s="1">
        <v>394</v>
      </c>
      <c r="B395" s="4" t="s">
        <v>14</v>
      </c>
      <c r="C395" s="5">
        <v>44328</v>
      </c>
      <c r="D395" s="6" t="s">
        <v>7</v>
      </c>
      <c r="E395" s="6">
        <v>5</v>
      </c>
      <c r="F395" s="6">
        <v>93</v>
      </c>
    </row>
    <row r="396" spans="1:6" ht="15.75" customHeight="1" x14ac:dyDescent="0.35">
      <c r="A396" s="1">
        <v>395</v>
      </c>
      <c r="B396" s="4" t="s">
        <v>14</v>
      </c>
      <c r="C396" s="5">
        <v>44328</v>
      </c>
      <c r="D396" s="6" t="s">
        <v>8</v>
      </c>
      <c r="E396" s="6">
        <v>3</v>
      </c>
      <c r="F396" s="6">
        <v>108</v>
      </c>
    </row>
    <row r="397" spans="1:6" ht="15.75" customHeight="1" x14ac:dyDescent="0.35">
      <c r="A397" s="1">
        <v>396</v>
      </c>
      <c r="B397" s="4" t="s">
        <v>14</v>
      </c>
      <c r="C397" s="5">
        <v>44328</v>
      </c>
      <c r="D397" s="6" t="s">
        <v>9</v>
      </c>
      <c r="E397" s="6">
        <v>1</v>
      </c>
      <c r="F397" s="6">
        <v>102</v>
      </c>
    </row>
    <row r="398" spans="1:6" ht="15.75" customHeight="1" x14ac:dyDescent="0.35">
      <c r="A398" s="1">
        <v>397</v>
      </c>
      <c r="B398" s="4" t="s">
        <v>15</v>
      </c>
      <c r="C398" s="5">
        <v>44329</v>
      </c>
      <c r="D398" s="6" t="s">
        <v>7</v>
      </c>
      <c r="E398" s="6">
        <v>0</v>
      </c>
      <c r="F398" s="6">
        <v>93</v>
      </c>
    </row>
    <row r="399" spans="1:6" ht="15.75" customHeight="1" x14ac:dyDescent="0.35">
      <c r="A399" s="1">
        <v>398</v>
      </c>
      <c r="B399" s="4" t="s">
        <v>15</v>
      </c>
      <c r="C399" s="5">
        <v>44329</v>
      </c>
      <c r="D399" s="6" t="s">
        <v>8</v>
      </c>
      <c r="E399" s="6">
        <v>3</v>
      </c>
      <c r="F399" s="6">
        <v>100</v>
      </c>
    </row>
    <row r="400" spans="1:6" ht="15.75" customHeight="1" x14ac:dyDescent="0.35">
      <c r="A400" s="1">
        <v>399</v>
      </c>
      <c r="B400" s="4" t="s">
        <v>15</v>
      </c>
      <c r="C400" s="5">
        <v>44329</v>
      </c>
      <c r="D400" s="6" t="s">
        <v>9</v>
      </c>
      <c r="E400" s="6">
        <v>0</v>
      </c>
      <c r="F400" s="6">
        <v>100</v>
      </c>
    </row>
    <row r="401" spans="1:6" ht="15.75" customHeight="1" x14ac:dyDescent="0.35">
      <c r="A401" s="1">
        <v>400</v>
      </c>
      <c r="B401" s="4" t="s">
        <v>6</v>
      </c>
      <c r="C401" s="5">
        <v>44330</v>
      </c>
      <c r="D401" s="6" t="s">
        <v>7</v>
      </c>
      <c r="E401" s="6">
        <v>4</v>
      </c>
      <c r="F401" s="6">
        <v>115</v>
      </c>
    </row>
    <row r="402" spans="1:6" ht="15.75" customHeight="1" x14ac:dyDescent="0.35">
      <c r="A402" s="1">
        <v>401</v>
      </c>
      <c r="B402" s="4" t="s">
        <v>6</v>
      </c>
      <c r="C402" s="5">
        <v>44330</v>
      </c>
      <c r="D402" s="6" t="s">
        <v>8</v>
      </c>
      <c r="E402" s="6">
        <v>2</v>
      </c>
      <c r="F402" s="6">
        <v>105</v>
      </c>
    </row>
    <row r="403" spans="1:6" ht="15.75" customHeight="1" x14ac:dyDescent="0.35">
      <c r="A403" s="1">
        <v>402</v>
      </c>
      <c r="B403" s="4" t="s">
        <v>6</v>
      </c>
      <c r="C403" s="5">
        <v>44330</v>
      </c>
      <c r="D403" s="6" t="s">
        <v>9</v>
      </c>
      <c r="E403" s="6">
        <v>2</v>
      </c>
      <c r="F403" s="6">
        <v>111</v>
      </c>
    </row>
    <row r="404" spans="1:6" ht="15.75" customHeight="1" x14ac:dyDescent="0.35">
      <c r="A404" s="1">
        <v>403</v>
      </c>
      <c r="B404" s="4" t="s">
        <v>10</v>
      </c>
      <c r="C404" s="5">
        <v>44331</v>
      </c>
      <c r="D404" s="6" t="s">
        <v>7</v>
      </c>
      <c r="E404" s="6">
        <v>6</v>
      </c>
      <c r="F404" s="6">
        <v>93</v>
      </c>
    </row>
    <row r="405" spans="1:6" ht="15.75" customHeight="1" x14ac:dyDescent="0.35">
      <c r="A405" s="1">
        <v>404</v>
      </c>
      <c r="B405" s="4" t="s">
        <v>10</v>
      </c>
      <c r="C405" s="5">
        <v>44331</v>
      </c>
      <c r="D405" s="6" t="s">
        <v>8</v>
      </c>
      <c r="E405" s="6">
        <v>1</v>
      </c>
      <c r="F405" s="6">
        <v>96</v>
      </c>
    </row>
    <row r="406" spans="1:6" ht="15.75" customHeight="1" x14ac:dyDescent="0.35">
      <c r="A406" s="1">
        <v>405</v>
      </c>
      <c r="B406" s="4" t="s">
        <v>10</v>
      </c>
      <c r="C406" s="5">
        <v>44331</v>
      </c>
      <c r="D406" s="6" t="s">
        <v>9</v>
      </c>
      <c r="E406" s="6">
        <v>1</v>
      </c>
      <c r="F406" s="6">
        <v>111</v>
      </c>
    </row>
    <row r="407" spans="1:6" ht="15.75" customHeight="1" x14ac:dyDescent="0.35">
      <c r="A407" s="1">
        <v>406</v>
      </c>
      <c r="B407" s="4" t="s">
        <v>11</v>
      </c>
      <c r="C407" s="5">
        <v>44332</v>
      </c>
      <c r="D407" s="6" t="s">
        <v>7</v>
      </c>
      <c r="E407" s="6">
        <v>3</v>
      </c>
      <c r="F407" s="6">
        <v>109</v>
      </c>
    </row>
    <row r="408" spans="1:6" ht="15.75" customHeight="1" x14ac:dyDescent="0.35">
      <c r="A408" s="1">
        <v>407</v>
      </c>
      <c r="B408" s="4" t="s">
        <v>11</v>
      </c>
      <c r="C408" s="5">
        <v>44332</v>
      </c>
      <c r="D408" s="6" t="s">
        <v>8</v>
      </c>
      <c r="E408" s="6">
        <v>5</v>
      </c>
      <c r="F408" s="6">
        <v>105</v>
      </c>
    </row>
    <row r="409" spans="1:6" ht="15.75" customHeight="1" x14ac:dyDescent="0.35">
      <c r="A409" s="1">
        <v>408</v>
      </c>
      <c r="B409" s="4" t="s">
        <v>11</v>
      </c>
      <c r="C409" s="5">
        <v>44332</v>
      </c>
      <c r="D409" s="6" t="s">
        <v>9</v>
      </c>
      <c r="E409" s="6">
        <v>2</v>
      </c>
      <c r="F409" s="6">
        <v>101</v>
      </c>
    </row>
    <row r="410" spans="1:6" ht="15.75" customHeight="1" x14ac:dyDescent="0.35">
      <c r="A410" s="1">
        <v>409</v>
      </c>
      <c r="B410" s="4" t="s">
        <v>12</v>
      </c>
      <c r="C410" s="5">
        <v>44333</v>
      </c>
      <c r="D410" s="6" t="s">
        <v>7</v>
      </c>
      <c r="E410" s="6">
        <v>2</v>
      </c>
      <c r="F410" s="6">
        <v>86</v>
      </c>
    </row>
    <row r="411" spans="1:6" ht="15.75" customHeight="1" x14ac:dyDescent="0.35">
      <c r="A411" s="1">
        <v>410</v>
      </c>
      <c r="B411" s="4" t="s">
        <v>12</v>
      </c>
      <c r="C411" s="5">
        <v>44333</v>
      </c>
      <c r="D411" s="6" t="s">
        <v>8</v>
      </c>
      <c r="E411" s="6">
        <v>0</v>
      </c>
      <c r="F411" s="6">
        <v>102</v>
      </c>
    </row>
    <row r="412" spans="1:6" ht="15.75" customHeight="1" x14ac:dyDescent="0.35">
      <c r="A412" s="1">
        <v>411</v>
      </c>
      <c r="B412" s="4" t="s">
        <v>12</v>
      </c>
      <c r="C412" s="5">
        <v>44333</v>
      </c>
      <c r="D412" s="6" t="s">
        <v>9</v>
      </c>
      <c r="E412" s="6">
        <v>3</v>
      </c>
      <c r="F412" s="6">
        <v>107</v>
      </c>
    </row>
    <row r="413" spans="1:6" ht="15.75" customHeight="1" x14ac:dyDescent="0.35">
      <c r="A413" s="1">
        <v>412</v>
      </c>
      <c r="B413" s="4" t="s">
        <v>13</v>
      </c>
      <c r="C413" s="5">
        <v>44334</v>
      </c>
      <c r="D413" s="6" t="s">
        <v>7</v>
      </c>
      <c r="E413" s="6">
        <v>3</v>
      </c>
      <c r="F413" s="6">
        <v>101</v>
      </c>
    </row>
    <row r="414" spans="1:6" ht="15.75" customHeight="1" x14ac:dyDescent="0.35">
      <c r="A414" s="1">
        <v>413</v>
      </c>
      <c r="B414" s="4" t="s">
        <v>13</v>
      </c>
      <c r="C414" s="5">
        <v>44334</v>
      </c>
      <c r="D414" s="6" t="s">
        <v>8</v>
      </c>
      <c r="E414" s="6">
        <v>1</v>
      </c>
      <c r="F414" s="6">
        <v>103</v>
      </c>
    </row>
    <row r="415" spans="1:6" ht="15.75" customHeight="1" x14ac:dyDescent="0.35">
      <c r="A415" s="1">
        <v>414</v>
      </c>
      <c r="B415" s="4" t="s">
        <v>13</v>
      </c>
      <c r="C415" s="5">
        <v>44334</v>
      </c>
      <c r="D415" s="6" t="s">
        <v>9</v>
      </c>
      <c r="E415" s="6">
        <v>0</v>
      </c>
      <c r="F415" s="6">
        <v>104</v>
      </c>
    </row>
    <row r="416" spans="1:6" ht="15.75" customHeight="1" x14ac:dyDescent="0.35">
      <c r="A416" s="1">
        <v>415</v>
      </c>
      <c r="B416" s="4" t="s">
        <v>14</v>
      </c>
      <c r="C416" s="5">
        <v>44335</v>
      </c>
      <c r="D416" s="6" t="s">
        <v>7</v>
      </c>
      <c r="E416" s="6">
        <v>4</v>
      </c>
      <c r="F416" s="6">
        <v>98</v>
      </c>
    </row>
    <row r="417" spans="1:6" ht="15.75" customHeight="1" x14ac:dyDescent="0.35">
      <c r="A417" s="1">
        <v>416</v>
      </c>
      <c r="B417" s="4" t="s">
        <v>14</v>
      </c>
      <c r="C417" s="5">
        <v>44335</v>
      </c>
      <c r="D417" s="6" t="s">
        <v>8</v>
      </c>
      <c r="E417" s="6">
        <v>1</v>
      </c>
      <c r="F417" s="6">
        <v>89</v>
      </c>
    </row>
    <row r="418" spans="1:6" ht="15.75" customHeight="1" x14ac:dyDescent="0.35">
      <c r="A418" s="1">
        <v>417</v>
      </c>
      <c r="B418" s="4" t="s">
        <v>14</v>
      </c>
      <c r="C418" s="5">
        <v>44335</v>
      </c>
      <c r="D418" s="6" t="s">
        <v>9</v>
      </c>
      <c r="E418" s="6">
        <v>1</v>
      </c>
      <c r="F418" s="6">
        <v>99</v>
      </c>
    </row>
    <row r="419" spans="1:6" ht="15.75" customHeight="1" x14ac:dyDescent="0.35">
      <c r="A419" s="1">
        <v>418</v>
      </c>
      <c r="B419" s="4" t="s">
        <v>15</v>
      </c>
      <c r="C419" s="5">
        <v>44336</v>
      </c>
      <c r="D419" s="6" t="s">
        <v>7</v>
      </c>
      <c r="E419" s="6">
        <v>3</v>
      </c>
      <c r="F419" s="6">
        <v>104</v>
      </c>
    </row>
    <row r="420" spans="1:6" ht="15.75" customHeight="1" x14ac:dyDescent="0.35">
      <c r="A420" s="1">
        <v>419</v>
      </c>
      <c r="B420" s="4" t="s">
        <v>15</v>
      </c>
      <c r="C420" s="5">
        <v>44336</v>
      </c>
      <c r="D420" s="6" t="s">
        <v>8</v>
      </c>
      <c r="E420" s="6">
        <v>2</v>
      </c>
      <c r="F420" s="6">
        <v>104</v>
      </c>
    </row>
    <row r="421" spans="1:6" ht="15.75" customHeight="1" x14ac:dyDescent="0.35">
      <c r="A421" s="1">
        <v>420</v>
      </c>
      <c r="B421" s="4" t="s">
        <v>15</v>
      </c>
      <c r="C421" s="5">
        <v>44336</v>
      </c>
      <c r="D421" s="6" t="s">
        <v>9</v>
      </c>
      <c r="E421" s="6">
        <v>0</v>
      </c>
      <c r="F421" s="6">
        <v>104</v>
      </c>
    </row>
    <row r="422" spans="1:6" ht="15.75" customHeight="1" x14ac:dyDescent="0.35">
      <c r="A422" s="1">
        <v>421</v>
      </c>
      <c r="B422" s="4" t="s">
        <v>6</v>
      </c>
      <c r="C422" s="5">
        <v>44337</v>
      </c>
      <c r="D422" s="6" t="s">
        <v>7</v>
      </c>
      <c r="E422" s="6">
        <v>5</v>
      </c>
      <c r="F422" s="6">
        <v>104</v>
      </c>
    </row>
    <row r="423" spans="1:6" ht="15.75" customHeight="1" x14ac:dyDescent="0.35">
      <c r="A423" s="1">
        <v>422</v>
      </c>
      <c r="B423" s="4" t="s">
        <v>6</v>
      </c>
      <c r="C423" s="5">
        <v>44337</v>
      </c>
      <c r="D423" s="6" t="s">
        <v>8</v>
      </c>
      <c r="E423" s="6">
        <v>2</v>
      </c>
      <c r="F423" s="6">
        <v>110</v>
      </c>
    </row>
    <row r="424" spans="1:6" ht="15.75" customHeight="1" x14ac:dyDescent="0.35">
      <c r="A424" s="1">
        <v>423</v>
      </c>
      <c r="B424" s="4" t="s">
        <v>6</v>
      </c>
      <c r="C424" s="5">
        <v>44337</v>
      </c>
      <c r="D424" s="6" t="s">
        <v>9</v>
      </c>
      <c r="E424" s="6">
        <v>4</v>
      </c>
      <c r="F424" s="6">
        <v>113</v>
      </c>
    </row>
    <row r="425" spans="1:6" ht="15.75" customHeight="1" x14ac:dyDescent="0.35">
      <c r="A425" s="1">
        <v>424</v>
      </c>
      <c r="B425" s="4" t="s">
        <v>10</v>
      </c>
      <c r="C425" s="5">
        <v>44338</v>
      </c>
      <c r="D425" s="6" t="s">
        <v>7</v>
      </c>
      <c r="E425" s="6">
        <v>7</v>
      </c>
      <c r="F425" s="6">
        <v>107</v>
      </c>
    </row>
    <row r="426" spans="1:6" ht="15.75" customHeight="1" x14ac:dyDescent="0.35">
      <c r="A426" s="1">
        <v>425</v>
      </c>
      <c r="B426" s="4" t="s">
        <v>10</v>
      </c>
      <c r="C426" s="5">
        <v>44338</v>
      </c>
      <c r="D426" s="6" t="s">
        <v>8</v>
      </c>
      <c r="E426" s="6">
        <v>1</v>
      </c>
      <c r="F426" s="6">
        <v>107</v>
      </c>
    </row>
    <row r="427" spans="1:6" ht="15.75" customHeight="1" x14ac:dyDescent="0.35">
      <c r="A427" s="1">
        <v>426</v>
      </c>
      <c r="B427" s="4" t="s">
        <v>10</v>
      </c>
      <c r="C427" s="5">
        <v>44338</v>
      </c>
      <c r="D427" s="6" t="s">
        <v>9</v>
      </c>
      <c r="E427" s="6">
        <v>1</v>
      </c>
      <c r="F427" s="6">
        <v>112</v>
      </c>
    </row>
    <row r="428" spans="1:6" ht="15.75" customHeight="1" x14ac:dyDescent="0.35">
      <c r="A428" s="1">
        <v>427</v>
      </c>
      <c r="B428" s="4" t="s">
        <v>11</v>
      </c>
      <c r="C428" s="5">
        <v>44339</v>
      </c>
      <c r="D428" s="6" t="s">
        <v>7</v>
      </c>
      <c r="E428" s="6">
        <v>4</v>
      </c>
      <c r="F428" s="6">
        <v>98</v>
      </c>
    </row>
    <row r="429" spans="1:6" ht="15.75" customHeight="1" x14ac:dyDescent="0.35">
      <c r="A429" s="1">
        <v>428</v>
      </c>
      <c r="B429" s="4" t="s">
        <v>11</v>
      </c>
      <c r="C429" s="5">
        <v>44339</v>
      </c>
      <c r="D429" s="6" t="s">
        <v>8</v>
      </c>
      <c r="E429" s="6">
        <v>1</v>
      </c>
      <c r="F429" s="6">
        <v>106</v>
      </c>
    </row>
    <row r="430" spans="1:6" ht="15.75" customHeight="1" x14ac:dyDescent="0.35">
      <c r="A430" s="1">
        <v>429</v>
      </c>
      <c r="B430" s="4" t="s">
        <v>11</v>
      </c>
      <c r="C430" s="5">
        <v>44339</v>
      </c>
      <c r="D430" s="6" t="s">
        <v>9</v>
      </c>
      <c r="E430" s="6">
        <v>1</v>
      </c>
      <c r="F430" s="6">
        <v>101</v>
      </c>
    </row>
    <row r="431" spans="1:6" ht="15.75" customHeight="1" x14ac:dyDescent="0.35">
      <c r="A431" s="1">
        <v>430</v>
      </c>
      <c r="B431" s="4" t="s">
        <v>12</v>
      </c>
      <c r="C431" s="5">
        <v>44340</v>
      </c>
      <c r="D431" s="6" t="s">
        <v>7</v>
      </c>
      <c r="E431" s="6">
        <v>1</v>
      </c>
      <c r="F431" s="6">
        <v>104</v>
      </c>
    </row>
    <row r="432" spans="1:6" ht="15.75" customHeight="1" x14ac:dyDescent="0.35">
      <c r="A432" s="1">
        <v>431</v>
      </c>
      <c r="B432" s="4" t="s">
        <v>12</v>
      </c>
      <c r="C432" s="5">
        <v>44340</v>
      </c>
      <c r="D432" s="6" t="s">
        <v>8</v>
      </c>
      <c r="E432" s="6">
        <v>3</v>
      </c>
      <c r="F432" s="6">
        <v>100</v>
      </c>
    </row>
    <row r="433" spans="1:6" ht="15.75" customHeight="1" x14ac:dyDescent="0.35">
      <c r="A433" s="1">
        <v>432</v>
      </c>
      <c r="B433" s="4" t="s">
        <v>12</v>
      </c>
      <c r="C433" s="5">
        <v>44340</v>
      </c>
      <c r="D433" s="6" t="s">
        <v>9</v>
      </c>
      <c r="E433" s="6">
        <v>2</v>
      </c>
      <c r="F433" s="6">
        <v>109</v>
      </c>
    </row>
    <row r="434" spans="1:6" ht="15.75" customHeight="1" x14ac:dyDescent="0.35">
      <c r="A434" s="1">
        <v>433</v>
      </c>
      <c r="B434" s="4" t="s">
        <v>13</v>
      </c>
      <c r="C434" s="5">
        <v>44341</v>
      </c>
      <c r="D434" s="6" t="s">
        <v>7</v>
      </c>
      <c r="E434" s="6">
        <v>7</v>
      </c>
      <c r="F434" s="6">
        <v>105</v>
      </c>
    </row>
    <row r="435" spans="1:6" ht="15.75" customHeight="1" x14ac:dyDescent="0.35">
      <c r="A435" s="1">
        <v>434</v>
      </c>
      <c r="B435" s="4" t="s">
        <v>13</v>
      </c>
      <c r="C435" s="5">
        <v>44341</v>
      </c>
      <c r="D435" s="6" t="s">
        <v>8</v>
      </c>
      <c r="E435" s="6">
        <v>4</v>
      </c>
      <c r="F435" s="6">
        <v>110</v>
      </c>
    </row>
    <row r="436" spans="1:6" ht="15.75" customHeight="1" x14ac:dyDescent="0.35">
      <c r="A436" s="1">
        <v>435</v>
      </c>
      <c r="B436" s="4" t="s">
        <v>13</v>
      </c>
      <c r="C436" s="5">
        <v>44341</v>
      </c>
      <c r="D436" s="6" t="s">
        <v>9</v>
      </c>
      <c r="E436" s="6">
        <v>0</v>
      </c>
      <c r="F436" s="6">
        <v>95</v>
      </c>
    </row>
    <row r="437" spans="1:6" ht="15.75" customHeight="1" x14ac:dyDescent="0.35">
      <c r="A437" s="1">
        <v>436</v>
      </c>
      <c r="B437" s="4" t="s">
        <v>14</v>
      </c>
      <c r="C437" s="5">
        <v>44342</v>
      </c>
      <c r="D437" s="6" t="s">
        <v>7</v>
      </c>
      <c r="E437" s="6">
        <v>3</v>
      </c>
      <c r="F437" s="6">
        <v>98</v>
      </c>
    </row>
    <row r="438" spans="1:6" ht="15.75" customHeight="1" x14ac:dyDescent="0.35">
      <c r="A438" s="1">
        <v>437</v>
      </c>
      <c r="B438" s="4" t="s">
        <v>14</v>
      </c>
      <c r="C438" s="5">
        <v>44342</v>
      </c>
      <c r="D438" s="6" t="s">
        <v>8</v>
      </c>
      <c r="E438" s="6">
        <v>7</v>
      </c>
      <c r="F438" s="6">
        <v>102</v>
      </c>
    </row>
    <row r="439" spans="1:6" ht="15.75" customHeight="1" x14ac:dyDescent="0.35">
      <c r="A439" s="1">
        <v>438</v>
      </c>
      <c r="B439" s="4" t="s">
        <v>14</v>
      </c>
      <c r="C439" s="5">
        <v>44342</v>
      </c>
      <c r="D439" s="6" t="s">
        <v>9</v>
      </c>
      <c r="E439" s="6">
        <v>1</v>
      </c>
      <c r="F439" s="6">
        <v>99</v>
      </c>
    </row>
    <row r="440" spans="1:6" ht="15.75" customHeight="1" x14ac:dyDescent="0.35">
      <c r="A440" s="1">
        <v>439</v>
      </c>
      <c r="B440" s="4" t="s">
        <v>15</v>
      </c>
      <c r="C440" s="5">
        <v>44343</v>
      </c>
      <c r="D440" s="6" t="s">
        <v>7</v>
      </c>
      <c r="E440" s="6">
        <v>5</v>
      </c>
      <c r="F440" s="6">
        <v>98</v>
      </c>
    </row>
    <row r="441" spans="1:6" ht="15.75" customHeight="1" x14ac:dyDescent="0.35">
      <c r="A441" s="1">
        <v>440</v>
      </c>
      <c r="B441" s="4" t="s">
        <v>15</v>
      </c>
      <c r="C441" s="5">
        <v>44343</v>
      </c>
      <c r="D441" s="6" t="s">
        <v>8</v>
      </c>
      <c r="E441" s="6">
        <v>4</v>
      </c>
      <c r="F441" s="6">
        <v>98</v>
      </c>
    </row>
    <row r="442" spans="1:6" ht="15.75" customHeight="1" x14ac:dyDescent="0.35">
      <c r="A442" s="1">
        <v>441</v>
      </c>
      <c r="B442" s="4" t="s">
        <v>15</v>
      </c>
      <c r="C442" s="5">
        <v>44343</v>
      </c>
      <c r="D442" s="6" t="s">
        <v>9</v>
      </c>
      <c r="E442" s="6">
        <v>0</v>
      </c>
      <c r="F442" s="6">
        <v>108</v>
      </c>
    </row>
    <row r="443" spans="1:6" ht="15.75" customHeight="1" x14ac:dyDescent="0.35">
      <c r="A443" s="1">
        <v>442</v>
      </c>
      <c r="B443" s="4" t="s">
        <v>6</v>
      </c>
      <c r="C443" s="5">
        <v>44344</v>
      </c>
      <c r="D443" s="6" t="s">
        <v>7</v>
      </c>
      <c r="E443" s="6">
        <v>1</v>
      </c>
      <c r="F443" s="6">
        <v>101</v>
      </c>
    </row>
    <row r="444" spans="1:6" ht="15.75" customHeight="1" x14ac:dyDescent="0.35">
      <c r="A444" s="1">
        <v>443</v>
      </c>
      <c r="B444" s="4" t="s">
        <v>6</v>
      </c>
      <c r="C444" s="5">
        <v>44344</v>
      </c>
      <c r="D444" s="6" t="s">
        <v>8</v>
      </c>
      <c r="E444" s="6">
        <v>1</v>
      </c>
      <c r="F444" s="6">
        <v>107</v>
      </c>
    </row>
    <row r="445" spans="1:6" ht="15.75" customHeight="1" x14ac:dyDescent="0.35">
      <c r="A445" s="1">
        <v>444</v>
      </c>
      <c r="B445" s="4" t="s">
        <v>6</v>
      </c>
      <c r="C445" s="5">
        <v>44344</v>
      </c>
      <c r="D445" s="6" t="s">
        <v>9</v>
      </c>
      <c r="E445" s="6">
        <v>2</v>
      </c>
      <c r="F445" s="6">
        <v>104</v>
      </c>
    </row>
    <row r="446" spans="1:6" ht="15.75" customHeight="1" x14ac:dyDescent="0.35">
      <c r="A446" s="1">
        <v>445</v>
      </c>
      <c r="B446" s="4" t="s">
        <v>10</v>
      </c>
      <c r="C446" s="5">
        <v>44345</v>
      </c>
      <c r="D446" s="6" t="s">
        <v>7</v>
      </c>
      <c r="E446" s="6">
        <v>6</v>
      </c>
      <c r="F446" s="6">
        <v>114</v>
      </c>
    </row>
    <row r="447" spans="1:6" ht="15.75" customHeight="1" x14ac:dyDescent="0.35">
      <c r="A447" s="1">
        <v>446</v>
      </c>
      <c r="B447" s="4" t="s">
        <v>10</v>
      </c>
      <c r="C447" s="5">
        <v>44345</v>
      </c>
      <c r="D447" s="6" t="s">
        <v>8</v>
      </c>
      <c r="E447" s="6">
        <v>2</v>
      </c>
      <c r="F447" s="6">
        <v>107</v>
      </c>
    </row>
    <row r="448" spans="1:6" ht="15.75" customHeight="1" x14ac:dyDescent="0.35">
      <c r="A448" s="1">
        <v>447</v>
      </c>
      <c r="B448" s="4" t="s">
        <v>10</v>
      </c>
      <c r="C448" s="5">
        <v>44345</v>
      </c>
      <c r="D448" s="6" t="s">
        <v>9</v>
      </c>
      <c r="E448" s="6">
        <v>1</v>
      </c>
      <c r="F448" s="6">
        <v>101</v>
      </c>
    </row>
    <row r="449" spans="1:6" ht="15.75" customHeight="1" x14ac:dyDescent="0.35">
      <c r="A449" s="1">
        <v>448</v>
      </c>
      <c r="B449" s="4" t="s">
        <v>11</v>
      </c>
      <c r="C449" s="5">
        <v>44346</v>
      </c>
      <c r="D449" s="6" t="s">
        <v>7</v>
      </c>
      <c r="E449" s="6">
        <v>3</v>
      </c>
      <c r="F449" s="6">
        <v>104</v>
      </c>
    </row>
    <row r="450" spans="1:6" ht="15.75" customHeight="1" x14ac:dyDescent="0.35">
      <c r="A450" s="1">
        <v>449</v>
      </c>
      <c r="B450" s="4" t="s">
        <v>11</v>
      </c>
      <c r="C450" s="5">
        <v>44346</v>
      </c>
      <c r="D450" s="6" t="s">
        <v>8</v>
      </c>
      <c r="E450" s="6">
        <v>2</v>
      </c>
      <c r="F450" s="6">
        <v>104</v>
      </c>
    </row>
    <row r="451" spans="1:6" ht="15.75" customHeight="1" x14ac:dyDescent="0.35">
      <c r="A451" s="1">
        <v>450</v>
      </c>
      <c r="B451" s="4" t="s">
        <v>11</v>
      </c>
      <c r="C451" s="5">
        <v>44346</v>
      </c>
      <c r="D451" s="6" t="s">
        <v>9</v>
      </c>
      <c r="E451" s="6">
        <v>2</v>
      </c>
      <c r="F451" s="6">
        <v>108</v>
      </c>
    </row>
    <row r="452" spans="1:6" ht="15.75" customHeight="1" x14ac:dyDescent="0.35">
      <c r="A452" s="1">
        <v>451</v>
      </c>
      <c r="B452" s="4" t="s">
        <v>12</v>
      </c>
      <c r="C452" s="5">
        <v>44347</v>
      </c>
      <c r="D452" s="6" t="s">
        <v>7</v>
      </c>
      <c r="E452" s="6">
        <v>5</v>
      </c>
      <c r="F452" s="6">
        <v>105</v>
      </c>
    </row>
    <row r="453" spans="1:6" ht="15.75" customHeight="1" x14ac:dyDescent="0.35">
      <c r="A453" s="1">
        <v>452</v>
      </c>
      <c r="B453" s="4" t="s">
        <v>12</v>
      </c>
      <c r="C453" s="5">
        <v>44347</v>
      </c>
      <c r="D453" s="6" t="s">
        <v>8</v>
      </c>
      <c r="E453" s="6">
        <v>2</v>
      </c>
      <c r="F453" s="6">
        <v>110</v>
      </c>
    </row>
    <row r="454" spans="1:6" ht="15.75" customHeight="1" x14ac:dyDescent="0.35">
      <c r="A454" s="1">
        <v>453</v>
      </c>
      <c r="B454" s="4" t="s">
        <v>12</v>
      </c>
      <c r="C454" s="5">
        <v>44347</v>
      </c>
      <c r="D454" s="6" t="s">
        <v>9</v>
      </c>
      <c r="E454" s="6">
        <v>0</v>
      </c>
      <c r="F454" s="6">
        <v>104</v>
      </c>
    </row>
    <row r="455" spans="1:6" ht="15.75" customHeight="1" x14ac:dyDescent="0.35">
      <c r="A455" s="1">
        <v>454</v>
      </c>
      <c r="B455" s="4" t="s">
        <v>13</v>
      </c>
      <c r="C455" s="5">
        <v>44348</v>
      </c>
      <c r="D455" s="6" t="s">
        <v>7</v>
      </c>
      <c r="E455" s="6">
        <v>2</v>
      </c>
      <c r="F455" s="6">
        <v>109</v>
      </c>
    </row>
    <row r="456" spans="1:6" ht="15.75" customHeight="1" x14ac:dyDescent="0.35">
      <c r="A456" s="1">
        <v>455</v>
      </c>
      <c r="B456" s="4" t="s">
        <v>13</v>
      </c>
      <c r="C456" s="5">
        <v>44348</v>
      </c>
      <c r="D456" s="6" t="s">
        <v>8</v>
      </c>
      <c r="E456" s="6">
        <v>3</v>
      </c>
      <c r="F456" s="6">
        <v>103</v>
      </c>
    </row>
    <row r="457" spans="1:6" ht="15.75" customHeight="1" x14ac:dyDescent="0.35">
      <c r="A457" s="1">
        <v>456</v>
      </c>
      <c r="B457" s="4" t="s">
        <v>13</v>
      </c>
      <c r="C457" s="5">
        <v>44348</v>
      </c>
      <c r="D457" s="6" t="s">
        <v>9</v>
      </c>
      <c r="E457" s="6">
        <v>3</v>
      </c>
      <c r="F457" s="6">
        <v>104</v>
      </c>
    </row>
    <row r="458" spans="1:6" ht="15.75" customHeight="1" x14ac:dyDescent="0.35">
      <c r="A458" s="1">
        <v>457</v>
      </c>
      <c r="B458" s="4" t="s">
        <v>14</v>
      </c>
      <c r="C458" s="5">
        <v>44349</v>
      </c>
      <c r="D458" s="6" t="s">
        <v>7</v>
      </c>
      <c r="E458" s="6">
        <v>3</v>
      </c>
      <c r="F458" s="6">
        <v>100</v>
      </c>
    </row>
    <row r="459" spans="1:6" ht="15.75" customHeight="1" x14ac:dyDescent="0.35">
      <c r="A459" s="1">
        <v>458</v>
      </c>
      <c r="B459" s="4" t="s">
        <v>14</v>
      </c>
      <c r="C459" s="5">
        <v>44349</v>
      </c>
      <c r="D459" s="6" t="s">
        <v>8</v>
      </c>
      <c r="E459" s="6">
        <v>1</v>
      </c>
      <c r="F459" s="6">
        <v>102</v>
      </c>
    </row>
    <row r="460" spans="1:6" ht="15.75" customHeight="1" x14ac:dyDescent="0.35">
      <c r="A460" s="1">
        <v>459</v>
      </c>
      <c r="B460" s="4" t="s">
        <v>14</v>
      </c>
      <c r="C460" s="5">
        <v>44349</v>
      </c>
      <c r="D460" s="6" t="s">
        <v>9</v>
      </c>
      <c r="E460" s="6">
        <v>0</v>
      </c>
      <c r="F460" s="6">
        <v>99</v>
      </c>
    </row>
    <row r="461" spans="1:6" ht="15.75" customHeight="1" x14ac:dyDescent="0.35">
      <c r="A461" s="1">
        <v>460</v>
      </c>
      <c r="B461" s="4" t="s">
        <v>15</v>
      </c>
      <c r="C461" s="5">
        <v>44350</v>
      </c>
      <c r="D461" s="6" t="s">
        <v>7</v>
      </c>
      <c r="E461" s="6">
        <v>6</v>
      </c>
      <c r="F461" s="6">
        <v>94</v>
      </c>
    </row>
    <row r="462" spans="1:6" ht="15.75" customHeight="1" x14ac:dyDescent="0.35">
      <c r="A462" s="1">
        <v>461</v>
      </c>
      <c r="B462" s="4" t="s">
        <v>15</v>
      </c>
      <c r="C462" s="5">
        <v>44350</v>
      </c>
      <c r="D462" s="6" t="s">
        <v>8</v>
      </c>
      <c r="E462" s="6">
        <v>0</v>
      </c>
      <c r="F462" s="6">
        <v>107</v>
      </c>
    </row>
    <row r="463" spans="1:6" ht="15.75" customHeight="1" x14ac:dyDescent="0.35">
      <c r="A463" s="1">
        <v>462</v>
      </c>
      <c r="B463" s="4" t="s">
        <v>15</v>
      </c>
      <c r="C463" s="5">
        <v>44350</v>
      </c>
      <c r="D463" s="6" t="s">
        <v>9</v>
      </c>
      <c r="E463" s="6">
        <v>0</v>
      </c>
      <c r="F463" s="6">
        <v>107</v>
      </c>
    </row>
    <row r="464" spans="1:6" ht="15.75" customHeight="1" x14ac:dyDescent="0.35">
      <c r="A464" s="1">
        <v>463</v>
      </c>
      <c r="B464" s="4" t="s">
        <v>6</v>
      </c>
      <c r="C464" s="5">
        <v>44351</v>
      </c>
      <c r="D464" s="6" t="s">
        <v>7</v>
      </c>
      <c r="E464" s="6">
        <v>2</v>
      </c>
      <c r="F464" s="6">
        <v>105</v>
      </c>
    </row>
    <row r="465" spans="1:6" ht="15.75" customHeight="1" x14ac:dyDescent="0.35">
      <c r="A465" s="1">
        <v>464</v>
      </c>
      <c r="B465" s="4" t="s">
        <v>6</v>
      </c>
      <c r="C465" s="5">
        <v>44351</v>
      </c>
      <c r="D465" s="6" t="s">
        <v>8</v>
      </c>
      <c r="E465" s="6">
        <v>0</v>
      </c>
      <c r="F465" s="6">
        <v>102</v>
      </c>
    </row>
    <row r="466" spans="1:6" ht="15.75" customHeight="1" x14ac:dyDescent="0.35">
      <c r="A466" s="1">
        <v>465</v>
      </c>
      <c r="B466" s="4" t="s">
        <v>6</v>
      </c>
      <c r="C466" s="5">
        <v>44351</v>
      </c>
      <c r="D466" s="6" t="s">
        <v>9</v>
      </c>
      <c r="E466" s="6">
        <v>0</v>
      </c>
      <c r="F466" s="6">
        <v>100</v>
      </c>
    </row>
    <row r="467" spans="1:6" ht="15.75" customHeight="1" x14ac:dyDescent="0.35">
      <c r="A467" s="1">
        <v>466</v>
      </c>
      <c r="B467" s="4" t="s">
        <v>10</v>
      </c>
      <c r="C467" s="5">
        <v>44352</v>
      </c>
      <c r="D467" s="6" t="s">
        <v>7</v>
      </c>
      <c r="E467" s="6">
        <v>3</v>
      </c>
      <c r="F467" s="6">
        <v>116</v>
      </c>
    </row>
    <row r="468" spans="1:6" ht="15.75" customHeight="1" x14ac:dyDescent="0.35">
      <c r="A468" s="1">
        <v>467</v>
      </c>
      <c r="B468" s="4" t="s">
        <v>10</v>
      </c>
      <c r="C468" s="5">
        <v>44352</v>
      </c>
      <c r="D468" s="6" t="s">
        <v>8</v>
      </c>
      <c r="E468" s="6">
        <v>3</v>
      </c>
      <c r="F468" s="6">
        <v>106</v>
      </c>
    </row>
    <row r="469" spans="1:6" ht="15.75" customHeight="1" x14ac:dyDescent="0.35">
      <c r="A469" s="1">
        <v>468</v>
      </c>
      <c r="B469" s="4" t="s">
        <v>10</v>
      </c>
      <c r="C469" s="5">
        <v>44352</v>
      </c>
      <c r="D469" s="6" t="s">
        <v>9</v>
      </c>
      <c r="E469" s="6">
        <v>1</v>
      </c>
      <c r="F469" s="6">
        <v>112</v>
      </c>
    </row>
    <row r="470" spans="1:6" ht="15.75" customHeight="1" x14ac:dyDescent="0.35">
      <c r="A470" s="1">
        <v>469</v>
      </c>
      <c r="B470" s="4" t="s">
        <v>11</v>
      </c>
      <c r="C470" s="5">
        <v>44353</v>
      </c>
      <c r="D470" s="6" t="s">
        <v>7</v>
      </c>
      <c r="E470" s="6">
        <v>3</v>
      </c>
      <c r="F470" s="6">
        <v>104</v>
      </c>
    </row>
    <row r="471" spans="1:6" ht="15.75" customHeight="1" x14ac:dyDescent="0.35">
      <c r="A471" s="1">
        <v>470</v>
      </c>
      <c r="B471" s="4" t="s">
        <v>11</v>
      </c>
      <c r="C471" s="5">
        <v>44353</v>
      </c>
      <c r="D471" s="6" t="s">
        <v>8</v>
      </c>
      <c r="E471" s="6">
        <v>3</v>
      </c>
      <c r="F471" s="6">
        <v>100</v>
      </c>
    </row>
    <row r="472" spans="1:6" ht="15.75" customHeight="1" x14ac:dyDescent="0.35">
      <c r="A472" s="1">
        <v>471</v>
      </c>
      <c r="B472" s="4" t="s">
        <v>11</v>
      </c>
      <c r="C472" s="5">
        <v>44353</v>
      </c>
      <c r="D472" s="6" t="s">
        <v>9</v>
      </c>
      <c r="E472" s="6">
        <v>1</v>
      </c>
      <c r="F472" s="6">
        <v>113</v>
      </c>
    </row>
    <row r="473" spans="1:6" ht="15.75" customHeight="1" x14ac:dyDescent="0.35">
      <c r="A473" s="1">
        <v>472</v>
      </c>
      <c r="B473" s="4" t="s">
        <v>12</v>
      </c>
      <c r="C473" s="5">
        <v>44354</v>
      </c>
      <c r="D473" s="6" t="s">
        <v>7</v>
      </c>
      <c r="E473" s="6">
        <v>4</v>
      </c>
      <c r="F473" s="6">
        <v>101</v>
      </c>
    </row>
    <row r="474" spans="1:6" ht="15.75" customHeight="1" x14ac:dyDescent="0.35">
      <c r="A474" s="1">
        <v>473</v>
      </c>
      <c r="B474" s="4" t="s">
        <v>12</v>
      </c>
      <c r="C474" s="5">
        <v>44354</v>
      </c>
      <c r="D474" s="6" t="s">
        <v>8</v>
      </c>
      <c r="E474" s="6">
        <v>3</v>
      </c>
      <c r="F474" s="6">
        <v>98</v>
      </c>
    </row>
    <row r="475" spans="1:6" ht="15.75" customHeight="1" x14ac:dyDescent="0.35">
      <c r="A475" s="1">
        <v>474</v>
      </c>
      <c r="B475" s="4" t="s">
        <v>12</v>
      </c>
      <c r="C475" s="5">
        <v>44354</v>
      </c>
      <c r="D475" s="6" t="s">
        <v>9</v>
      </c>
      <c r="E475" s="6">
        <v>0</v>
      </c>
      <c r="F475" s="6">
        <v>101</v>
      </c>
    </row>
    <row r="476" spans="1:6" ht="15.75" customHeight="1" x14ac:dyDescent="0.35">
      <c r="A476" s="1">
        <v>475</v>
      </c>
      <c r="B476" s="4" t="s">
        <v>13</v>
      </c>
      <c r="C476" s="5">
        <v>44355</v>
      </c>
      <c r="D476" s="6" t="s">
        <v>7</v>
      </c>
      <c r="E476" s="6">
        <v>0</v>
      </c>
      <c r="F476" s="6">
        <v>96</v>
      </c>
    </row>
    <row r="477" spans="1:6" ht="15.75" customHeight="1" x14ac:dyDescent="0.35">
      <c r="A477" s="1">
        <v>476</v>
      </c>
      <c r="B477" s="4" t="s">
        <v>13</v>
      </c>
      <c r="C477" s="5">
        <v>44355</v>
      </c>
      <c r="D477" s="6" t="s">
        <v>8</v>
      </c>
      <c r="E477" s="6">
        <v>1</v>
      </c>
      <c r="F477" s="6">
        <v>109</v>
      </c>
    </row>
    <row r="478" spans="1:6" ht="15.75" customHeight="1" x14ac:dyDescent="0.35">
      <c r="A478" s="1">
        <v>477</v>
      </c>
      <c r="B478" s="4" t="s">
        <v>13</v>
      </c>
      <c r="C478" s="5">
        <v>44355</v>
      </c>
      <c r="D478" s="6" t="s">
        <v>9</v>
      </c>
      <c r="E478" s="6">
        <v>2</v>
      </c>
      <c r="F478" s="6">
        <v>99</v>
      </c>
    </row>
    <row r="479" spans="1:6" ht="15.75" customHeight="1" x14ac:dyDescent="0.35">
      <c r="A479" s="1">
        <v>478</v>
      </c>
      <c r="B479" s="4" t="s">
        <v>14</v>
      </c>
      <c r="C479" s="5">
        <v>44356</v>
      </c>
      <c r="D479" s="6" t="s">
        <v>7</v>
      </c>
      <c r="E479" s="6">
        <v>4</v>
      </c>
      <c r="F479" s="6">
        <v>92</v>
      </c>
    </row>
    <row r="480" spans="1:6" ht="15.75" customHeight="1" x14ac:dyDescent="0.35">
      <c r="A480" s="1">
        <v>479</v>
      </c>
      <c r="B480" s="4" t="s">
        <v>14</v>
      </c>
      <c r="C480" s="5">
        <v>44356</v>
      </c>
      <c r="D480" s="6" t="s">
        <v>8</v>
      </c>
      <c r="E480" s="6">
        <v>4</v>
      </c>
      <c r="F480" s="6">
        <v>88</v>
      </c>
    </row>
    <row r="481" spans="1:6" ht="15.75" customHeight="1" x14ac:dyDescent="0.35">
      <c r="A481" s="1">
        <v>480</v>
      </c>
      <c r="B481" s="4" t="s">
        <v>14</v>
      </c>
      <c r="C481" s="5">
        <v>44356</v>
      </c>
      <c r="D481" s="6" t="s">
        <v>9</v>
      </c>
      <c r="E481" s="6">
        <v>0</v>
      </c>
      <c r="F481" s="6">
        <v>108</v>
      </c>
    </row>
    <row r="482" spans="1:6" ht="15.75" customHeight="1" x14ac:dyDescent="0.35">
      <c r="A482" s="1">
        <v>481</v>
      </c>
      <c r="B482" s="4" t="s">
        <v>15</v>
      </c>
      <c r="C482" s="5">
        <v>44357</v>
      </c>
      <c r="D482" s="6" t="s">
        <v>7</v>
      </c>
      <c r="E482" s="6">
        <v>3</v>
      </c>
      <c r="F482" s="6">
        <v>101</v>
      </c>
    </row>
    <row r="483" spans="1:6" ht="15.75" customHeight="1" x14ac:dyDescent="0.35">
      <c r="A483" s="1">
        <v>482</v>
      </c>
      <c r="B483" s="4" t="s">
        <v>15</v>
      </c>
      <c r="C483" s="5">
        <v>44357</v>
      </c>
      <c r="D483" s="6" t="s">
        <v>8</v>
      </c>
      <c r="E483" s="6">
        <v>2</v>
      </c>
      <c r="F483" s="6">
        <v>103</v>
      </c>
    </row>
    <row r="484" spans="1:6" ht="15.75" customHeight="1" x14ac:dyDescent="0.35">
      <c r="A484" s="1">
        <v>483</v>
      </c>
      <c r="B484" s="4" t="s">
        <v>15</v>
      </c>
      <c r="C484" s="5">
        <v>44357</v>
      </c>
      <c r="D484" s="6" t="s">
        <v>9</v>
      </c>
      <c r="E484" s="6">
        <v>1</v>
      </c>
      <c r="F484" s="6">
        <v>108</v>
      </c>
    </row>
    <row r="485" spans="1:6" ht="15.75" customHeight="1" x14ac:dyDescent="0.35">
      <c r="A485" s="1">
        <v>484</v>
      </c>
      <c r="B485" s="4" t="s">
        <v>6</v>
      </c>
      <c r="C485" s="5">
        <v>44358</v>
      </c>
      <c r="D485" s="6" t="s">
        <v>7</v>
      </c>
      <c r="E485" s="6">
        <v>2</v>
      </c>
      <c r="F485" s="6">
        <v>110</v>
      </c>
    </row>
    <row r="486" spans="1:6" ht="15.75" customHeight="1" x14ac:dyDescent="0.35">
      <c r="A486" s="1">
        <v>485</v>
      </c>
      <c r="B486" s="4" t="s">
        <v>6</v>
      </c>
      <c r="C486" s="5">
        <v>44358</v>
      </c>
      <c r="D486" s="6" t="s">
        <v>8</v>
      </c>
      <c r="E486" s="6">
        <v>4</v>
      </c>
      <c r="F486" s="6">
        <v>108</v>
      </c>
    </row>
    <row r="487" spans="1:6" ht="15.75" customHeight="1" x14ac:dyDescent="0.35">
      <c r="A487" s="1">
        <v>486</v>
      </c>
      <c r="B487" s="4" t="s">
        <v>6</v>
      </c>
      <c r="C487" s="5">
        <v>44358</v>
      </c>
      <c r="D487" s="6" t="s">
        <v>9</v>
      </c>
      <c r="E487" s="6">
        <v>0</v>
      </c>
      <c r="F487" s="6">
        <v>103</v>
      </c>
    </row>
    <row r="488" spans="1:6" ht="15.75" customHeight="1" x14ac:dyDescent="0.35">
      <c r="A488" s="1">
        <v>487</v>
      </c>
      <c r="B488" s="4" t="s">
        <v>10</v>
      </c>
      <c r="C488" s="5">
        <v>44359</v>
      </c>
      <c r="D488" s="6" t="s">
        <v>7</v>
      </c>
      <c r="E488" s="6">
        <v>6</v>
      </c>
      <c r="F488" s="6">
        <v>102</v>
      </c>
    </row>
    <row r="489" spans="1:6" ht="15.75" customHeight="1" x14ac:dyDescent="0.35">
      <c r="A489" s="1">
        <v>488</v>
      </c>
      <c r="B489" s="4" t="s">
        <v>10</v>
      </c>
      <c r="C489" s="5">
        <v>44359</v>
      </c>
      <c r="D489" s="6" t="s">
        <v>8</v>
      </c>
      <c r="E489" s="6">
        <v>2</v>
      </c>
      <c r="F489" s="6">
        <v>113</v>
      </c>
    </row>
    <row r="490" spans="1:6" ht="15.75" customHeight="1" x14ac:dyDescent="0.35">
      <c r="A490" s="1">
        <v>489</v>
      </c>
      <c r="B490" s="4" t="s">
        <v>10</v>
      </c>
      <c r="C490" s="5">
        <v>44359</v>
      </c>
      <c r="D490" s="6" t="s">
        <v>9</v>
      </c>
      <c r="E490" s="6">
        <v>1</v>
      </c>
      <c r="F490" s="6">
        <v>106</v>
      </c>
    </row>
    <row r="491" spans="1:6" ht="15.75" customHeight="1" x14ac:dyDescent="0.35">
      <c r="A491" s="1">
        <v>490</v>
      </c>
      <c r="B491" s="4" t="s">
        <v>11</v>
      </c>
      <c r="C491" s="5">
        <v>44360</v>
      </c>
      <c r="D491" s="6" t="s">
        <v>7</v>
      </c>
      <c r="E491" s="6">
        <v>1</v>
      </c>
      <c r="F491" s="6">
        <v>102</v>
      </c>
    </row>
    <row r="492" spans="1:6" ht="15.75" customHeight="1" x14ac:dyDescent="0.35">
      <c r="A492" s="1">
        <v>491</v>
      </c>
      <c r="B492" s="4" t="s">
        <v>11</v>
      </c>
      <c r="C492" s="5">
        <v>44360</v>
      </c>
      <c r="D492" s="6" t="s">
        <v>8</v>
      </c>
      <c r="E492" s="6">
        <v>4</v>
      </c>
      <c r="F492" s="6">
        <v>106</v>
      </c>
    </row>
    <row r="493" spans="1:6" ht="15.75" customHeight="1" x14ac:dyDescent="0.35">
      <c r="A493" s="1">
        <v>492</v>
      </c>
      <c r="B493" s="4" t="s">
        <v>11</v>
      </c>
      <c r="C493" s="5">
        <v>44360</v>
      </c>
      <c r="D493" s="6" t="s">
        <v>9</v>
      </c>
      <c r="E493" s="6">
        <v>0</v>
      </c>
      <c r="F493" s="6">
        <v>116</v>
      </c>
    </row>
    <row r="494" spans="1:6" ht="15.75" customHeight="1" x14ac:dyDescent="0.35">
      <c r="A494" s="1">
        <v>493</v>
      </c>
      <c r="B494" s="4" t="s">
        <v>12</v>
      </c>
      <c r="C494" s="5">
        <v>44361</v>
      </c>
      <c r="D494" s="6" t="s">
        <v>7</v>
      </c>
      <c r="E494" s="6">
        <v>7</v>
      </c>
      <c r="F494" s="6">
        <v>106</v>
      </c>
    </row>
    <row r="495" spans="1:6" ht="15.75" customHeight="1" x14ac:dyDescent="0.35">
      <c r="A495" s="1">
        <v>494</v>
      </c>
      <c r="B495" s="4" t="s">
        <v>12</v>
      </c>
      <c r="C495" s="5">
        <v>44361</v>
      </c>
      <c r="D495" s="6" t="s">
        <v>8</v>
      </c>
      <c r="E495" s="6">
        <v>2</v>
      </c>
      <c r="F495" s="6">
        <v>94</v>
      </c>
    </row>
    <row r="496" spans="1:6" ht="15.75" customHeight="1" x14ac:dyDescent="0.35">
      <c r="A496" s="1">
        <v>495</v>
      </c>
      <c r="B496" s="4" t="s">
        <v>12</v>
      </c>
      <c r="C496" s="5">
        <v>44361</v>
      </c>
      <c r="D496" s="6" t="s">
        <v>9</v>
      </c>
      <c r="E496" s="6">
        <v>1</v>
      </c>
      <c r="F496" s="6">
        <v>94</v>
      </c>
    </row>
    <row r="497" spans="1:6" ht="15.75" customHeight="1" x14ac:dyDescent="0.35">
      <c r="A497" s="1">
        <v>496</v>
      </c>
      <c r="B497" s="4" t="s">
        <v>13</v>
      </c>
      <c r="C497" s="5">
        <v>44362</v>
      </c>
      <c r="D497" s="6" t="s">
        <v>7</v>
      </c>
      <c r="E497" s="6">
        <v>1</v>
      </c>
      <c r="F497" s="6">
        <v>108</v>
      </c>
    </row>
    <row r="498" spans="1:6" ht="15.75" customHeight="1" x14ac:dyDescent="0.35">
      <c r="A498" s="1">
        <v>497</v>
      </c>
      <c r="B498" s="4" t="s">
        <v>13</v>
      </c>
      <c r="C498" s="5">
        <v>44362</v>
      </c>
      <c r="D498" s="6" t="s">
        <v>8</v>
      </c>
      <c r="E498" s="6">
        <v>1</v>
      </c>
      <c r="F498" s="6">
        <v>94</v>
      </c>
    </row>
    <row r="499" spans="1:6" ht="15.75" customHeight="1" x14ac:dyDescent="0.35">
      <c r="A499" s="1">
        <v>498</v>
      </c>
      <c r="B499" s="4" t="s">
        <v>13</v>
      </c>
      <c r="C499" s="5">
        <v>44362</v>
      </c>
      <c r="D499" s="6" t="s">
        <v>9</v>
      </c>
      <c r="E499" s="6">
        <v>1</v>
      </c>
      <c r="F499" s="6">
        <v>98</v>
      </c>
    </row>
    <row r="500" spans="1:6" ht="15.75" customHeight="1" x14ac:dyDescent="0.35">
      <c r="A500" s="1">
        <v>499</v>
      </c>
      <c r="B500" s="4" t="s">
        <v>14</v>
      </c>
      <c r="C500" s="5">
        <v>44363</v>
      </c>
      <c r="D500" s="6" t="s">
        <v>7</v>
      </c>
      <c r="E500" s="6">
        <v>3</v>
      </c>
      <c r="F500" s="6">
        <v>106</v>
      </c>
    </row>
    <row r="501" spans="1:6" ht="15.75" customHeight="1" x14ac:dyDescent="0.35">
      <c r="A501" s="1">
        <v>500</v>
      </c>
      <c r="B501" s="4" t="s">
        <v>14</v>
      </c>
      <c r="C501" s="5">
        <v>44363</v>
      </c>
      <c r="D501" s="6" t="s">
        <v>8</v>
      </c>
      <c r="E501" s="6">
        <v>4</v>
      </c>
      <c r="F501" s="6">
        <v>88</v>
      </c>
    </row>
    <row r="502" spans="1:6" ht="15.75" customHeight="1" x14ac:dyDescent="0.35">
      <c r="A502" s="1">
        <v>501</v>
      </c>
      <c r="B502" s="4" t="s">
        <v>14</v>
      </c>
      <c r="C502" s="5">
        <v>44363</v>
      </c>
      <c r="D502" s="6" t="s">
        <v>9</v>
      </c>
      <c r="E502" s="6">
        <v>1</v>
      </c>
      <c r="F502" s="6">
        <v>102</v>
      </c>
    </row>
    <row r="503" spans="1:6" ht="15.75" customHeight="1" x14ac:dyDescent="0.35">
      <c r="A503" s="1">
        <v>502</v>
      </c>
      <c r="B503" s="4" t="s">
        <v>15</v>
      </c>
      <c r="C503" s="5">
        <v>44364</v>
      </c>
      <c r="D503" s="6" t="s">
        <v>7</v>
      </c>
      <c r="E503" s="6">
        <v>6</v>
      </c>
      <c r="F503" s="6">
        <v>96</v>
      </c>
    </row>
    <row r="504" spans="1:6" ht="15.75" customHeight="1" x14ac:dyDescent="0.35">
      <c r="A504" s="1">
        <v>503</v>
      </c>
      <c r="B504" s="4" t="s">
        <v>15</v>
      </c>
      <c r="C504" s="5">
        <v>44364</v>
      </c>
      <c r="D504" s="6" t="s">
        <v>8</v>
      </c>
      <c r="E504" s="6">
        <v>1</v>
      </c>
      <c r="F504" s="6">
        <v>101</v>
      </c>
    </row>
    <row r="505" spans="1:6" ht="15.75" customHeight="1" x14ac:dyDescent="0.35">
      <c r="A505" s="1">
        <v>504</v>
      </c>
      <c r="B505" s="4" t="s">
        <v>15</v>
      </c>
      <c r="C505" s="5">
        <v>44364</v>
      </c>
      <c r="D505" s="6" t="s">
        <v>9</v>
      </c>
      <c r="E505" s="6">
        <v>0</v>
      </c>
      <c r="F505" s="6">
        <v>103</v>
      </c>
    </row>
    <row r="506" spans="1:6" ht="15.75" customHeight="1" x14ac:dyDescent="0.35">
      <c r="A506" s="1">
        <v>505</v>
      </c>
      <c r="B506" s="4" t="s">
        <v>6</v>
      </c>
      <c r="C506" s="5">
        <v>44365</v>
      </c>
      <c r="D506" s="6" t="s">
        <v>7</v>
      </c>
      <c r="E506" s="6">
        <v>3</v>
      </c>
      <c r="F506" s="6">
        <v>105</v>
      </c>
    </row>
    <row r="507" spans="1:6" ht="15.75" customHeight="1" x14ac:dyDescent="0.35">
      <c r="A507" s="1">
        <v>506</v>
      </c>
      <c r="B507" s="4" t="s">
        <v>6</v>
      </c>
      <c r="C507" s="5">
        <v>44365</v>
      </c>
      <c r="D507" s="6" t="s">
        <v>8</v>
      </c>
      <c r="E507" s="6">
        <v>2</v>
      </c>
      <c r="F507" s="6">
        <v>105</v>
      </c>
    </row>
    <row r="508" spans="1:6" ht="15.75" customHeight="1" x14ac:dyDescent="0.35">
      <c r="A508" s="1">
        <v>507</v>
      </c>
      <c r="B508" s="4" t="s">
        <v>6</v>
      </c>
      <c r="C508" s="5">
        <v>44365</v>
      </c>
      <c r="D508" s="6" t="s">
        <v>9</v>
      </c>
      <c r="E508" s="6">
        <v>2</v>
      </c>
      <c r="F508" s="6">
        <v>103</v>
      </c>
    </row>
    <row r="509" spans="1:6" ht="15.75" customHeight="1" x14ac:dyDescent="0.35">
      <c r="A509" s="1">
        <v>508</v>
      </c>
      <c r="B509" s="4" t="s">
        <v>10</v>
      </c>
      <c r="C509" s="5">
        <v>44366</v>
      </c>
      <c r="D509" s="6" t="s">
        <v>7</v>
      </c>
      <c r="E509" s="6">
        <v>1</v>
      </c>
      <c r="F509" s="6">
        <v>106</v>
      </c>
    </row>
    <row r="510" spans="1:6" ht="15.75" customHeight="1" x14ac:dyDescent="0.35">
      <c r="A510" s="1">
        <v>509</v>
      </c>
      <c r="B510" s="4" t="s">
        <v>10</v>
      </c>
      <c r="C510" s="5">
        <v>44366</v>
      </c>
      <c r="D510" s="6" t="s">
        <v>8</v>
      </c>
      <c r="E510" s="6">
        <v>2</v>
      </c>
      <c r="F510" s="6">
        <v>112</v>
      </c>
    </row>
    <row r="511" spans="1:6" ht="15.75" customHeight="1" x14ac:dyDescent="0.35">
      <c r="A511" s="1">
        <v>510</v>
      </c>
      <c r="B511" s="4" t="s">
        <v>10</v>
      </c>
      <c r="C511" s="5">
        <v>44366</v>
      </c>
      <c r="D511" s="6" t="s">
        <v>9</v>
      </c>
      <c r="E511" s="6">
        <v>1</v>
      </c>
      <c r="F511" s="6">
        <v>106</v>
      </c>
    </row>
    <row r="512" spans="1:6" ht="15.75" customHeight="1" x14ac:dyDescent="0.35">
      <c r="A512" s="1">
        <v>511</v>
      </c>
      <c r="B512" s="4" t="s">
        <v>11</v>
      </c>
      <c r="C512" s="5">
        <v>44367</v>
      </c>
      <c r="D512" s="6" t="s">
        <v>7</v>
      </c>
      <c r="E512" s="6">
        <v>1</v>
      </c>
      <c r="F512" s="6">
        <v>96</v>
      </c>
    </row>
    <row r="513" spans="1:6" ht="15.75" customHeight="1" x14ac:dyDescent="0.35">
      <c r="A513" s="1">
        <v>512</v>
      </c>
      <c r="B513" s="4" t="s">
        <v>11</v>
      </c>
      <c r="C513" s="5">
        <v>44367</v>
      </c>
      <c r="D513" s="6" t="s">
        <v>8</v>
      </c>
      <c r="E513" s="6">
        <v>3</v>
      </c>
      <c r="F513" s="6">
        <v>108</v>
      </c>
    </row>
    <row r="514" spans="1:6" ht="15.75" customHeight="1" x14ac:dyDescent="0.35">
      <c r="A514" s="1">
        <v>513</v>
      </c>
      <c r="B514" s="4" t="s">
        <v>11</v>
      </c>
      <c r="C514" s="5">
        <v>44367</v>
      </c>
      <c r="D514" s="6" t="s">
        <v>9</v>
      </c>
      <c r="E514" s="6">
        <v>0</v>
      </c>
      <c r="F514" s="6">
        <v>112</v>
      </c>
    </row>
    <row r="515" spans="1:6" ht="15.75" customHeight="1" x14ac:dyDescent="0.35">
      <c r="A515" s="1">
        <v>514</v>
      </c>
      <c r="B515" s="4" t="s">
        <v>12</v>
      </c>
      <c r="C515" s="5">
        <v>44368</v>
      </c>
      <c r="D515" s="6" t="s">
        <v>7</v>
      </c>
      <c r="E515" s="6">
        <v>5</v>
      </c>
      <c r="F515" s="6">
        <v>106</v>
      </c>
    </row>
    <row r="516" spans="1:6" ht="15.75" customHeight="1" x14ac:dyDescent="0.35">
      <c r="A516" s="1">
        <v>515</v>
      </c>
      <c r="B516" s="4" t="s">
        <v>12</v>
      </c>
      <c r="C516" s="5">
        <v>44368</v>
      </c>
      <c r="D516" s="6" t="s">
        <v>8</v>
      </c>
      <c r="E516" s="6">
        <v>1</v>
      </c>
      <c r="F516" s="6">
        <v>101</v>
      </c>
    </row>
    <row r="517" spans="1:6" ht="15.75" customHeight="1" x14ac:dyDescent="0.35">
      <c r="A517" s="1">
        <v>516</v>
      </c>
      <c r="B517" s="4" t="s">
        <v>12</v>
      </c>
      <c r="C517" s="5">
        <v>44368</v>
      </c>
      <c r="D517" s="6" t="s">
        <v>9</v>
      </c>
      <c r="E517" s="6">
        <v>2</v>
      </c>
      <c r="F517" s="6">
        <v>100</v>
      </c>
    </row>
    <row r="518" spans="1:6" ht="15.75" customHeight="1" x14ac:dyDescent="0.35">
      <c r="A518" s="1">
        <v>517</v>
      </c>
      <c r="B518" s="4" t="s">
        <v>13</v>
      </c>
      <c r="C518" s="5">
        <v>44369</v>
      </c>
      <c r="D518" s="6" t="s">
        <v>7</v>
      </c>
      <c r="E518" s="6">
        <v>1</v>
      </c>
      <c r="F518" s="6">
        <v>96</v>
      </c>
    </row>
    <row r="519" spans="1:6" ht="15.75" customHeight="1" x14ac:dyDescent="0.35">
      <c r="A519" s="1">
        <v>518</v>
      </c>
      <c r="B519" s="4" t="s">
        <v>13</v>
      </c>
      <c r="C519" s="5">
        <v>44369</v>
      </c>
      <c r="D519" s="6" t="s">
        <v>8</v>
      </c>
      <c r="E519" s="6">
        <v>0</v>
      </c>
      <c r="F519" s="6">
        <v>102</v>
      </c>
    </row>
    <row r="520" spans="1:6" ht="15.75" customHeight="1" x14ac:dyDescent="0.35">
      <c r="A520" s="1">
        <v>519</v>
      </c>
      <c r="B520" s="4" t="s">
        <v>13</v>
      </c>
      <c r="C520" s="5">
        <v>44369</v>
      </c>
      <c r="D520" s="6" t="s">
        <v>9</v>
      </c>
      <c r="E520" s="6">
        <v>2</v>
      </c>
      <c r="F520" s="6">
        <v>98</v>
      </c>
    </row>
    <row r="521" spans="1:6" ht="15.75" customHeight="1" x14ac:dyDescent="0.35">
      <c r="A521" s="1">
        <v>520</v>
      </c>
      <c r="B521" s="4" t="s">
        <v>14</v>
      </c>
      <c r="C521" s="5">
        <v>44370</v>
      </c>
      <c r="D521" s="6" t="s">
        <v>7</v>
      </c>
      <c r="E521" s="6">
        <v>3</v>
      </c>
      <c r="F521" s="6">
        <v>105</v>
      </c>
    </row>
    <row r="522" spans="1:6" ht="15.75" customHeight="1" x14ac:dyDescent="0.35">
      <c r="A522" s="1">
        <v>521</v>
      </c>
      <c r="B522" s="4" t="s">
        <v>14</v>
      </c>
      <c r="C522" s="5">
        <v>44370</v>
      </c>
      <c r="D522" s="6" t="s">
        <v>8</v>
      </c>
      <c r="E522" s="6">
        <v>3</v>
      </c>
      <c r="F522" s="6">
        <v>102</v>
      </c>
    </row>
    <row r="523" spans="1:6" ht="15.75" customHeight="1" x14ac:dyDescent="0.35">
      <c r="A523" s="1">
        <v>522</v>
      </c>
      <c r="B523" s="4" t="s">
        <v>14</v>
      </c>
      <c r="C523" s="5">
        <v>44370</v>
      </c>
      <c r="D523" s="6" t="s">
        <v>9</v>
      </c>
      <c r="E523" s="6">
        <v>2</v>
      </c>
      <c r="F523" s="6">
        <v>99</v>
      </c>
    </row>
    <row r="524" spans="1:6" ht="15.75" customHeight="1" x14ac:dyDescent="0.35">
      <c r="A524" s="1">
        <v>523</v>
      </c>
      <c r="B524" s="4" t="s">
        <v>15</v>
      </c>
      <c r="C524" s="5">
        <v>44371</v>
      </c>
      <c r="D524" s="6" t="s">
        <v>7</v>
      </c>
      <c r="E524" s="6">
        <v>8</v>
      </c>
      <c r="F524" s="6">
        <v>87</v>
      </c>
    </row>
    <row r="525" spans="1:6" ht="15.75" customHeight="1" x14ac:dyDescent="0.35">
      <c r="A525" s="1">
        <v>524</v>
      </c>
      <c r="B525" s="4" t="s">
        <v>15</v>
      </c>
      <c r="C525" s="5">
        <v>44371</v>
      </c>
      <c r="D525" s="6" t="s">
        <v>8</v>
      </c>
      <c r="E525" s="6">
        <v>5</v>
      </c>
      <c r="F525" s="6">
        <v>107</v>
      </c>
    </row>
    <row r="526" spans="1:6" ht="15.75" customHeight="1" x14ac:dyDescent="0.35">
      <c r="A526" s="1">
        <v>525</v>
      </c>
      <c r="B526" s="4" t="s">
        <v>15</v>
      </c>
      <c r="C526" s="5">
        <v>44371</v>
      </c>
      <c r="D526" s="6" t="s">
        <v>9</v>
      </c>
      <c r="E526" s="6">
        <v>1</v>
      </c>
      <c r="F526" s="6">
        <v>110</v>
      </c>
    </row>
    <row r="527" spans="1:6" ht="15.75" customHeight="1" x14ac:dyDescent="0.35">
      <c r="A527" s="1">
        <v>526</v>
      </c>
      <c r="B527" s="4" t="s">
        <v>6</v>
      </c>
      <c r="C527" s="5">
        <v>44372</v>
      </c>
      <c r="D527" s="6" t="s">
        <v>7</v>
      </c>
      <c r="E527" s="6">
        <v>5</v>
      </c>
      <c r="F527" s="6">
        <v>98</v>
      </c>
    </row>
    <row r="528" spans="1:6" ht="15.75" customHeight="1" x14ac:dyDescent="0.35">
      <c r="A528" s="1">
        <v>527</v>
      </c>
      <c r="B528" s="4" t="s">
        <v>6</v>
      </c>
      <c r="C528" s="5">
        <v>44372</v>
      </c>
      <c r="D528" s="6" t="s">
        <v>8</v>
      </c>
      <c r="E528" s="6">
        <v>3</v>
      </c>
      <c r="F528" s="6">
        <v>104</v>
      </c>
    </row>
    <row r="529" spans="1:6" ht="15.75" customHeight="1" x14ac:dyDescent="0.35">
      <c r="A529" s="1">
        <v>528</v>
      </c>
      <c r="B529" s="4" t="s">
        <v>6</v>
      </c>
      <c r="C529" s="5">
        <v>44372</v>
      </c>
      <c r="D529" s="6" t="s">
        <v>9</v>
      </c>
      <c r="E529" s="6">
        <v>0</v>
      </c>
      <c r="F529" s="6">
        <v>113</v>
      </c>
    </row>
    <row r="530" spans="1:6" ht="15.75" customHeight="1" x14ac:dyDescent="0.35">
      <c r="A530" s="1">
        <v>529</v>
      </c>
      <c r="B530" s="4" t="s">
        <v>10</v>
      </c>
      <c r="C530" s="5">
        <v>44373</v>
      </c>
      <c r="D530" s="6" t="s">
        <v>7</v>
      </c>
      <c r="E530" s="6">
        <v>5</v>
      </c>
      <c r="F530" s="6">
        <v>109</v>
      </c>
    </row>
    <row r="531" spans="1:6" ht="15.75" customHeight="1" x14ac:dyDescent="0.35">
      <c r="A531" s="1">
        <v>530</v>
      </c>
      <c r="B531" s="4" t="s">
        <v>10</v>
      </c>
      <c r="C531" s="5">
        <v>44373</v>
      </c>
      <c r="D531" s="6" t="s">
        <v>8</v>
      </c>
      <c r="E531" s="6">
        <v>4</v>
      </c>
      <c r="F531" s="6">
        <v>103</v>
      </c>
    </row>
    <row r="532" spans="1:6" ht="15.75" customHeight="1" x14ac:dyDescent="0.35">
      <c r="A532" s="1">
        <v>531</v>
      </c>
      <c r="B532" s="4" t="s">
        <v>10</v>
      </c>
      <c r="C532" s="5">
        <v>44373</v>
      </c>
      <c r="D532" s="6" t="s">
        <v>9</v>
      </c>
      <c r="E532" s="6">
        <v>0</v>
      </c>
      <c r="F532" s="6">
        <v>104</v>
      </c>
    </row>
    <row r="533" spans="1:6" ht="15.75" customHeight="1" x14ac:dyDescent="0.35">
      <c r="A533" s="1">
        <v>532</v>
      </c>
      <c r="B533" s="4" t="s">
        <v>11</v>
      </c>
      <c r="C533" s="5">
        <v>44374</v>
      </c>
      <c r="D533" s="6" t="s">
        <v>7</v>
      </c>
      <c r="E533" s="6">
        <v>8</v>
      </c>
      <c r="F533" s="6">
        <v>102</v>
      </c>
    </row>
    <row r="534" spans="1:6" ht="15.75" customHeight="1" x14ac:dyDescent="0.35">
      <c r="A534" s="1">
        <v>533</v>
      </c>
      <c r="B534" s="4" t="s">
        <v>11</v>
      </c>
      <c r="C534" s="5">
        <v>44374</v>
      </c>
      <c r="D534" s="6" t="s">
        <v>8</v>
      </c>
      <c r="E534" s="6">
        <v>0</v>
      </c>
      <c r="F534" s="6">
        <v>113</v>
      </c>
    </row>
    <row r="535" spans="1:6" ht="15.75" customHeight="1" x14ac:dyDescent="0.35">
      <c r="A535" s="1">
        <v>534</v>
      </c>
      <c r="B535" s="4" t="s">
        <v>11</v>
      </c>
      <c r="C535" s="5">
        <v>44374</v>
      </c>
      <c r="D535" s="6" t="s">
        <v>9</v>
      </c>
      <c r="E535" s="6">
        <v>3</v>
      </c>
      <c r="F535" s="6">
        <v>109</v>
      </c>
    </row>
    <row r="536" spans="1:6" ht="15.75" customHeight="1" x14ac:dyDescent="0.35">
      <c r="A536" s="1">
        <v>535</v>
      </c>
      <c r="B536" s="4" t="s">
        <v>12</v>
      </c>
      <c r="C536" s="5">
        <v>44375</v>
      </c>
      <c r="D536" s="6" t="s">
        <v>7</v>
      </c>
      <c r="E536" s="6">
        <v>2</v>
      </c>
      <c r="F536" s="6">
        <v>101</v>
      </c>
    </row>
    <row r="537" spans="1:6" ht="15.75" customHeight="1" x14ac:dyDescent="0.35">
      <c r="A537" s="1">
        <v>536</v>
      </c>
      <c r="B537" s="4" t="s">
        <v>12</v>
      </c>
      <c r="C537" s="5">
        <v>44375</v>
      </c>
      <c r="D537" s="6" t="s">
        <v>8</v>
      </c>
      <c r="E537" s="6">
        <v>2</v>
      </c>
      <c r="F537" s="6">
        <v>106</v>
      </c>
    </row>
    <row r="538" spans="1:6" ht="15.75" customHeight="1" x14ac:dyDescent="0.35">
      <c r="A538" s="1">
        <v>537</v>
      </c>
      <c r="B538" s="4" t="s">
        <v>12</v>
      </c>
      <c r="C538" s="5">
        <v>44375</v>
      </c>
      <c r="D538" s="6" t="s">
        <v>9</v>
      </c>
      <c r="E538" s="6">
        <v>2</v>
      </c>
      <c r="F538" s="6">
        <v>107</v>
      </c>
    </row>
    <row r="539" spans="1:6" ht="15.75" customHeight="1" x14ac:dyDescent="0.35">
      <c r="A539" s="1">
        <v>538</v>
      </c>
      <c r="B539" s="4" t="s">
        <v>13</v>
      </c>
      <c r="C539" s="5">
        <v>44376</v>
      </c>
      <c r="D539" s="6" t="s">
        <v>7</v>
      </c>
      <c r="E539" s="6">
        <v>4</v>
      </c>
      <c r="F539" s="6">
        <v>102</v>
      </c>
    </row>
    <row r="540" spans="1:6" ht="15.75" customHeight="1" x14ac:dyDescent="0.35">
      <c r="A540" s="1">
        <v>539</v>
      </c>
      <c r="B540" s="4" t="s">
        <v>13</v>
      </c>
      <c r="C540" s="5">
        <v>44376</v>
      </c>
      <c r="D540" s="6" t="s">
        <v>8</v>
      </c>
      <c r="E540" s="6">
        <v>5</v>
      </c>
      <c r="F540" s="6">
        <v>98</v>
      </c>
    </row>
    <row r="541" spans="1:6" ht="15.75" customHeight="1" x14ac:dyDescent="0.35">
      <c r="A541" s="1">
        <v>540</v>
      </c>
      <c r="B541" s="4" t="s">
        <v>13</v>
      </c>
      <c r="C541" s="5">
        <v>44376</v>
      </c>
      <c r="D541" s="6" t="s">
        <v>9</v>
      </c>
      <c r="E541" s="6">
        <v>1</v>
      </c>
      <c r="F541" s="6">
        <v>96</v>
      </c>
    </row>
    <row r="542" spans="1:6" ht="15.75" customHeight="1" x14ac:dyDescent="0.35">
      <c r="A542" s="1">
        <v>541</v>
      </c>
      <c r="B542" s="4" t="s">
        <v>14</v>
      </c>
      <c r="C542" s="5">
        <v>44377</v>
      </c>
      <c r="D542" s="6" t="s">
        <v>7</v>
      </c>
      <c r="E542" s="6">
        <v>1</v>
      </c>
      <c r="F542" s="6">
        <v>97</v>
      </c>
    </row>
    <row r="543" spans="1:6" ht="15.75" customHeight="1" x14ac:dyDescent="0.35">
      <c r="A543" s="1">
        <v>542</v>
      </c>
      <c r="B543" s="4" t="s">
        <v>14</v>
      </c>
      <c r="C543" s="5">
        <v>44377</v>
      </c>
      <c r="D543" s="6" t="s">
        <v>8</v>
      </c>
      <c r="E543" s="6">
        <v>1</v>
      </c>
      <c r="F543" s="6">
        <v>104</v>
      </c>
    </row>
    <row r="544" spans="1:6" ht="15.75" customHeight="1" x14ac:dyDescent="0.35">
      <c r="A544" s="1">
        <v>543</v>
      </c>
      <c r="B544" s="4" t="s">
        <v>14</v>
      </c>
      <c r="C544" s="5">
        <v>44377</v>
      </c>
      <c r="D544" s="6" t="s">
        <v>9</v>
      </c>
      <c r="E544" s="6">
        <v>0</v>
      </c>
      <c r="F544" s="6">
        <v>102</v>
      </c>
    </row>
    <row r="545" spans="1:6" ht="15.75" customHeight="1" x14ac:dyDescent="0.35">
      <c r="A545" s="1">
        <v>544</v>
      </c>
      <c r="B545" s="4" t="s">
        <v>15</v>
      </c>
      <c r="C545" s="5">
        <v>44378</v>
      </c>
      <c r="D545" s="6" t="s">
        <v>7</v>
      </c>
      <c r="E545" s="6">
        <v>3</v>
      </c>
      <c r="F545" s="6">
        <v>114</v>
      </c>
    </row>
    <row r="546" spans="1:6" ht="15.75" customHeight="1" x14ac:dyDescent="0.35">
      <c r="A546" s="1">
        <v>545</v>
      </c>
      <c r="B546" s="4" t="s">
        <v>15</v>
      </c>
      <c r="C546" s="5">
        <v>44378</v>
      </c>
      <c r="D546" s="6" t="s">
        <v>8</v>
      </c>
      <c r="E546" s="6">
        <v>1</v>
      </c>
      <c r="F546" s="6">
        <v>106</v>
      </c>
    </row>
    <row r="547" spans="1:6" ht="15.75" customHeight="1" x14ac:dyDescent="0.35">
      <c r="A547" s="1">
        <v>546</v>
      </c>
      <c r="B547" s="4" t="s">
        <v>15</v>
      </c>
      <c r="C547" s="5">
        <v>44378</v>
      </c>
      <c r="D547" s="6" t="s">
        <v>9</v>
      </c>
      <c r="E547" s="6">
        <v>0</v>
      </c>
      <c r="F547" s="6">
        <v>101</v>
      </c>
    </row>
    <row r="548" spans="1:6" ht="15.75" customHeight="1" x14ac:dyDescent="0.35">
      <c r="A548" s="1">
        <v>547</v>
      </c>
      <c r="B548" s="4" t="s">
        <v>6</v>
      </c>
      <c r="C548" s="5">
        <v>44379</v>
      </c>
      <c r="D548" s="6" t="s">
        <v>7</v>
      </c>
      <c r="E548" s="6">
        <v>3</v>
      </c>
      <c r="F548" s="6">
        <v>104</v>
      </c>
    </row>
    <row r="549" spans="1:6" ht="15.75" customHeight="1" x14ac:dyDescent="0.35">
      <c r="A549" s="1">
        <v>548</v>
      </c>
      <c r="B549" s="4" t="s">
        <v>6</v>
      </c>
      <c r="C549" s="5">
        <v>44379</v>
      </c>
      <c r="D549" s="6" t="s">
        <v>8</v>
      </c>
      <c r="E549" s="6">
        <v>1</v>
      </c>
      <c r="F549" s="6">
        <v>104</v>
      </c>
    </row>
    <row r="550" spans="1:6" ht="15.75" customHeight="1" x14ac:dyDescent="0.35">
      <c r="A550" s="1">
        <v>549</v>
      </c>
      <c r="B550" s="4" t="s">
        <v>6</v>
      </c>
      <c r="C550" s="5">
        <v>44379</v>
      </c>
      <c r="D550" s="6" t="s">
        <v>9</v>
      </c>
      <c r="E550" s="6">
        <v>1</v>
      </c>
      <c r="F550" s="6">
        <v>95</v>
      </c>
    </row>
    <row r="551" spans="1:6" ht="15.75" customHeight="1" x14ac:dyDescent="0.35">
      <c r="A551" s="1">
        <v>550</v>
      </c>
      <c r="B551" s="4" t="s">
        <v>10</v>
      </c>
      <c r="C551" s="5">
        <v>44380</v>
      </c>
      <c r="D551" s="6" t="s">
        <v>7</v>
      </c>
      <c r="E551" s="6">
        <v>5</v>
      </c>
      <c r="F551" s="6">
        <v>103</v>
      </c>
    </row>
    <row r="552" spans="1:6" ht="15.75" customHeight="1" x14ac:dyDescent="0.35">
      <c r="A552" s="1">
        <v>551</v>
      </c>
      <c r="B552" s="4" t="s">
        <v>10</v>
      </c>
      <c r="C552" s="5">
        <v>44380</v>
      </c>
      <c r="D552" s="6" t="s">
        <v>8</v>
      </c>
      <c r="E552" s="6">
        <v>4</v>
      </c>
      <c r="F552" s="6">
        <v>101</v>
      </c>
    </row>
    <row r="553" spans="1:6" ht="15.75" customHeight="1" x14ac:dyDescent="0.35">
      <c r="A553" s="1">
        <v>552</v>
      </c>
      <c r="B553" s="4" t="s">
        <v>10</v>
      </c>
      <c r="C553" s="5">
        <v>44380</v>
      </c>
      <c r="D553" s="6" t="s">
        <v>9</v>
      </c>
      <c r="E553" s="6">
        <v>0</v>
      </c>
      <c r="F553" s="6">
        <v>112</v>
      </c>
    </row>
    <row r="554" spans="1:6" ht="15.75" customHeight="1" x14ac:dyDescent="0.35">
      <c r="A554" s="1">
        <v>553</v>
      </c>
      <c r="B554" s="4" t="s">
        <v>11</v>
      </c>
      <c r="C554" s="5">
        <v>44381</v>
      </c>
      <c r="D554" s="6" t="s">
        <v>7</v>
      </c>
      <c r="E554" s="6">
        <v>5</v>
      </c>
      <c r="F554" s="6">
        <v>107</v>
      </c>
    </row>
    <row r="555" spans="1:6" ht="15.75" customHeight="1" x14ac:dyDescent="0.35">
      <c r="A555" s="1">
        <v>554</v>
      </c>
      <c r="B555" s="4" t="s">
        <v>11</v>
      </c>
      <c r="C555" s="5">
        <v>44381</v>
      </c>
      <c r="D555" s="6" t="s">
        <v>8</v>
      </c>
      <c r="E555" s="6">
        <v>2</v>
      </c>
      <c r="F555" s="6">
        <v>108</v>
      </c>
    </row>
    <row r="556" spans="1:6" ht="15.75" customHeight="1" x14ac:dyDescent="0.35">
      <c r="A556" s="1">
        <v>555</v>
      </c>
      <c r="B556" s="4" t="s">
        <v>11</v>
      </c>
      <c r="C556" s="5">
        <v>44381</v>
      </c>
      <c r="D556" s="6" t="s">
        <v>9</v>
      </c>
      <c r="E556" s="6">
        <v>1</v>
      </c>
      <c r="F556" s="6">
        <v>102</v>
      </c>
    </row>
    <row r="557" spans="1:6" ht="15.75" customHeight="1" x14ac:dyDescent="0.35">
      <c r="A557" s="1">
        <v>556</v>
      </c>
      <c r="B557" s="4" t="s">
        <v>12</v>
      </c>
      <c r="C557" s="5">
        <v>44382</v>
      </c>
      <c r="D557" s="6" t="s">
        <v>7</v>
      </c>
      <c r="E557" s="6">
        <v>6</v>
      </c>
      <c r="F557" s="6">
        <v>102</v>
      </c>
    </row>
    <row r="558" spans="1:6" ht="15.75" customHeight="1" x14ac:dyDescent="0.35">
      <c r="A558" s="1">
        <v>557</v>
      </c>
      <c r="B558" s="4" t="s">
        <v>12</v>
      </c>
      <c r="C558" s="5">
        <v>44382</v>
      </c>
      <c r="D558" s="6" t="s">
        <v>8</v>
      </c>
      <c r="E558" s="6">
        <v>2</v>
      </c>
      <c r="F558" s="6">
        <v>101</v>
      </c>
    </row>
    <row r="559" spans="1:6" ht="15.75" customHeight="1" x14ac:dyDescent="0.35">
      <c r="A559" s="1">
        <v>558</v>
      </c>
      <c r="B559" s="4" t="s">
        <v>12</v>
      </c>
      <c r="C559" s="5">
        <v>44382</v>
      </c>
      <c r="D559" s="6" t="s">
        <v>9</v>
      </c>
      <c r="E559" s="6">
        <v>0</v>
      </c>
      <c r="F559" s="6">
        <v>106</v>
      </c>
    </row>
    <row r="560" spans="1:6" ht="15.75" customHeight="1" x14ac:dyDescent="0.35">
      <c r="A560" s="1">
        <v>559</v>
      </c>
      <c r="B560" s="4" t="s">
        <v>13</v>
      </c>
      <c r="C560" s="5">
        <v>44383</v>
      </c>
      <c r="D560" s="6" t="s">
        <v>7</v>
      </c>
      <c r="E560" s="6">
        <v>3</v>
      </c>
      <c r="F560" s="6">
        <v>103</v>
      </c>
    </row>
    <row r="561" spans="1:6" ht="15.75" customHeight="1" x14ac:dyDescent="0.35">
      <c r="A561" s="1">
        <v>560</v>
      </c>
      <c r="B561" s="4" t="s">
        <v>13</v>
      </c>
      <c r="C561" s="5">
        <v>44383</v>
      </c>
      <c r="D561" s="6" t="s">
        <v>8</v>
      </c>
      <c r="E561" s="6">
        <v>2</v>
      </c>
      <c r="F561" s="6">
        <v>100</v>
      </c>
    </row>
    <row r="562" spans="1:6" ht="15.75" customHeight="1" x14ac:dyDescent="0.35">
      <c r="A562" s="1">
        <v>561</v>
      </c>
      <c r="B562" s="4" t="s">
        <v>13</v>
      </c>
      <c r="C562" s="5">
        <v>44383</v>
      </c>
      <c r="D562" s="6" t="s">
        <v>9</v>
      </c>
      <c r="E562" s="6">
        <v>2</v>
      </c>
      <c r="F562" s="6">
        <v>119</v>
      </c>
    </row>
    <row r="563" spans="1:6" ht="15.75" customHeight="1" x14ac:dyDescent="0.35">
      <c r="A563" s="1">
        <v>562</v>
      </c>
      <c r="B563" s="4" t="s">
        <v>14</v>
      </c>
      <c r="C563" s="5">
        <v>44384</v>
      </c>
      <c r="D563" s="6" t="s">
        <v>7</v>
      </c>
      <c r="E563" s="6">
        <v>0</v>
      </c>
      <c r="F563" s="6">
        <v>92</v>
      </c>
    </row>
    <row r="564" spans="1:6" ht="15.75" customHeight="1" x14ac:dyDescent="0.35">
      <c r="A564" s="1">
        <v>563</v>
      </c>
      <c r="B564" s="4" t="s">
        <v>14</v>
      </c>
      <c r="C564" s="5">
        <v>44384</v>
      </c>
      <c r="D564" s="6" t="s">
        <v>8</v>
      </c>
      <c r="E564" s="6">
        <v>5</v>
      </c>
      <c r="F564" s="6">
        <v>106</v>
      </c>
    </row>
    <row r="565" spans="1:6" ht="15.75" customHeight="1" x14ac:dyDescent="0.35">
      <c r="A565" s="1">
        <v>564</v>
      </c>
      <c r="B565" s="4" t="s">
        <v>14</v>
      </c>
      <c r="C565" s="5">
        <v>44384</v>
      </c>
      <c r="D565" s="6" t="s">
        <v>9</v>
      </c>
      <c r="E565" s="6">
        <v>0</v>
      </c>
      <c r="F565" s="6">
        <v>109</v>
      </c>
    </row>
    <row r="566" spans="1:6" ht="15.75" customHeight="1" x14ac:dyDescent="0.35">
      <c r="A566" s="1">
        <v>565</v>
      </c>
      <c r="B566" s="4" t="s">
        <v>15</v>
      </c>
      <c r="C566" s="5">
        <v>44385</v>
      </c>
      <c r="D566" s="6" t="s">
        <v>7</v>
      </c>
      <c r="E566" s="6">
        <v>3</v>
      </c>
      <c r="F566" s="6">
        <v>103</v>
      </c>
    </row>
    <row r="567" spans="1:6" ht="15.75" customHeight="1" x14ac:dyDescent="0.35">
      <c r="A567" s="1">
        <v>566</v>
      </c>
      <c r="B567" s="4" t="s">
        <v>15</v>
      </c>
      <c r="C567" s="5">
        <v>44385</v>
      </c>
      <c r="D567" s="6" t="s">
        <v>8</v>
      </c>
      <c r="E567" s="6">
        <v>2</v>
      </c>
      <c r="F567" s="6">
        <v>110</v>
      </c>
    </row>
    <row r="568" spans="1:6" ht="15.75" customHeight="1" x14ac:dyDescent="0.35">
      <c r="A568" s="1">
        <v>567</v>
      </c>
      <c r="B568" s="4" t="s">
        <v>15</v>
      </c>
      <c r="C568" s="5">
        <v>44385</v>
      </c>
      <c r="D568" s="6" t="s">
        <v>9</v>
      </c>
      <c r="E568" s="6">
        <v>0</v>
      </c>
      <c r="F568" s="6">
        <v>106</v>
      </c>
    </row>
    <row r="569" spans="1:6" ht="15.75" customHeight="1" x14ac:dyDescent="0.35">
      <c r="A569" s="1">
        <v>568</v>
      </c>
      <c r="B569" s="4" t="s">
        <v>6</v>
      </c>
      <c r="C569" s="5">
        <v>44386</v>
      </c>
      <c r="D569" s="6" t="s">
        <v>7</v>
      </c>
      <c r="E569" s="6">
        <v>4</v>
      </c>
      <c r="F569" s="6">
        <v>113</v>
      </c>
    </row>
    <row r="570" spans="1:6" ht="15.75" customHeight="1" x14ac:dyDescent="0.35">
      <c r="A570" s="1">
        <v>569</v>
      </c>
      <c r="B570" s="4" t="s">
        <v>6</v>
      </c>
      <c r="C570" s="5">
        <v>44386</v>
      </c>
      <c r="D570" s="6" t="s">
        <v>8</v>
      </c>
      <c r="E570" s="6">
        <v>3</v>
      </c>
      <c r="F570" s="6">
        <v>119</v>
      </c>
    </row>
    <row r="571" spans="1:6" ht="15.75" customHeight="1" x14ac:dyDescent="0.35">
      <c r="A571" s="1">
        <v>570</v>
      </c>
      <c r="B571" s="4" t="s">
        <v>6</v>
      </c>
      <c r="C571" s="5">
        <v>44386</v>
      </c>
      <c r="D571" s="6" t="s">
        <v>9</v>
      </c>
      <c r="E571" s="6">
        <v>0</v>
      </c>
      <c r="F571" s="6">
        <v>112</v>
      </c>
    </row>
    <row r="572" spans="1:6" ht="15.75" customHeight="1" x14ac:dyDescent="0.35">
      <c r="A572" s="1">
        <v>571</v>
      </c>
      <c r="B572" s="4" t="s">
        <v>10</v>
      </c>
      <c r="C572" s="5">
        <v>44387</v>
      </c>
      <c r="D572" s="6" t="s">
        <v>7</v>
      </c>
      <c r="E572" s="6">
        <v>6</v>
      </c>
      <c r="F572" s="6">
        <v>100</v>
      </c>
    </row>
    <row r="573" spans="1:6" ht="15.75" customHeight="1" x14ac:dyDescent="0.35">
      <c r="A573" s="1">
        <v>572</v>
      </c>
      <c r="B573" s="4" t="s">
        <v>10</v>
      </c>
      <c r="C573" s="5">
        <v>44387</v>
      </c>
      <c r="D573" s="6" t="s">
        <v>8</v>
      </c>
      <c r="E573" s="6">
        <v>3</v>
      </c>
      <c r="F573" s="6">
        <v>97</v>
      </c>
    </row>
    <row r="574" spans="1:6" ht="15.75" customHeight="1" x14ac:dyDescent="0.35">
      <c r="A574" s="1">
        <v>573</v>
      </c>
      <c r="B574" s="4" t="s">
        <v>10</v>
      </c>
      <c r="C574" s="5">
        <v>44387</v>
      </c>
      <c r="D574" s="6" t="s">
        <v>9</v>
      </c>
      <c r="E574" s="6">
        <v>1</v>
      </c>
      <c r="F574" s="6">
        <v>112</v>
      </c>
    </row>
    <row r="575" spans="1:6" ht="15.75" customHeight="1" x14ac:dyDescent="0.35">
      <c r="A575" s="1">
        <v>574</v>
      </c>
      <c r="B575" s="4" t="s">
        <v>11</v>
      </c>
      <c r="C575" s="5">
        <v>44388</v>
      </c>
      <c r="D575" s="6" t="s">
        <v>7</v>
      </c>
      <c r="E575" s="6">
        <v>6</v>
      </c>
      <c r="F575" s="6">
        <v>107</v>
      </c>
    </row>
    <row r="576" spans="1:6" ht="15.75" customHeight="1" x14ac:dyDescent="0.35">
      <c r="A576" s="1">
        <v>575</v>
      </c>
      <c r="B576" s="4" t="s">
        <v>11</v>
      </c>
      <c r="C576" s="5">
        <v>44388</v>
      </c>
      <c r="D576" s="6" t="s">
        <v>8</v>
      </c>
      <c r="E576" s="6">
        <v>2</v>
      </c>
      <c r="F576" s="6">
        <v>104</v>
      </c>
    </row>
    <row r="577" spans="1:6" ht="15.75" customHeight="1" x14ac:dyDescent="0.35">
      <c r="A577" s="1">
        <v>576</v>
      </c>
      <c r="B577" s="4" t="s">
        <v>11</v>
      </c>
      <c r="C577" s="5">
        <v>44388</v>
      </c>
      <c r="D577" s="6" t="s">
        <v>9</v>
      </c>
      <c r="E577" s="6">
        <v>0</v>
      </c>
      <c r="F577" s="6">
        <v>112</v>
      </c>
    </row>
    <row r="578" spans="1:6" ht="15.75" customHeight="1" x14ac:dyDescent="0.35">
      <c r="A578" s="1">
        <v>577</v>
      </c>
      <c r="B578" s="4" t="s">
        <v>12</v>
      </c>
      <c r="C578" s="5">
        <v>44389</v>
      </c>
      <c r="D578" s="6" t="s">
        <v>7</v>
      </c>
      <c r="E578" s="6">
        <v>1</v>
      </c>
      <c r="F578" s="6">
        <v>93</v>
      </c>
    </row>
    <row r="579" spans="1:6" ht="15.75" customHeight="1" x14ac:dyDescent="0.35">
      <c r="A579" s="1">
        <v>578</v>
      </c>
      <c r="B579" s="4" t="s">
        <v>12</v>
      </c>
      <c r="C579" s="5">
        <v>44389</v>
      </c>
      <c r="D579" s="6" t="s">
        <v>8</v>
      </c>
      <c r="E579" s="6">
        <v>3</v>
      </c>
      <c r="F579" s="6">
        <v>111</v>
      </c>
    </row>
    <row r="580" spans="1:6" ht="15.75" customHeight="1" x14ac:dyDescent="0.35">
      <c r="A580" s="1">
        <v>579</v>
      </c>
      <c r="B580" s="4" t="s">
        <v>12</v>
      </c>
      <c r="C580" s="5">
        <v>44389</v>
      </c>
      <c r="D580" s="6" t="s">
        <v>9</v>
      </c>
      <c r="E580" s="6">
        <v>2</v>
      </c>
      <c r="F580" s="6">
        <v>101</v>
      </c>
    </row>
    <row r="581" spans="1:6" ht="15.75" customHeight="1" x14ac:dyDescent="0.35">
      <c r="A581" s="1">
        <v>580</v>
      </c>
      <c r="B581" s="4" t="s">
        <v>13</v>
      </c>
      <c r="C581" s="5">
        <v>44390</v>
      </c>
      <c r="D581" s="6" t="s">
        <v>7</v>
      </c>
      <c r="E581" s="6">
        <v>1</v>
      </c>
      <c r="F581" s="6">
        <v>109</v>
      </c>
    </row>
    <row r="582" spans="1:6" ht="15.75" customHeight="1" x14ac:dyDescent="0.35">
      <c r="A582" s="1">
        <v>581</v>
      </c>
      <c r="B582" s="4" t="s">
        <v>13</v>
      </c>
      <c r="C582" s="5">
        <v>44390</v>
      </c>
      <c r="D582" s="6" t="s">
        <v>8</v>
      </c>
      <c r="E582" s="6">
        <v>3</v>
      </c>
      <c r="F582" s="6">
        <v>101</v>
      </c>
    </row>
    <row r="583" spans="1:6" ht="15.75" customHeight="1" x14ac:dyDescent="0.35">
      <c r="A583" s="1">
        <v>582</v>
      </c>
      <c r="B583" s="4" t="s">
        <v>13</v>
      </c>
      <c r="C583" s="5">
        <v>44390</v>
      </c>
      <c r="D583" s="6" t="s">
        <v>9</v>
      </c>
      <c r="E583" s="6">
        <v>0</v>
      </c>
      <c r="F583" s="6">
        <v>94</v>
      </c>
    </row>
    <row r="584" spans="1:6" ht="15.75" customHeight="1" x14ac:dyDescent="0.35">
      <c r="A584" s="1">
        <v>583</v>
      </c>
      <c r="B584" s="4" t="s">
        <v>14</v>
      </c>
      <c r="C584" s="5">
        <v>44391</v>
      </c>
      <c r="D584" s="6" t="s">
        <v>7</v>
      </c>
      <c r="E584" s="6">
        <v>3</v>
      </c>
      <c r="F584" s="6">
        <v>105</v>
      </c>
    </row>
    <row r="585" spans="1:6" ht="15.75" customHeight="1" x14ac:dyDescent="0.35">
      <c r="A585" s="1">
        <v>584</v>
      </c>
      <c r="B585" s="4" t="s">
        <v>14</v>
      </c>
      <c r="C585" s="5">
        <v>44391</v>
      </c>
      <c r="D585" s="6" t="s">
        <v>8</v>
      </c>
      <c r="E585" s="6">
        <v>3</v>
      </c>
      <c r="F585" s="6">
        <v>108</v>
      </c>
    </row>
    <row r="586" spans="1:6" ht="15.75" customHeight="1" x14ac:dyDescent="0.35">
      <c r="A586" s="1">
        <v>585</v>
      </c>
      <c r="B586" s="4" t="s">
        <v>14</v>
      </c>
      <c r="C586" s="5">
        <v>44391</v>
      </c>
      <c r="D586" s="6" t="s">
        <v>9</v>
      </c>
      <c r="E586" s="6">
        <v>2</v>
      </c>
      <c r="F586" s="6">
        <v>98</v>
      </c>
    </row>
    <row r="587" spans="1:6" ht="15.75" customHeight="1" x14ac:dyDescent="0.35">
      <c r="A587" s="1">
        <v>586</v>
      </c>
      <c r="B587" s="4" t="s">
        <v>15</v>
      </c>
      <c r="C587" s="5">
        <v>44392</v>
      </c>
      <c r="D587" s="6" t="s">
        <v>7</v>
      </c>
      <c r="E587" s="6">
        <v>1</v>
      </c>
      <c r="F587" s="6">
        <v>101</v>
      </c>
    </row>
    <row r="588" spans="1:6" ht="15.75" customHeight="1" x14ac:dyDescent="0.35">
      <c r="A588" s="1">
        <v>587</v>
      </c>
      <c r="B588" s="4" t="s">
        <v>15</v>
      </c>
      <c r="C588" s="5">
        <v>44392</v>
      </c>
      <c r="D588" s="6" t="s">
        <v>8</v>
      </c>
      <c r="E588" s="6">
        <v>3</v>
      </c>
      <c r="F588" s="6">
        <v>106</v>
      </c>
    </row>
    <row r="589" spans="1:6" ht="15.75" customHeight="1" x14ac:dyDescent="0.35">
      <c r="A589" s="1">
        <v>588</v>
      </c>
      <c r="B589" s="4" t="s">
        <v>15</v>
      </c>
      <c r="C589" s="5">
        <v>44392</v>
      </c>
      <c r="D589" s="6" t="s">
        <v>9</v>
      </c>
      <c r="E589" s="6">
        <v>1</v>
      </c>
      <c r="F589" s="6">
        <v>105</v>
      </c>
    </row>
    <row r="590" spans="1:6" ht="15.75" customHeight="1" x14ac:dyDescent="0.35">
      <c r="A590" s="1">
        <v>589</v>
      </c>
      <c r="B590" s="4" t="s">
        <v>6</v>
      </c>
      <c r="C590" s="5">
        <v>44393</v>
      </c>
      <c r="D590" s="6" t="s">
        <v>7</v>
      </c>
      <c r="E590" s="6">
        <v>4</v>
      </c>
      <c r="F590" s="6">
        <v>104</v>
      </c>
    </row>
    <row r="591" spans="1:6" ht="15.75" customHeight="1" x14ac:dyDescent="0.35">
      <c r="A591" s="1">
        <v>590</v>
      </c>
      <c r="B591" s="4" t="s">
        <v>6</v>
      </c>
      <c r="C591" s="5">
        <v>44393</v>
      </c>
      <c r="D591" s="6" t="s">
        <v>8</v>
      </c>
      <c r="E591" s="6">
        <v>1</v>
      </c>
      <c r="F591" s="6">
        <v>99</v>
      </c>
    </row>
    <row r="592" spans="1:6" ht="15.75" customHeight="1" x14ac:dyDescent="0.35">
      <c r="A592" s="1">
        <v>591</v>
      </c>
      <c r="B592" s="4" t="s">
        <v>6</v>
      </c>
      <c r="C592" s="5">
        <v>44393</v>
      </c>
      <c r="D592" s="6" t="s">
        <v>9</v>
      </c>
      <c r="E592" s="6">
        <v>3</v>
      </c>
      <c r="F592" s="6">
        <v>113</v>
      </c>
    </row>
    <row r="593" spans="1:6" ht="15.75" customHeight="1" x14ac:dyDescent="0.35">
      <c r="A593" s="1">
        <v>592</v>
      </c>
      <c r="B593" s="4" t="s">
        <v>10</v>
      </c>
      <c r="C593" s="5">
        <v>44394</v>
      </c>
      <c r="D593" s="6" t="s">
        <v>7</v>
      </c>
      <c r="E593" s="6">
        <v>1</v>
      </c>
      <c r="F593" s="6">
        <v>110</v>
      </c>
    </row>
    <row r="594" spans="1:6" ht="15.75" customHeight="1" x14ac:dyDescent="0.35">
      <c r="A594" s="1">
        <v>593</v>
      </c>
      <c r="B594" s="4" t="s">
        <v>10</v>
      </c>
      <c r="C594" s="5">
        <v>44394</v>
      </c>
      <c r="D594" s="6" t="s">
        <v>8</v>
      </c>
      <c r="E594" s="6">
        <v>2</v>
      </c>
      <c r="F594" s="6">
        <v>114</v>
      </c>
    </row>
    <row r="595" spans="1:6" ht="15.75" customHeight="1" x14ac:dyDescent="0.35">
      <c r="A595" s="1">
        <v>594</v>
      </c>
      <c r="B595" s="4" t="s">
        <v>10</v>
      </c>
      <c r="C595" s="5">
        <v>44394</v>
      </c>
      <c r="D595" s="6" t="s">
        <v>9</v>
      </c>
      <c r="E595" s="6">
        <v>1</v>
      </c>
      <c r="F595" s="6">
        <v>107</v>
      </c>
    </row>
    <row r="596" spans="1:6" ht="15.75" customHeight="1" x14ac:dyDescent="0.35">
      <c r="A596" s="1">
        <v>595</v>
      </c>
      <c r="B596" s="4" t="s">
        <v>11</v>
      </c>
      <c r="C596" s="5">
        <v>44395</v>
      </c>
      <c r="D596" s="6" t="s">
        <v>7</v>
      </c>
      <c r="E596" s="6">
        <v>1</v>
      </c>
      <c r="F596" s="6">
        <v>87</v>
      </c>
    </row>
    <row r="597" spans="1:6" ht="15.75" customHeight="1" x14ac:dyDescent="0.35">
      <c r="A597" s="1">
        <v>596</v>
      </c>
      <c r="B597" s="4" t="s">
        <v>11</v>
      </c>
      <c r="C597" s="5">
        <v>44395</v>
      </c>
      <c r="D597" s="6" t="s">
        <v>8</v>
      </c>
      <c r="E597" s="6">
        <v>2</v>
      </c>
      <c r="F597" s="6">
        <v>104</v>
      </c>
    </row>
    <row r="598" spans="1:6" ht="15.75" customHeight="1" x14ac:dyDescent="0.35">
      <c r="A598" s="1">
        <v>597</v>
      </c>
      <c r="B598" s="4" t="s">
        <v>11</v>
      </c>
      <c r="C598" s="5">
        <v>44395</v>
      </c>
      <c r="D598" s="6" t="s">
        <v>9</v>
      </c>
      <c r="E598" s="6">
        <v>2</v>
      </c>
      <c r="F598" s="6">
        <v>102</v>
      </c>
    </row>
    <row r="599" spans="1:6" ht="15.75" customHeight="1" x14ac:dyDescent="0.35">
      <c r="A599" s="1">
        <v>598</v>
      </c>
      <c r="B599" s="4" t="s">
        <v>12</v>
      </c>
      <c r="C599" s="5">
        <v>44396</v>
      </c>
      <c r="D599" s="6" t="s">
        <v>7</v>
      </c>
      <c r="E599" s="6">
        <v>4</v>
      </c>
      <c r="F599" s="6">
        <v>93</v>
      </c>
    </row>
    <row r="600" spans="1:6" ht="15.75" customHeight="1" x14ac:dyDescent="0.35">
      <c r="A600" s="1">
        <v>599</v>
      </c>
      <c r="B600" s="4" t="s">
        <v>12</v>
      </c>
      <c r="C600" s="5">
        <v>44396</v>
      </c>
      <c r="D600" s="6" t="s">
        <v>8</v>
      </c>
      <c r="E600" s="6">
        <v>2</v>
      </c>
      <c r="F600" s="6">
        <v>97</v>
      </c>
    </row>
    <row r="601" spans="1:6" ht="15.75" customHeight="1" x14ac:dyDescent="0.35">
      <c r="A601" s="1">
        <v>600</v>
      </c>
      <c r="B601" s="4" t="s">
        <v>12</v>
      </c>
      <c r="C601" s="5">
        <v>44396</v>
      </c>
      <c r="D601" s="6" t="s">
        <v>9</v>
      </c>
      <c r="E601" s="6">
        <v>0</v>
      </c>
      <c r="F601" s="6">
        <v>105</v>
      </c>
    </row>
    <row r="602" spans="1:6" ht="15.75" customHeight="1" x14ac:dyDescent="0.35">
      <c r="A602" s="1">
        <v>601</v>
      </c>
      <c r="B602" s="4" t="s">
        <v>13</v>
      </c>
      <c r="C602" s="5">
        <v>44397</v>
      </c>
      <c r="D602" s="6" t="s">
        <v>7</v>
      </c>
      <c r="E602" s="6">
        <v>4</v>
      </c>
      <c r="F602" s="6">
        <v>97</v>
      </c>
    </row>
    <row r="603" spans="1:6" ht="15.75" customHeight="1" x14ac:dyDescent="0.35">
      <c r="A603" s="1">
        <v>602</v>
      </c>
      <c r="B603" s="4" t="s">
        <v>13</v>
      </c>
      <c r="C603" s="5">
        <v>44397</v>
      </c>
      <c r="D603" s="6" t="s">
        <v>8</v>
      </c>
      <c r="E603" s="6">
        <v>3</v>
      </c>
      <c r="F603" s="6">
        <v>94</v>
      </c>
    </row>
    <row r="604" spans="1:6" ht="15.75" customHeight="1" x14ac:dyDescent="0.35">
      <c r="A604" s="1">
        <v>603</v>
      </c>
      <c r="B604" s="4" t="s">
        <v>13</v>
      </c>
      <c r="C604" s="5">
        <v>44397</v>
      </c>
      <c r="D604" s="6" t="s">
        <v>9</v>
      </c>
      <c r="E604" s="6">
        <v>1</v>
      </c>
      <c r="F604" s="6">
        <v>96</v>
      </c>
    </row>
    <row r="605" spans="1:6" ht="15.75" customHeight="1" x14ac:dyDescent="0.35">
      <c r="A605" s="1">
        <v>604</v>
      </c>
      <c r="B605" s="4" t="s">
        <v>14</v>
      </c>
      <c r="C605" s="5">
        <v>44398</v>
      </c>
      <c r="D605" s="6" t="s">
        <v>7</v>
      </c>
      <c r="E605" s="6">
        <v>7</v>
      </c>
      <c r="F605" s="6">
        <v>100</v>
      </c>
    </row>
    <row r="606" spans="1:6" ht="15.75" customHeight="1" x14ac:dyDescent="0.35">
      <c r="A606" s="1">
        <v>605</v>
      </c>
      <c r="B606" s="4" t="s">
        <v>14</v>
      </c>
      <c r="C606" s="5">
        <v>44398</v>
      </c>
      <c r="D606" s="6" t="s">
        <v>8</v>
      </c>
      <c r="E606" s="6">
        <v>3</v>
      </c>
      <c r="F606" s="6">
        <v>102</v>
      </c>
    </row>
    <row r="607" spans="1:6" ht="15.75" customHeight="1" x14ac:dyDescent="0.35">
      <c r="A607" s="1">
        <v>606</v>
      </c>
      <c r="B607" s="4" t="s">
        <v>14</v>
      </c>
      <c r="C607" s="5">
        <v>44398</v>
      </c>
      <c r="D607" s="6" t="s">
        <v>9</v>
      </c>
      <c r="E607" s="6">
        <v>1</v>
      </c>
      <c r="F607" s="6">
        <v>113</v>
      </c>
    </row>
    <row r="608" spans="1:6" ht="15.75" customHeight="1" x14ac:dyDescent="0.35">
      <c r="A608" s="1">
        <v>607</v>
      </c>
      <c r="B608" s="4" t="s">
        <v>15</v>
      </c>
      <c r="C608" s="5">
        <v>44399</v>
      </c>
      <c r="D608" s="6" t="s">
        <v>7</v>
      </c>
      <c r="E608" s="6">
        <v>3</v>
      </c>
      <c r="F608" s="6">
        <v>99</v>
      </c>
    </row>
    <row r="609" spans="1:6" ht="15.75" customHeight="1" x14ac:dyDescent="0.35">
      <c r="A609" s="1">
        <v>608</v>
      </c>
      <c r="B609" s="4" t="s">
        <v>15</v>
      </c>
      <c r="C609" s="5">
        <v>44399</v>
      </c>
      <c r="D609" s="6" t="s">
        <v>8</v>
      </c>
      <c r="E609" s="6">
        <v>1</v>
      </c>
      <c r="F609" s="6">
        <v>102</v>
      </c>
    </row>
    <row r="610" spans="1:6" ht="15.75" customHeight="1" x14ac:dyDescent="0.35">
      <c r="A610" s="1">
        <v>609</v>
      </c>
      <c r="B610" s="4" t="s">
        <v>15</v>
      </c>
      <c r="C610" s="5">
        <v>44399</v>
      </c>
      <c r="D610" s="6" t="s">
        <v>9</v>
      </c>
      <c r="E610" s="6">
        <v>0</v>
      </c>
      <c r="F610" s="6">
        <v>112</v>
      </c>
    </row>
    <row r="611" spans="1:6" ht="15.75" customHeight="1" x14ac:dyDescent="0.35">
      <c r="A611" s="1">
        <v>610</v>
      </c>
      <c r="B611" s="4" t="s">
        <v>6</v>
      </c>
      <c r="C611" s="5">
        <v>44400</v>
      </c>
      <c r="D611" s="6" t="s">
        <v>7</v>
      </c>
      <c r="E611" s="6">
        <v>3</v>
      </c>
      <c r="F611" s="6">
        <v>113</v>
      </c>
    </row>
    <row r="612" spans="1:6" ht="15.75" customHeight="1" x14ac:dyDescent="0.35">
      <c r="A612" s="1">
        <v>611</v>
      </c>
      <c r="B612" s="4" t="s">
        <v>6</v>
      </c>
      <c r="C612" s="5">
        <v>44400</v>
      </c>
      <c r="D612" s="6" t="s">
        <v>8</v>
      </c>
      <c r="E612" s="6">
        <v>0</v>
      </c>
      <c r="F612" s="6">
        <v>109</v>
      </c>
    </row>
    <row r="613" spans="1:6" ht="15.75" customHeight="1" x14ac:dyDescent="0.35">
      <c r="A613" s="1">
        <v>612</v>
      </c>
      <c r="B613" s="4" t="s">
        <v>6</v>
      </c>
      <c r="C613" s="5">
        <v>44400</v>
      </c>
      <c r="D613" s="6" t="s">
        <v>9</v>
      </c>
      <c r="E613" s="6">
        <v>0</v>
      </c>
      <c r="F613" s="6">
        <v>103</v>
      </c>
    </row>
    <row r="614" spans="1:6" ht="15.75" customHeight="1" x14ac:dyDescent="0.35">
      <c r="A614" s="1">
        <v>613</v>
      </c>
      <c r="B614" s="4" t="s">
        <v>10</v>
      </c>
      <c r="C614" s="5">
        <v>44401</v>
      </c>
      <c r="D614" s="6" t="s">
        <v>7</v>
      </c>
      <c r="E614" s="6">
        <v>4</v>
      </c>
      <c r="F614" s="6">
        <v>107</v>
      </c>
    </row>
    <row r="615" spans="1:6" ht="15.75" customHeight="1" x14ac:dyDescent="0.35">
      <c r="A615" s="1">
        <v>614</v>
      </c>
      <c r="B615" s="4" t="s">
        <v>10</v>
      </c>
      <c r="C615" s="5">
        <v>44401</v>
      </c>
      <c r="D615" s="6" t="s">
        <v>8</v>
      </c>
      <c r="E615" s="6">
        <v>4</v>
      </c>
      <c r="F615" s="6">
        <v>109</v>
      </c>
    </row>
    <row r="616" spans="1:6" ht="15.75" customHeight="1" x14ac:dyDescent="0.35">
      <c r="A616" s="1">
        <v>615</v>
      </c>
      <c r="B616" s="4" t="s">
        <v>10</v>
      </c>
      <c r="C616" s="5">
        <v>44401</v>
      </c>
      <c r="D616" s="6" t="s">
        <v>9</v>
      </c>
      <c r="E616" s="6">
        <v>0</v>
      </c>
      <c r="F616" s="6">
        <v>114</v>
      </c>
    </row>
    <row r="617" spans="1:6" ht="15.75" customHeight="1" x14ac:dyDescent="0.35">
      <c r="A617" s="1">
        <v>616</v>
      </c>
      <c r="B617" s="4" t="s">
        <v>11</v>
      </c>
      <c r="C617" s="5">
        <v>44402</v>
      </c>
      <c r="D617" s="6" t="s">
        <v>7</v>
      </c>
      <c r="E617" s="6">
        <v>3</v>
      </c>
      <c r="F617" s="6">
        <v>101</v>
      </c>
    </row>
    <row r="618" spans="1:6" ht="15.75" customHeight="1" x14ac:dyDescent="0.35">
      <c r="A618" s="1">
        <v>617</v>
      </c>
      <c r="B618" s="4" t="s">
        <v>11</v>
      </c>
      <c r="C618" s="5">
        <v>44402</v>
      </c>
      <c r="D618" s="6" t="s">
        <v>8</v>
      </c>
      <c r="E618" s="6">
        <v>2</v>
      </c>
      <c r="F618" s="6">
        <v>110</v>
      </c>
    </row>
    <row r="619" spans="1:6" ht="15.75" customHeight="1" x14ac:dyDescent="0.35">
      <c r="A619" s="1">
        <v>618</v>
      </c>
      <c r="B619" s="4" t="s">
        <v>11</v>
      </c>
      <c r="C619" s="5">
        <v>44402</v>
      </c>
      <c r="D619" s="6" t="s">
        <v>9</v>
      </c>
      <c r="E619" s="6">
        <v>2</v>
      </c>
      <c r="F619" s="6">
        <v>109</v>
      </c>
    </row>
    <row r="620" spans="1:6" ht="15.75" customHeight="1" x14ac:dyDescent="0.35">
      <c r="A620" s="1">
        <v>619</v>
      </c>
      <c r="B620" s="4" t="s">
        <v>12</v>
      </c>
      <c r="C620" s="5">
        <v>44403</v>
      </c>
      <c r="D620" s="6" t="s">
        <v>7</v>
      </c>
      <c r="E620" s="6">
        <v>8</v>
      </c>
      <c r="F620" s="6">
        <v>106</v>
      </c>
    </row>
    <row r="621" spans="1:6" ht="15.75" customHeight="1" x14ac:dyDescent="0.35">
      <c r="A621" s="1">
        <v>620</v>
      </c>
      <c r="B621" s="4" t="s">
        <v>12</v>
      </c>
      <c r="C621" s="5">
        <v>44403</v>
      </c>
      <c r="D621" s="6" t="s">
        <v>8</v>
      </c>
      <c r="E621" s="6">
        <v>1</v>
      </c>
      <c r="F621" s="6">
        <v>97</v>
      </c>
    </row>
    <row r="622" spans="1:6" ht="15.75" customHeight="1" x14ac:dyDescent="0.35">
      <c r="A622" s="1">
        <v>621</v>
      </c>
      <c r="B622" s="4" t="s">
        <v>12</v>
      </c>
      <c r="C622" s="5">
        <v>44403</v>
      </c>
      <c r="D622" s="6" t="s">
        <v>9</v>
      </c>
      <c r="E622" s="6">
        <v>0</v>
      </c>
      <c r="F622" s="6">
        <v>109</v>
      </c>
    </row>
    <row r="623" spans="1:6" ht="15.75" customHeight="1" x14ac:dyDescent="0.35">
      <c r="A623" s="1">
        <v>622</v>
      </c>
      <c r="B623" s="4" t="s">
        <v>13</v>
      </c>
      <c r="C623" s="5">
        <v>44404</v>
      </c>
      <c r="D623" s="6" t="s">
        <v>7</v>
      </c>
      <c r="E623" s="6">
        <v>2</v>
      </c>
      <c r="F623" s="6">
        <v>97</v>
      </c>
    </row>
    <row r="624" spans="1:6" ht="15.75" customHeight="1" x14ac:dyDescent="0.35">
      <c r="A624" s="1">
        <v>623</v>
      </c>
      <c r="B624" s="4" t="s">
        <v>13</v>
      </c>
      <c r="C624" s="5">
        <v>44404</v>
      </c>
      <c r="D624" s="6" t="s">
        <v>8</v>
      </c>
      <c r="E624" s="6">
        <v>3</v>
      </c>
      <c r="F624" s="6">
        <v>107</v>
      </c>
    </row>
    <row r="625" spans="1:6" ht="15.75" customHeight="1" x14ac:dyDescent="0.35">
      <c r="A625" s="1">
        <v>624</v>
      </c>
      <c r="B625" s="4" t="s">
        <v>13</v>
      </c>
      <c r="C625" s="5">
        <v>44404</v>
      </c>
      <c r="D625" s="6" t="s">
        <v>9</v>
      </c>
      <c r="E625" s="6">
        <v>1</v>
      </c>
      <c r="F625" s="6">
        <v>104</v>
      </c>
    </row>
    <row r="626" spans="1:6" ht="15.75" customHeight="1" x14ac:dyDescent="0.35">
      <c r="A626" s="1">
        <v>625</v>
      </c>
      <c r="B626" s="4" t="s">
        <v>14</v>
      </c>
      <c r="C626" s="5">
        <v>44405</v>
      </c>
      <c r="D626" s="6" t="s">
        <v>7</v>
      </c>
      <c r="E626" s="6">
        <v>5</v>
      </c>
      <c r="F626" s="6">
        <v>94</v>
      </c>
    </row>
    <row r="627" spans="1:6" ht="15.75" customHeight="1" x14ac:dyDescent="0.35">
      <c r="A627" s="1">
        <v>626</v>
      </c>
      <c r="B627" s="4" t="s">
        <v>14</v>
      </c>
      <c r="C627" s="5">
        <v>44405</v>
      </c>
      <c r="D627" s="6" t="s">
        <v>8</v>
      </c>
      <c r="E627" s="6">
        <v>3</v>
      </c>
      <c r="F627" s="6">
        <v>107</v>
      </c>
    </row>
    <row r="628" spans="1:6" ht="15.75" customHeight="1" x14ac:dyDescent="0.35">
      <c r="A628" s="1">
        <v>627</v>
      </c>
      <c r="B628" s="4" t="s">
        <v>14</v>
      </c>
      <c r="C628" s="5">
        <v>44405</v>
      </c>
      <c r="D628" s="6" t="s">
        <v>9</v>
      </c>
      <c r="E628" s="6">
        <v>0</v>
      </c>
      <c r="F628" s="6">
        <v>102</v>
      </c>
    </row>
    <row r="629" spans="1:6" ht="15.75" customHeight="1" x14ac:dyDescent="0.35">
      <c r="A629" s="1">
        <v>628</v>
      </c>
      <c r="B629" s="4" t="s">
        <v>15</v>
      </c>
      <c r="C629" s="5">
        <v>44406</v>
      </c>
      <c r="D629" s="6" t="s">
        <v>7</v>
      </c>
      <c r="E629" s="6">
        <v>3</v>
      </c>
      <c r="F629" s="6">
        <v>103</v>
      </c>
    </row>
    <row r="630" spans="1:6" ht="15.75" customHeight="1" x14ac:dyDescent="0.35">
      <c r="A630" s="1">
        <v>629</v>
      </c>
      <c r="B630" s="4" t="s">
        <v>15</v>
      </c>
      <c r="C630" s="5">
        <v>44406</v>
      </c>
      <c r="D630" s="6" t="s">
        <v>8</v>
      </c>
      <c r="E630" s="6">
        <v>3</v>
      </c>
      <c r="F630" s="6">
        <v>107</v>
      </c>
    </row>
    <row r="631" spans="1:6" ht="15.75" customHeight="1" x14ac:dyDescent="0.35">
      <c r="A631" s="1">
        <v>630</v>
      </c>
      <c r="B631" s="4" t="s">
        <v>15</v>
      </c>
      <c r="C631" s="5">
        <v>44406</v>
      </c>
      <c r="D631" s="6" t="s">
        <v>9</v>
      </c>
      <c r="E631" s="6">
        <v>0</v>
      </c>
      <c r="F631" s="6">
        <v>103</v>
      </c>
    </row>
    <row r="632" spans="1:6" ht="15.75" customHeight="1" x14ac:dyDescent="0.35">
      <c r="A632" s="1">
        <v>631</v>
      </c>
      <c r="B632" s="4" t="s">
        <v>6</v>
      </c>
      <c r="C632" s="5">
        <v>44407</v>
      </c>
      <c r="D632" s="6" t="s">
        <v>7</v>
      </c>
      <c r="E632" s="6">
        <v>4</v>
      </c>
      <c r="F632" s="6">
        <v>103</v>
      </c>
    </row>
    <row r="633" spans="1:6" ht="15.75" customHeight="1" x14ac:dyDescent="0.35">
      <c r="A633" s="1">
        <v>632</v>
      </c>
      <c r="B633" s="4" t="s">
        <v>6</v>
      </c>
      <c r="C633" s="5">
        <v>44407</v>
      </c>
      <c r="D633" s="6" t="s">
        <v>8</v>
      </c>
      <c r="E633" s="6">
        <v>2</v>
      </c>
      <c r="F633" s="6">
        <v>106</v>
      </c>
    </row>
    <row r="634" spans="1:6" ht="15.75" customHeight="1" x14ac:dyDescent="0.35">
      <c r="A634" s="1">
        <v>633</v>
      </c>
      <c r="B634" s="4" t="s">
        <v>6</v>
      </c>
      <c r="C634" s="5">
        <v>44407</v>
      </c>
      <c r="D634" s="6" t="s">
        <v>9</v>
      </c>
      <c r="E634" s="6">
        <v>2</v>
      </c>
      <c r="F634" s="6">
        <v>105</v>
      </c>
    </row>
    <row r="635" spans="1:6" ht="15.75" customHeight="1" x14ac:dyDescent="0.35">
      <c r="A635" s="1">
        <v>634</v>
      </c>
      <c r="B635" s="4" t="s">
        <v>10</v>
      </c>
      <c r="C635" s="5">
        <v>44408</v>
      </c>
      <c r="D635" s="6" t="s">
        <v>7</v>
      </c>
      <c r="E635" s="6">
        <v>2</v>
      </c>
      <c r="F635" s="6">
        <v>108</v>
      </c>
    </row>
    <row r="636" spans="1:6" ht="15.75" customHeight="1" x14ac:dyDescent="0.35">
      <c r="A636" s="1">
        <v>635</v>
      </c>
      <c r="B636" s="4" t="s">
        <v>10</v>
      </c>
      <c r="C636" s="5">
        <v>44408</v>
      </c>
      <c r="D636" s="6" t="s">
        <v>8</v>
      </c>
      <c r="E636" s="6">
        <v>1</v>
      </c>
      <c r="F636" s="6">
        <v>113</v>
      </c>
    </row>
    <row r="637" spans="1:6" ht="15.75" customHeight="1" x14ac:dyDescent="0.35">
      <c r="A637" s="1">
        <v>636</v>
      </c>
      <c r="B637" s="4" t="s">
        <v>10</v>
      </c>
      <c r="C637" s="5">
        <v>44408</v>
      </c>
      <c r="D637" s="6" t="s">
        <v>9</v>
      </c>
      <c r="E637" s="6">
        <v>1</v>
      </c>
      <c r="F637" s="6">
        <v>112</v>
      </c>
    </row>
    <row r="638" spans="1:6" ht="15.75" customHeight="1" x14ac:dyDescent="0.35">
      <c r="A638" s="1">
        <v>637</v>
      </c>
      <c r="B638" s="4" t="s">
        <v>11</v>
      </c>
      <c r="C638" s="5">
        <v>44409</v>
      </c>
      <c r="D638" s="6" t="s">
        <v>7</v>
      </c>
      <c r="E638" s="6">
        <v>4</v>
      </c>
      <c r="F638" s="6">
        <v>104</v>
      </c>
    </row>
    <row r="639" spans="1:6" ht="15.75" customHeight="1" x14ac:dyDescent="0.35">
      <c r="A639" s="1">
        <v>638</v>
      </c>
      <c r="B639" s="4" t="s">
        <v>11</v>
      </c>
      <c r="C639" s="5">
        <v>44409</v>
      </c>
      <c r="D639" s="6" t="s">
        <v>8</v>
      </c>
      <c r="E639" s="6">
        <v>3</v>
      </c>
      <c r="F639" s="6">
        <v>99</v>
      </c>
    </row>
    <row r="640" spans="1:6" ht="15.75" customHeight="1" x14ac:dyDescent="0.35">
      <c r="A640" s="1">
        <v>639</v>
      </c>
      <c r="B640" s="4" t="s">
        <v>11</v>
      </c>
      <c r="C640" s="5">
        <v>44409</v>
      </c>
      <c r="D640" s="6" t="s">
        <v>9</v>
      </c>
      <c r="E640" s="6">
        <v>0</v>
      </c>
      <c r="F640" s="6">
        <v>107</v>
      </c>
    </row>
    <row r="641" spans="1:6" ht="15.75" customHeight="1" x14ac:dyDescent="0.35">
      <c r="A641" s="1">
        <v>640</v>
      </c>
      <c r="B641" s="4" t="s">
        <v>12</v>
      </c>
      <c r="C641" s="5">
        <v>44410</v>
      </c>
      <c r="D641" s="6" t="s">
        <v>7</v>
      </c>
      <c r="E641" s="6">
        <v>4</v>
      </c>
      <c r="F641" s="6">
        <v>103</v>
      </c>
    </row>
    <row r="642" spans="1:6" ht="15.75" customHeight="1" x14ac:dyDescent="0.35">
      <c r="A642" s="1">
        <v>641</v>
      </c>
      <c r="B642" s="4" t="s">
        <v>12</v>
      </c>
      <c r="C642" s="5">
        <v>44410</v>
      </c>
      <c r="D642" s="6" t="s">
        <v>8</v>
      </c>
      <c r="E642" s="6">
        <v>3</v>
      </c>
      <c r="F642" s="6">
        <v>108</v>
      </c>
    </row>
    <row r="643" spans="1:6" ht="15.75" customHeight="1" x14ac:dyDescent="0.35">
      <c r="A643" s="1">
        <v>642</v>
      </c>
      <c r="B643" s="4" t="s">
        <v>12</v>
      </c>
      <c r="C643" s="5">
        <v>44410</v>
      </c>
      <c r="D643" s="6" t="s">
        <v>9</v>
      </c>
      <c r="E643" s="6">
        <v>2</v>
      </c>
      <c r="F643" s="6">
        <v>108</v>
      </c>
    </row>
    <row r="644" spans="1:6" ht="15.75" customHeight="1" x14ac:dyDescent="0.35">
      <c r="A644" s="1">
        <v>643</v>
      </c>
      <c r="B644" s="4" t="s">
        <v>13</v>
      </c>
      <c r="C644" s="5">
        <v>44411</v>
      </c>
      <c r="D644" s="6" t="s">
        <v>7</v>
      </c>
      <c r="E644" s="6">
        <v>3</v>
      </c>
      <c r="F644" s="6">
        <v>97</v>
      </c>
    </row>
    <row r="645" spans="1:6" ht="15.75" customHeight="1" x14ac:dyDescent="0.35">
      <c r="A645" s="1">
        <v>644</v>
      </c>
      <c r="B645" s="4" t="s">
        <v>13</v>
      </c>
      <c r="C645" s="5">
        <v>44411</v>
      </c>
      <c r="D645" s="6" t="s">
        <v>8</v>
      </c>
      <c r="E645" s="6">
        <v>2</v>
      </c>
      <c r="F645" s="6">
        <v>99</v>
      </c>
    </row>
    <row r="646" spans="1:6" ht="15.75" customHeight="1" x14ac:dyDescent="0.35">
      <c r="A646" s="1">
        <v>645</v>
      </c>
      <c r="B646" s="4" t="s">
        <v>13</v>
      </c>
      <c r="C646" s="5">
        <v>44411</v>
      </c>
      <c r="D646" s="6" t="s">
        <v>9</v>
      </c>
      <c r="E646" s="6">
        <v>1</v>
      </c>
      <c r="F646" s="6">
        <v>97</v>
      </c>
    </row>
    <row r="647" spans="1:6" ht="15.75" customHeight="1" x14ac:dyDescent="0.35">
      <c r="A647" s="1">
        <v>646</v>
      </c>
      <c r="B647" s="4" t="s">
        <v>14</v>
      </c>
      <c r="C647" s="5">
        <v>44412</v>
      </c>
      <c r="D647" s="6" t="s">
        <v>7</v>
      </c>
      <c r="E647" s="6">
        <v>2</v>
      </c>
      <c r="F647" s="6">
        <v>101</v>
      </c>
    </row>
    <row r="648" spans="1:6" ht="15.75" customHeight="1" x14ac:dyDescent="0.35">
      <c r="A648" s="1">
        <v>647</v>
      </c>
      <c r="B648" s="4" t="s">
        <v>14</v>
      </c>
      <c r="C648" s="5">
        <v>44412</v>
      </c>
      <c r="D648" s="6" t="s">
        <v>8</v>
      </c>
      <c r="E648" s="6">
        <v>2</v>
      </c>
      <c r="F648" s="6">
        <v>107</v>
      </c>
    </row>
    <row r="649" spans="1:6" ht="15.75" customHeight="1" x14ac:dyDescent="0.35">
      <c r="A649" s="1">
        <v>648</v>
      </c>
      <c r="B649" s="4" t="s">
        <v>14</v>
      </c>
      <c r="C649" s="5">
        <v>44412</v>
      </c>
      <c r="D649" s="6" t="s">
        <v>9</v>
      </c>
      <c r="E649" s="6">
        <v>0</v>
      </c>
      <c r="F649" s="6">
        <v>102</v>
      </c>
    </row>
    <row r="650" spans="1:6" ht="15.75" customHeight="1" x14ac:dyDescent="0.35">
      <c r="A650" s="1">
        <v>649</v>
      </c>
      <c r="B650" s="4" t="s">
        <v>15</v>
      </c>
      <c r="C650" s="5">
        <v>44413</v>
      </c>
      <c r="D650" s="6" t="s">
        <v>7</v>
      </c>
      <c r="E650" s="6">
        <v>2</v>
      </c>
      <c r="F650" s="6">
        <v>107</v>
      </c>
    </row>
    <row r="651" spans="1:6" ht="15.75" customHeight="1" x14ac:dyDescent="0.35">
      <c r="A651" s="1">
        <v>650</v>
      </c>
      <c r="B651" s="4" t="s">
        <v>15</v>
      </c>
      <c r="C651" s="5">
        <v>44413</v>
      </c>
      <c r="D651" s="6" t="s">
        <v>8</v>
      </c>
      <c r="E651" s="6">
        <v>3</v>
      </c>
      <c r="F651" s="6">
        <v>110</v>
      </c>
    </row>
    <row r="652" spans="1:6" ht="15.75" customHeight="1" x14ac:dyDescent="0.35">
      <c r="A652" s="1">
        <v>651</v>
      </c>
      <c r="B652" s="4" t="s">
        <v>15</v>
      </c>
      <c r="C652" s="5">
        <v>44413</v>
      </c>
      <c r="D652" s="6" t="s">
        <v>9</v>
      </c>
      <c r="E652" s="6">
        <v>1</v>
      </c>
      <c r="F652" s="6">
        <v>105</v>
      </c>
    </row>
    <row r="653" spans="1:6" ht="15.75" customHeight="1" x14ac:dyDescent="0.35">
      <c r="A653" s="1">
        <v>652</v>
      </c>
      <c r="B653" s="4" t="s">
        <v>6</v>
      </c>
      <c r="C653" s="5">
        <v>44414</v>
      </c>
      <c r="D653" s="6" t="s">
        <v>7</v>
      </c>
      <c r="E653" s="6">
        <v>4</v>
      </c>
      <c r="F653" s="6">
        <v>107</v>
      </c>
    </row>
    <row r="654" spans="1:6" ht="15.75" customHeight="1" x14ac:dyDescent="0.35">
      <c r="A654" s="1">
        <v>653</v>
      </c>
      <c r="B654" s="4" t="s">
        <v>6</v>
      </c>
      <c r="C654" s="5">
        <v>44414</v>
      </c>
      <c r="D654" s="6" t="s">
        <v>8</v>
      </c>
      <c r="E654" s="6">
        <v>2</v>
      </c>
      <c r="F654" s="6">
        <v>106</v>
      </c>
    </row>
    <row r="655" spans="1:6" ht="15.75" customHeight="1" x14ac:dyDescent="0.35">
      <c r="A655" s="1">
        <v>654</v>
      </c>
      <c r="B655" s="4" t="s">
        <v>6</v>
      </c>
      <c r="C655" s="5">
        <v>44414</v>
      </c>
      <c r="D655" s="6" t="s">
        <v>9</v>
      </c>
      <c r="E655" s="6">
        <v>1</v>
      </c>
      <c r="F655" s="6">
        <v>107</v>
      </c>
    </row>
    <row r="656" spans="1:6" ht="15.75" customHeight="1" x14ac:dyDescent="0.35">
      <c r="A656" s="1">
        <v>655</v>
      </c>
      <c r="B656" s="4" t="s">
        <v>10</v>
      </c>
      <c r="C656" s="5">
        <v>44415</v>
      </c>
      <c r="D656" s="6" t="s">
        <v>7</v>
      </c>
      <c r="E656" s="6">
        <v>3</v>
      </c>
      <c r="F656" s="6">
        <v>102</v>
      </c>
    </row>
    <row r="657" spans="1:6" ht="15.75" customHeight="1" x14ac:dyDescent="0.35">
      <c r="A657" s="1">
        <v>656</v>
      </c>
      <c r="B657" s="4" t="s">
        <v>10</v>
      </c>
      <c r="C657" s="5">
        <v>44415</v>
      </c>
      <c r="D657" s="6" t="s">
        <v>8</v>
      </c>
      <c r="E657" s="6">
        <v>3</v>
      </c>
      <c r="F657" s="6">
        <v>112</v>
      </c>
    </row>
    <row r="658" spans="1:6" ht="15.75" customHeight="1" x14ac:dyDescent="0.35">
      <c r="A658" s="1">
        <v>657</v>
      </c>
      <c r="B658" s="4" t="s">
        <v>10</v>
      </c>
      <c r="C658" s="5">
        <v>44415</v>
      </c>
      <c r="D658" s="6" t="s">
        <v>9</v>
      </c>
      <c r="E658" s="6">
        <v>0</v>
      </c>
      <c r="F658" s="6">
        <v>118</v>
      </c>
    </row>
    <row r="659" spans="1:6" ht="15.75" customHeight="1" x14ac:dyDescent="0.35">
      <c r="A659" s="1">
        <v>658</v>
      </c>
      <c r="B659" s="4" t="s">
        <v>11</v>
      </c>
      <c r="C659" s="5">
        <v>44416</v>
      </c>
      <c r="D659" s="6" t="s">
        <v>7</v>
      </c>
      <c r="E659" s="6">
        <v>5</v>
      </c>
      <c r="F659" s="6">
        <v>105</v>
      </c>
    </row>
    <row r="660" spans="1:6" ht="15.75" customHeight="1" x14ac:dyDescent="0.35">
      <c r="A660" s="1">
        <v>659</v>
      </c>
      <c r="B660" s="4" t="s">
        <v>11</v>
      </c>
      <c r="C660" s="5">
        <v>44416</v>
      </c>
      <c r="D660" s="6" t="s">
        <v>8</v>
      </c>
      <c r="E660" s="6">
        <v>0</v>
      </c>
      <c r="F660" s="6">
        <v>103</v>
      </c>
    </row>
    <row r="661" spans="1:6" ht="15.75" customHeight="1" x14ac:dyDescent="0.35">
      <c r="A661" s="1">
        <v>660</v>
      </c>
      <c r="B661" s="4" t="s">
        <v>11</v>
      </c>
      <c r="C661" s="5">
        <v>44416</v>
      </c>
      <c r="D661" s="6" t="s">
        <v>9</v>
      </c>
      <c r="E661" s="6">
        <v>0</v>
      </c>
      <c r="F661" s="6">
        <v>114</v>
      </c>
    </row>
    <row r="662" spans="1:6" ht="15.75" customHeight="1" x14ac:dyDescent="0.35">
      <c r="A662" s="1">
        <v>661</v>
      </c>
      <c r="B662" s="4" t="s">
        <v>12</v>
      </c>
      <c r="C662" s="5">
        <v>44417</v>
      </c>
      <c r="D662" s="6" t="s">
        <v>7</v>
      </c>
      <c r="E662" s="6">
        <v>3</v>
      </c>
      <c r="F662" s="6">
        <v>100</v>
      </c>
    </row>
    <row r="663" spans="1:6" ht="15.75" customHeight="1" x14ac:dyDescent="0.35">
      <c r="A663" s="1">
        <v>662</v>
      </c>
      <c r="B663" s="4" t="s">
        <v>12</v>
      </c>
      <c r="C663" s="5">
        <v>44417</v>
      </c>
      <c r="D663" s="6" t="s">
        <v>8</v>
      </c>
      <c r="E663" s="6">
        <v>1</v>
      </c>
      <c r="F663" s="6">
        <v>106</v>
      </c>
    </row>
    <row r="664" spans="1:6" ht="15.75" customHeight="1" x14ac:dyDescent="0.35">
      <c r="A664" s="1">
        <v>663</v>
      </c>
      <c r="B664" s="4" t="s">
        <v>12</v>
      </c>
      <c r="C664" s="5">
        <v>44417</v>
      </c>
      <c r="D664" s="6" t="s">
        <v>9</v>
      </c>
      <c r="E664" s="6">
        <v>2</v>
      </c>
      <c r="F664" s="6">
        <v>98</v>
      </c>
    </row>
    <row r="665" spans="1:6" ht="15.75" customHeight="1" x14ac:dyDescent="0.35">
      <c r="A665" s="1">
        <v>664</v>
      </c>
      <c r="B665" s="4" t="s">
        <v>13</v>
      </c>
      <c r="C665" s="5">
        <v>44418</v>
      </c>
      <c r="D665" s="6" t="s">
        <v>7</v>
      </c>
      <c r="E665" s="6">
        <v>0</v>
      </c>
      <c r="F665" s="6">
        <v>94</v>
      </c>
    </row>
    <row r="666" spans="1:6" ht="15.75" customHeight="1" x14ac:dyDescent="0.35">
      <c r="A666" s="1">
        <v>665</v>
      </c>
      <c r="B666" s="4" t="s">
        <v>13</v>
      </c>
      <c r="C666" s="5">
        <v>44418</v>
      </c>
      <c r="D666" s="6" t="s">
        <v>8</v>
      </c>
      <c r="E666" s="6">
        <v>4</v>
      </c>
      <c r="F666" s="6">
        <v>101</v>
      </c>
    </row>
    <row r="667" spans="1:6" ht="15.75" customHeight="1" x14ac:dyDescent="0.35">
      <c r="A667" s="1">
        <v>666</v>
      </c>
      <c r="B667" s="4" t="s">
        <v>13</v>
      </c>
      <c r="C667" s="5">
        <v>44418</v>
      </c>
      <c r="D667" s="6" t="s">
        <v>9</v>
      </c>
      <c r="E667" s="6">
        <v>1</v>
      </c>
      <c r="F667" s="6">
        <v>102</v>
      </c>
    </row>
    <row r="668" spans="1:6" ht="15.75" customHeight="1" x14ac:dyDescent="0.35">
      <c r="A668" s="1">
        <v>667</v>
      </c>
      <c r="B668" s="4" t="s">
        <v>14</v>
      </c>
      <c r="C668" s="5">
        <v>44419</v>
      </c>
      <c r="D668" s="6" t="s">
        <v>7</v>
      </c>
      <c r="E668" s="6">
        <v>1</v>
      </c>
      <c r="F668" s="6">
        <v>99</v>
      </c>
    </row>
    <row r="669" spans="1:6" ht="15.75" customHeight="1" x14ac:dyDescent="0.35">
      <c r="A669" s="1">
        <v>668</v>
      </c>
      <c r="B669" s="4" t="s">
        <v>14</v>
      </c>
      <c r="C669" s="5">
        <v>44419</v>
      </c>
      <c r="D669" s="6" t="s">
        <v>8</v>
      </c>
      <c r="E669" s="6">
        <v>4</v>
      </c>
      <c r="F669" s="6">
        <v>101</v>
      </c>
    </row>
    <row r="670" spans="1:6" ht="15.75" customHeight="1" x14ac:dyDescent="0.35">
      <c r="A670" s="1">
        <v>669</v>
      </c>
      <c r="B670" s="4" t="s">
        <v>14</v>
      </c>
      <c r="C670" s="5">
        <v>44419</v>
      </c>
      <c r="D670" s="6" t="s">
        <v>9</v>
      </c>
      <c r="E670" s="6">
        <v>2</v>
      </c>
      <c r="F670" s="6">
        <v>103</v>
      </c>
    </row>
    <row r="671" spans="1:6" ht="15.75" customHeight="1" x14ac:dyDescent="0.35">
      <c r="A671" s="1">
        <v>670</v>
      </c>
      <c r="B671" s="4" t="s">
        <v>15</v>
      </c>
      <c r="C671" s="5">
        <v>44420</v>
      </c>
      <c r="D671" s="6" t="s">
        <v>7</v>
      </c>
      <c r="E671" s="6">
        <v>5</v>
      </c>
      <c r="F671" s="6">
        <v>110</v>
      </c>
    </row>
    <row r="672" spans="1:6" ht="15.75" customHeight="1" x14ac:dyDescent="0.35">
      <c r="A672" s="1">
        <v>671</v>
      </c>
      <c r="B672" s="4" t="s">
        <v>15</v>
      </c>
      <c r="C672" s="5">
        <v>44420</v>
      </c>
      <c r="D672" s="6" t="s">
        <v>8</v>
      </c>
      <c r="E672" s="6">
        <v>1</v>
      </c>
      <c r="F672" s="6">
        <v>101</v>
      </c>
    </row>
    <row r="673" spans="1:6" ht="15.75" customHeight="1" x14ac:dyDescent="0.35">
      <c r="A673" s="1">
        <v>672</v>
      </c>
      <c r="B673" s="4" t="s">
        <v>15</v>
      </c>
      <c r="C673" s="5">
        <v>44420</v>
      </c>
      <c r="D673" s="6" t="s">
        <v>9</v>
      </c>
      <c r="E673" s="6">
        <v>2</v>
      </c>
      <c r="F673" s="6">
        <v>98</v>
      </c>
    </row>
    <row r="674" spans="1:6" ht="15.75" customHeight="1" x14ac:dyDescent="0.35">
      <c r="A674" s="1">
        <v>673</v>
      </c>
      <c r="B674" s="4" t="s">
        <v>6</v>
      </c>
      <c r="C674" s="5">
        <v>44421</v>
      </c>
      <c r="D674" s="6" t="s">
        <v>7</v>
      </c>
      <c r="E674" s="6">
        <v>2</v>
      </c>
      <c r="F674" s="6">
        <v>109</v>
      </c>
    </row>
    <row r="675" spans="1:6" ht="15.75" customHeight="1" x14ac:dyDescent="0.35">
      <c r="A675" s="1">
        <v>674</v>
      </c>
      <c r="B675" s="4" t="s">
        <v>6</v>
      </c>
      <c r="C675" s="5">
        <v>44421</v>
      </c>
      <c r="D675" s="6" t="s">
        <v>8</v>
      </c>
      <c r="E675" s="6">
        <v>2</v>
      </c>
      <c r="F675" s="6">
        <v>102</v>
      </c>
    </row>
    <row r="676" spans="1:6" ht="15.75" customHeight="1" x14ac:dyDescent="0.35">
      <c r="A676" s="1">
        <v>675</v>
      </c>
      <c r="B676" s="4" t="s">
        <v>6</v>
      </c>
      <c r="C676" s="5">
        <v>44421</v>
      </c>
      <c r="D676" s="6" t="s">
        <v>9</v>
      </c>
      <c r="E676" s="6">
        <v>0</v>
      </c>
      <c r="F676" s="6">
        <v>109</v>
      </c>
    </row>
    <row r="677" spans="1:6" ht="15.75" customHeight="1" x14ac:dyDescent="0.35">
      <c r="A677" s="1">
        <v>676</v>
      </c>
      <c r="B677" s="4" t="s">
        <v>10</v>
      </c>
      <c r="C677" s="5">
        <v>44422</v>
      </c>
      <c r="D677" s="6" t="s">
        <v>7</v>
      </c>
      <c r="E677" s="6">
        <v>1</v>
      </c>
      <c r="F677" s="6">
        <v>106</v>
      </c>
    </row>
    <row r="678" spans="1:6" ht="15.75" customHeight="1" x14ac:dyDescent="0.35">
      <c r="A678" s="1">
        <v>677</v>
      </c>
      <c r="B678" s="4" t="s">
        <v>10</v>
      </c>
      <c r="C678" s="5">
        <v>44422</v>
      </c>
      <c r="D678" s="6" t="s">
        <v>8</v>
      </c>
      <c r="E678" s="6">
        <v>1</v>
      </c>
      <c r="F678" s="6">
        <v>102</v>
      </c>
    </row>
    <row r="679" spans="1:6" ht="15.75" customHeight="1" x14ac:dyDescent="0.35">
      <c r="A679" s="1">
        <v>678</v>
      </c>
      <c r="B679" s="4" t="s">
        <v>10</v>
      </c>
      <c r="C679" s="5">
        <v>44422</v>
      </c>
      <c r="D679" s="6" t="s">
        <v>9</v>
      </c>
      <c r="E679" s="6">
        <v>2</v>
      </c>
      <c r="F679" s="6">
        <v>110</v>
      </c>
    </row>
    <row r="680" spans="1:6" ht="15.75" customHeight="1" x14ac:dyDescent="0.35">
      <c r="A680" s="1">
        <v>679</v>
      </c>
      <c r="B680" s="4" t="s">
        <v>11</v>
      </c>
      <c r="C680" s="5">
        <v>44423</v>
      </c>
      <c r="D680" s="6" t="s">
        <v>7</v>
      </c>
      <c r="E680" s="6">
        <v>2</v>
      </c>
      <c r="F680" s="6">
        <v>111</v>
      </c>
    </row>
    <row r="681" spans="1:6" ht="15.75" customHeight="1" x14ac:dyDescent="0.35">
      <c r="A681" s="1">
        <v>680</v>
      </c>
      <c r="B681" s="4" t="s">
        <v>11</v>
      </c>
      <c r="C681" s="5">
        <v>44423</v>
      </c>
      <c r="D681" s="6" t="s">
        <v>8</v>
      </c>
      <c r="E681" s="6">
        <v>4</v>
      </c>
      <c r="F681" s="6">
        <v>95</v>
      </c>
    </row>
    <row r="682" spans="1:6" ht="15.75" customHeight="1" x14ac:dyDescent="0.35">
      <c r="A682" s="1">
        <v>681</v>
      </c>
      <c r="B682" s="4" t="s">
        <v>11</v>
      </c>
      <c r="C682" s="5">
        <v>44423</v>
      </c>
      <c r="D682" s="6" t="s">
        <v>9</v>
      </c>
      <c r="E682" s="6">
        <v>1</v>
      </c>
      <c r="F682" s="6">
        <v>102</v>
      </c>
    </row>
    <row r="683" spans="1:6" ht="15.75" customHeight="1" x14ac:dyDescent="0.35">
      <c r="A683" s="1">
        <v>682</v>
      </c>
      <c r="B683" s="4" t="s">
        <v>12</v>
      </c>
      <c r="C683" s="5">
        <v>44424</v>
      </c>
      <c r="D683" s="6" t="s">
        <v>7</v>
      </c>
      <c r="E683" s="6">
        <v>4</v>
      </c>
      <c r="F683" s="6">
        <v>93</v>
      </c>
    </row>
    <row r="684" spans="1:6" ht="15.75" customHeight="1" x14ac:dyDescent="0.35">
      <c r="A684" s="1">
        <v>683</v>
      </c>
      <c r="B684" s="4" t="s">
        <v>12</v>
      </c>
      <c r="C684" s="5">
        <v>44424</v>
      </c>
      <c r="D684" s="6" t="s">
        <v>8</v>
      </c>
      <c r="E684" s="6">
        <v>1</v>
      </c>
      <c r="F684" s="6">
        <v>102</v>
      </c>
    </row>
    <row r="685" spans="1:6" ht="15.75" customHeight="1" x14ac:dyDescent="0.35">
      <c r="A685" s="1">
        <v>684</v>
      </c>
      <c r="B685" s="4" t="s">
        <v>12</v>
      </c>
      <c r="C685" s="5">
        <v>44424</v>
      </c>
      <c r="D685" s="6" t="s">
        <v>9</v>
      </c>
      <c r="E685" s="6">
        <v>1</v>
      </c>
      <c r="F685" s="6">
        <v>102</v>
      </c>
    </row>
    <row r="686" spans="1:6" ht="15.75" customHeight="1" x14ac:dyDescent="0.35">
      <c r="A686" s="1">
        <v>685</v>
      </c>
      <c r="B686" s="4" t="s">
        <v>13</v>
      </c>
      <c r="C686" s="5">
        <v>44425</v>
      </c>
      <c r="D686" s="6" t="s">
        <v>7</v>
      </c>
      <c r="E686" s="6">
        <v>3</v>
      </c>
      <c r="F686" s="6">
        <v>96</v>
      </c>
    </row>
    <row r="687" spans="1:6" ht="15.75" customHeight="1" x14ac:dyDescent="0.35">
      <c r="A687" s="1">
        <v>686</v>
      </c>
      <c r="B687" s="4" t="s">
        <v>13</v>
      </c>
      <c r="C687" s="5">
        <v>44425</v>
      </c>
      <c r="D687" s="6" t="s">
        <v>8</v>
      </c>
      <c r="E687" s="6">
        <v>1</v>
      </c>
      <c r="F687" s="6">
        <v>100</v>
      </c>
    </row>
    <row r="688" spans="1:6" ht="15.75" customHeight="1" x14ac:dyDescent="0.35">
      <c r="A688" s="1">
        <v>687</v>
      </c>
      <c r="B688" s="4" t="s">
        <v>13</v>
      </c>
      <c r="C688" s="5">
        <v>44425</v>
      </c>
      <c r="D688" s="6" t="s">
        <v>9</v>
      </c>
      <c r="E688" s="6">
        <v>2</v>
      </c>
      <c r="F688" s="6">
        <v>96</v>
      </c>
    </row>
    <row r="689" spans="1:6" ht="15.75" customHeight="1" x14ac:dyDescent="0.35">
      <c r="A689" s="1">
        <v>688</v>
      </c>
      <c r="B689" s="4" t="s">
        <v>14</v>
      </c>
      <c r="C689" s="5">
        <v>44426</v>
      </c>
      <c r="D689" s="6" t="s">
        <v>7</v>
      </c>
      <c r="E689" s="6">
        <v>5</v>
      </c>
      <c r="F689" s="6">
        <v>104</v>
      </c>
    </row>
    <row r="690" spans="1:6" ht="15.75" customHeight="1" x14ac:dyDescent="0.35">
      <c r="A690" s="1">
        <v>689</v>
      </c>
      <c r="B690" s="4" t="s">
        <v>14</v>
      </c>
      <c r="C690" s="5">
        <v>44426</v>
      </c>
      <c r="D690" s="6" t="s">
        <v>8</v>
      </c>
      <c r="E690" s="6">
        <v>2</v>
      </c>
      <c r="F690" s="6">
        <v>107</v>
      </c>
    </row>
    <row r="691" spans="1:6" ht="15.75" customHeight="1" x14ac:dyDescent="0.35">
      <c r="A691" s="1">
        <v>690</v>
      </c>
      <c r="B691" s="4" t="s">
        <v>14</v>
      </c>
      <c r="C691" s="5">
        <v>44426</v>
      </c>
      <c r="D691" s="6" t="s">
        <v>9</v>
      </c>
      <c r="E691" s="6">
        <v>0</v>
      </c>
      <c r="F691" s="6">
        <v>101</v>
      </c>
    </row>
    <row r="692" spans="1:6" ht="15.75" customHeight="1" x14ac:dyDescent="0.35">
      <c r="A692" s="1">
        <v>691</v>
      </c>
      <c r="B692" s="4" t="s">
        <v>15</v>
      </c>
      <c r="C692" s="5">
        <v>44427</v>
      </c>
      <c r="D692" s="6" t="s">
        <v>7</v>
      </c>
      <c r="E692" s="6">
        <v>1</v>
      </c>
      <c r="F692" s="6">
        <v>99</v>
      </c>
    </row>
    <row r="693" spans="1:6" ht="15.75" customHeight="1" x14ac:dyDescent="0.35">
      <c r="A693" s="1">
        <v>692</v>
      </c>
      <c r="B693" s="4" t="s">
        <v>15</v>
      </c>
      <c r="C693" s="5">
        <v>44427</v>
      </c>
      <c r="D693" s="6" t="s">
        <v>8</v>
      </c>
      <c r="E693" s="6">
        <v>5</v>
      </c>
      <c r="F693" s="6">
        <v>110</v>
      </c>
    </row>
    <row r="694" spans="1:6" ht="15.75" customHeight="1" x14ac:dyDescent="0.35">
      <c r="A694" s="1">
        <v>693</v>
      </c>
      <c r="B694" s="4" t="s">
        <v>15</v>
      </c>
      <c r="C694" s="5">
        <v>44427</v>
      </c>
      <c r="D694" s="6" t="s">
        <v>9</v>
      </c>
      <c r="E694" s="6">
        <v>0</v>
      </c>
      <c r="F694" s="6">
        <v>106</v>
      </c>
    </row>
    <row r="695" spans="1:6" ht="15.75" customHeight="1" x14ac:dyDescent="0.35">
      <c r="A695" s="1">
        <v>694</v>
      </c>
      <c r="B695" s="4" t="s">
        <v>6</v>
      </c>
      <c r="C695" s="5">
        <v>44428</v>
      </c>
      <c r="D695" s="6" t="s">
        <v>7</v>
      </c>
      <c r="E695" s="6">
        <v>4</v>
      </c>
      <c r="F695" s="6">
        <v>96</v>
      </c>
    </row>
    <row r="696" spans="1:6" ht="15.75" customHeight="1" x14ac:dyDescent="0.35">
      <c r="A696" s="1">
        <v>695</v>
      </c>
      <c r="B696" s="4" t="s">
        <v>6</v>
      </c>
      <c r="C696" s="5">
        <v>44428</v>
      </c>
      <c r="D696" s="6" t="s">
        <v>8</v>
      </c>
      <c r="E696" s="6">
        <v>0</v>
      </c>
      <c r="F696" s="6">
        <v>110</v>
      </c>
    </row>
    <row r="697" spans="1:6" ht="15.75" customHeight="1" x14ac:dyDescent="0.35">
      <c r="A697" s="1">
        <v>696</v>
      </c>
      <c r="B697" s="4" t="s">
        <v>6</v>
      </c>
      <c r="C697" s="5">
        <v>44428</v>
      </c>
      <c r="D697" s="6" t="s">
        <v>9</v>
      </c>
      <c r="E697" s="6">
        <v>1</v>
      </c>
      <c r="F697" s="6">
        <v>93</v>
      </c>
    </row>
    <row r="698" spans="1:6" ht="15.75" customHeight="1" x14ac:dyDescent="0.35">
      <c r="A698" s="1">
        <v>697</v>
      </c>
      <c r="B698" s="4" t="s">
        <v>10</v>
      </c>
      <c r="C698" s="5">
        <v>44429</v>
      </c>
      <c r="D698" s="6" t="s">
        <v>7</v>
      </c>
      <c r="E698" s="6">
        <v>6</v>
      </c>
      <c r="F698" s="6">
        <v>105</v>
      </c>
    </row>
    <row r="699" spans="1:6" ht="15.75" customHeight="1" x14ac:dyDescent="0.35">
      <c r="A699" s="1">
        <v>698</v>
      </c>
      <c r="B699" s="4" t="s">
        <v>10</v>
      </c>
      <c r="C699" s="5">
        <v>44429</v>
      </c>
      <c r="D699" s="6" t="s">
        <v>8</v>
      </c>
      <c r="E699" s="6">
        <v>4</v>
      </c>
      <c r="F699" s="6">
        <v>113</v>
      </c>
    </row>
    <row r="700" spans="1:6" ht="15.75" customHeight="1" x14ac:dyDescent="0.35">
      <c r="A700" s="1">
        <v>699</v>
      </c>
      <c r="B700" s="4" t="s">
        <v>10</v>
      </c>
      <c r="C700" s="5">
        <v>44429</v>
      </c>
      <c r="D700" s="6" t="s">
        <v>9</v>
      </c>
      <c r="E700" s="6">
        <v>2</v>
      </c>
      <c r="F700" s="6">
        <v>112</v>
      </c>
    </row>
    <row r="701" spans="1:6" ht="15.75" customHeight="1" x14ac:dyDescent="0.35">
      <c r="A701" s="1">
        <v>700</v>
      </c>
      <c r="B701" s="4" t="s">
        <v>11</v>
      </c>
      <c r="C701" s="5">
        <v>44430</v>
      </c>
      <c r="D701" s="6" t="s">
        <v>7</v>
      </c>
      <c r="E701" s="6">
        <v>5</v>
      </c>
      <c r="F701" s="6">
        <v>103</v>
      </c>
    </row>
    <row r="702" spans="1:6" ht="15.75" customHeight="1" x14ac:dyDescent="0.35">
      <c r="A702" s="1">
        <v>701</v>
      </c>
      <c r="B702" s="4" t="s">
        <v>11</v>
      </c>
      <c r="C702" s="5">
        <v>44430</v>
      </c>
      <c r="D702" s="6" t="s">
        <v>8</v>
      </c>
      <c r="E702" s="6">
        <v>4</v>
      </c>
      <c r="F702" s="6">
        <v>103</v>
      </c>
    </row>
    <row r="703" spans="1:6" ht="15.75" customHeight="1" x14ac:dyDescent="0.35">
      <c r="A703" s="1">
        <v>702</v>
      </c>
      <c r="B703" s="4" t="s">
        <v>11</v>
      </c>
      <c r="C703" s="5">
        <v>44430</v>
      </c>
      <c r="D703" s="6" t="s">
        <v>9</v>
      </c>
      <c r="E703" s="6">
        <v>0</v>
      </c>
      <c r="F703" s="6">
        <v>105</v>
      </c>
    </row>
    <row r="704" spans="1:6" ht="15.75" customHeight="1" x14ac:dyDescent="0.35">
      <c r="A704" s="1">
        <v>703</v>
      </c>
      <c r="B704" s="4" t="s">
        <v>12</v>
      </c>
      <c r="C704" s="5">
        <v>44431</v>
      </c>
      <c r="D704" s="6" t="s">
        <v>7</v>
      </c>
      <c r="E704" s="6">
        <v>5</v>
      </c>
      <c r="F704" s="6">
        <v>99</v>
      </c>
    </row>
    <row r="705" spans="1:6" ht="15.75" customHeight="1" x14ac:dyDescent="0.35">
      <c r="A705" s="1">
        <v>704</v>
      </c>
      <c r="B705" s="4" t="s">
        <v>12</v>
      </c>
      <c r="C705" s="5">
        <v>44431</v>
      </c>
      <c r="D705" s="6" t="s">
        <v>8</v>
      </c>
      <c r="E705" s="6">
        <v>2</v>
      </c>
      <c r="F705" s="6">
        <v>107</v>
      </c>
    </row>
    <row r="706" spans="1:6" ht="15.75" customHeight="1" x14ac:dyDescent="0.35">
      <c r="A706" s="1">
        <v>705</v>
      </c>
      <c r="B706" s="4" t="s">
        <v>12</v>
      </c>
      <c r="C706" s="5">
        <v>44431</v>
      </c>
      <c r="D706" s="6" t="s">
        <v>9</v>
      </c>
      <c r="E706" s="6">
        <v>1</v>
      </c>
      <c r="F706" s="6">
        <v>104</v>
      </c>
    </row>
    <row r="707" spans="1:6" ht="15.75" customHeight="1" x14ac:dyDescent="0.35">
      <c r="A707" s="1">
        <v>706</v>
      </c>
      <c r="B707" s="4" t="s">
        <v>13</v>
      </c>
      <c r="C707" s="5">
        <v>44432</v>
      </c>
      <c r="D707" s="6" t="s">
        <v>7</v>
      </c>
      <c r="E707" s="6">
        <v>3</v>
      </c>
      <c r="F707" s="6">
        <v>111</v>
      </c>
    </row>
    <row r="708" spans="1:6" ht="15.75" customHeight="1" x14ac:dyDescent="0.35">
      <c r="A708" s="1">
        <v>707</v>
      </c>
      <c r="B708" s="4" t="s">
        <v>13</v>
      </c>
      <c r="C708" s="5">
        <v>44432</v>
      </c>
      <c r="D708" s="6" t="s">
        <v>8</v>
      </c>
      <c r="E708" s="6">
        <v>2</v>
      </c>
      <c r="F708" s="6">
        <v>99</v>
      </c>
    </row>
    <row r="709" spans="1:6" ht="15.75" customHeight="1" x14ac:dyDescent="0.35">
      <c r="A709" s="1">
        <v>708</v>
      </c>
      <c r="B709" s="4" t="s">
        <v>13</v>
      </c>
      <c r="C709" s="5">
        <v>44432</v>
      </c>
      <c r="D709" s="6" t="s">
        <v>9</v>
      </c>
      <c r="E709" s="6">
        <v>0</v>
      </c>
      <c r="F709" s="6">
        <v>103</v>
      </c>
    </row>
    <row r="710" spans="1:6" ht="15.75" customHeight="1" x14ac:dyDescent="0.35">
      <c r="A710" s="1">
        <v>709</v>
      </c>
      <c r="B710" s="4" t="s">
        <v>14</v>
      </c>
      <c r="C710" s="5">
        <v>44433</v>
      </c>
      <c r="D710" s="6" t="s">
        <v>7</v>
      </c>
      <c r="E710" s="6">
        <v>4</v>
      </c>
      <c r="F710" s="6">
        <v>92</v>
      </c>
    </row>
    <row r="711" spans="1:6" ht="15.75" customHeight="1" x14ac:dyDescent="0.35">
      <c r="A711" s="1">
        <v>710</v>
      </c>
      <c r="B711" s="4" t="s">
        <v>14</v>
      </c>
      <c r="C711" s="5">
        <v>44433</v>
      </c>
      <c r="D711" s="6" t="s">
        <v>8</v>
      </c>
      <c r="E711" s="6">
        <v>4</v>
      </c>
      <c r="F711" s="6">
        <v>101</v>
      </c>
    </row>
    <row r="712" spans="1:6" ht="15.75" customHeight="1" x14ac:dyDescent="0.35">
      <c r="A712" s="1">
        <v>711</v>
      </c>
      <c r="B712" s="4" t="s">
        <v>14</v>
      </c>
      <c r="C712" s="5">
        <v>44433</v>
      </c>
      <c r="D712" s="6" t="s">
        <v>9</v>
      </c>
      <c r="E712" s="6">
        <v>1</v>
      </c>
      <c r="F712" s="6">
        <v>97</v>
      </c>
    </row>
    <row r="713" spans="1:6" ht="15.75" customHeight="1" x14ac:dyDescent="0.35">
      <c r="A713" s="1">
        <v>712</v>
      </c>
      <c r="B713" s="4" t="s">
        <v>15</v>
      </c>
      <c r="C713" s="5">
        <v>44434</v>
      </c>
      <c r="D713" s="6" t="s">
        <v>7</v>
      </c>
      <c r="E713" s="6">
        <v>1</v>
      </c>
      <c r="F713" s="6">
        <v>99</v>
      </c>
    </row>
    <row r="714" spans="1:6" ht="15.75" customHeight="1" x14ac:dyDescent="0.35">
      <c r="A714" s="1">
        <v>713</v>
      </c>
      <c r="B714" s="4" t="s">
        <v>15</v>
      </c>
      <c r="C714" s="5">
        <v>44434</v>
      </c>
      <c r="D714" s="6" t="s">
        <v>8</v>
      </c>
      <c r="E714" s="6">
        <v>0</v>
      </c>
      <c r="F714" s="6">
        <v>103</v>
      </c>
    </row>
    <row r="715" spans="1:6" ht="15.75" customHeight="1" x14ac:dyDescent="0.35">
      <c r="A715" s="1">
        <v>714</v>
      </c>
      <c r="B715" s="4" t="s">
        <v>15</v>
      </c>
      <c r="C715" s="5">
        <v>44434</v>
      </c>
      <c r="D715" s="6" t="s">
        <v>9</v>
      </c>
      <c r="E715" s="6">
        <v>1</v>
      </c>
      <c r="F715" s="6">
        <v>106</v>
      </c>
    </row>
    <row r="716" spans="1:6" ht="15.75" customHeight="1" x14ac:dyDescent="0.35">
      <c r="A716" s="1">
        <v>715</v>
      </c>
      <c r="B716" s="4" t="s">
        <v>6</v>
      </c>
      <c r="C716" s="5">
        <v>44435</v>
      </c>
      <c r="D716" s="6" t="s">
        <v>7</v>
      </c>
      <c r="E716" s="6">
        <v>2</v>
      </c>
      <c r="F716" s="6">
        <v>96</v>
      </c>
    </row>
    <row r="717" spans="1:6" ht="15.75" customHeight="1" x14ac:dyDescent="0.35">
      <c r="A717" s="1">
        <v>716</v>
      </c>
      <c r="B717" s="4" t="s">
        <v>6</v>
      </c>
      <c r="C717" s="5">
        <v>44435</v>
      </c>
      <c r="D717" s="6" t="s">
        <v>8</v>
      </c>
      <c r="E717" s="6">
        <v>1</v>
      </c>
      <c r="F717" s="6">
        <v>96</v>
      </c>
    </row>
    <row r="718" spans="1:6" ht="15.75" customHeight="1" x14ac:dyDescent="0.35">
      <c r="A718" s="1">
        <v>717</v>
      </c>
      <c r="B718" s="4" t="s">
        <v>6</v>
      </c>
      <c r="C718" s="5">
        <v>44435</v>
      </c>
      <c r="D718" s="6" t="s">
        <v>9</v>
      </c>
      <c r="E718" s="6">
        <v>1</v>
      </c>
      <c r="F718" s="6">
        <v>115</v>
      </c>
    </row>
    <row r="719" spans="1:6" ht="15.75" customHeight="1" x14ac:dyDescent="0.35">
      <c r="A719" s="1">
        <v>718</v>
      </c>
      <c r="B719" s="4" t="s">
        <v>10</v>
      </c>
      <c r="C719" s="5">
        <v>44436</v>
      </c>
      <c r="D719" s="6" t="s">
        <v>7</v>
      </c>
      <c r="E719" s="6">
        <v>8</v>
      </c>
      <c r="F719" s="6">
        <v>108</v>
      </c>
    </row>
    <row r="720" spans="1:6" ht="15.75" customHeight="1" x14ac:dyDescent="0.35">
      <c r="A720" s="1">
        <v>719</v>
      </c>
      <c r="B720" s="4" t="s">
        <v>10</v>
      </c>
      <c r="C720" s="5">
        <v>44436</v>
      </c>
      <c r="D720" s="6" t="s">
        <v>8</v>
      </c>
      <c r="E720" s="6">
        <v>3</v>
      </c>
      <c r="F720" s="6">
        <v>95</v>
      </c>
    </row>
    <row r="721" spans="1:6" ht="15.75" customHeight="1" x14ac:dyDescent="0.35">
      <c r="A721" s="1">
        <v>720</v>
      </c>
      <c r="B721" s="4" t="s">
        <v>10</v>
      </c>
      <c r="C721" s="5">
        <v>44436</v>
      </c>
      <c r="D721" s="6" t="s">
        <v>9</v>
      </c>
      <c r="E721" s="6">
        <v>2</v>
      </c>
      <c r="F721" s="6">
        <v>108</v>
      </c>
    </row>
    <row r="722" spans="1:6" ht="15.75" customHeight="1" x14ac:dyDescent="0.35">
      <c r="A722" s="1">
        <v>721</v>
      </c>
      <c r="B722" s="4" t="s">
        <v>11</v>
      </c>
      <c r="C722" s="5">
        <v>44437</v>
      </c>
      <c r="D722" s="6" t="s">
        <v>7</v>
      </c>
      <c r="E722" s="6">
        <v>5</v>
      </c>
      <c r="F722" s="6">
        <v>101</v>
      </c>
    </row>
    <row r="723" spans="1:6" ht="15.75" customHeight="1" x14ac:dyDescent="0.35">
      <c r="A723" s="1">
        <v>722</v>
      </c>
      <c r="B723" s="4" t="s">
        <v>11</v>
      </c>
      <c r="C723" s="5">
        <v>44437</v>
      </c>
      <c r="D723" s="6" t="s">
        <v>8</v>
      </c>
      <c r="E723" s="6">
        <v>4</v>
      </c>
      <c r="F723" s="6">
        <v>109</v>
      </c>
    </row>
    <row r="724" spans="1:6" ht="15.75" customHeight="1" x14ac:dyDescent="0.35">
      <c r="A724" s="1">
        <v>723</v>
      </c>
      <c r="B724" s="4" t="s">
        <v>11</v>
      </c>
      <c r="C724" s="5">
        <v>44437</v>
      </c>
      <c r="D724" s="6" t="s">
        <v>9</v>
      </c>
      <c r="E724" s="6">
        <v>3</v>
      </c>
      <c r="F724" s="6">
        <v>112</v>
      </c>
    </row>
    <row r="725" spans="1:6" ht="15.75" customHeight="1" x14ac:dyDescent="0.35">
      <c r="A725" s="1">
        <v>724</v>
      </c>
      <c r="B725" s="4" t="s">
        <v>12</v>
      </c>
      <c r="C725" s="5">
        <v>44438</v>
      </c>
      <c r="D725" s="6" t="s">
        <v>7</v>
      </c>
      <c r="E725" s="6">
        <v>4</v>
      </c>
      <c r="F725" s="6">
        <v>100</v>
      </c>
    </row>
    <row r="726" spans="1:6" ht="15.75" customHeight="1" x14ac:dyDescent="0.35">
      <c r="A726" s="1">
        <v>725</v>
      </c>
      <c r="B726" s="4" t="s">
        <v>12</v>
      </c>
      <c r="C726" s="5">
        <v>44438</v>
      </c>
      <c r="D726" s="6" t="s">
        <v>8</v>
      </c>
      <c r="E726" s="6">
        <v>3</v>
      </c>
      <c r="F726" s="6">
        <v>99</v>
      </c>
    </row>
    <row r="727" spans="1:6" ht="15.75" customHeight="1" x14ac:dyDescent="0.35">
      <c r="A727" s="1">
        <v>726</v>
      </c>
      <c r="B727" s="4" t="s">
        <v>12</v>
      </c>
      <c r="C727" s="5">
        <v>44438</v>
      </c>
      <c r="D727" s="6" t="s">
        <v>9</v>
      </c>
      <c r="E727" s="6">
        <v>0</v>
      </c>
      <c r="F727" s="6">
        <v>101</v>
      </c>
    </row>
    <row r="728" spans="1:6" ht="15.75" customHeight="1" x14ac:dyDescent="0.35">
      <c r="A728" s="1">
        <v>727</v>
      </c>
      <c r="B728" s="4" t="s">
        <v>13</v>
      </c>
      <c r="C728" s="5">
        <v>44439</v>
      </c>
      <c r="D728" s="6" t="s">
        <v>7</v>
      </c>
      <c r="E728" s="6">
        <v>1</v>
      </c>
      <c r="F728" s="6">
        <v>106</v>
      </c>
    </row>
    <row r="729" spans="1:6" ht="15.75" customHeight="1" x14ac:dyDescent="0.35">
      <c r="A729" s="1">
        <v>728</v>
      </c>
      <c r="B729" s="4" t="s">
        <v>13</v>
      </c>
      <c r="C729" s="5">
        <v>44439</v>
      </c>
      <c r="D729" s="6" t="s">
        <v>8</v>
      </c>
      <c r="E729" s="6">
        <v>1</v>
      </c>
      <c r="F729" s="6">
        <v>96</v>
      </c>
    </row>
    <row r="730" spans="1:6" ht="15.75" customHeight="1" x14ac:dyDescent="0.35">
      <c r="A730" s="1">
        <v>729</v>
      </c>
      <c r="B730" s="4" t="s">
        <v>13</v>
      </c>
      <c r="C730" s="5">
        <v>44439</v>
      </c>
      <c r="D730" s="6" t="s">
        <v>9</v>
      </c>
      <c r="E730" s="6">
        <v>1</v>
      </c>
      <c r="F730" s="6">
        <v>89</v>
      </c>
    </row>
    <row r="731" spans="1:6" ht="15.75" customHeight="1" x14ac:dyDescent="0.35">
      <c r="A731" s="1">
        <v>730</v>
      </c>
      <c r="B731" s="4" t="s">
        <v>14</v>
      </c>
      <c r="C731" s="5">
        <v>44440</v>
      </c>
      <c r="D731" s="6" t="s">
        <v>7</v>
      </c>
      <c r="E731" s="6">
        <v>1</v>
      </c>
      <c r="F731" s="6">
        <v>103</v>
      </c>
    </row>
    <row r="732" spans="1:6" ht="15.75" customHeight="1" x14ac:dyDescent="0.35">
      <c r="A732" s="1">
        <v>731</v>
      </c>
      <c r="B732" s="4" t="s">
        <v>14</v>
      </c>
      <c r="C732" s="5">
        <v>44440</v>
      </c>
      <c r="D732" s="6" t="s">
        <v>8</v>
      </c>
      <c r="E732" s="6">
        <v>0</v>
      </c>
      <c r="F732" s="6">
        <v>106</v>
      </c>
    </row>
    <row r="733" spans="1:6" ht="15.75" customHeight="1" x14ac:dyDescent="0.35">
      <c r="A733" s="1">
        <v>732</v>
      </c>
      <c r="B733" s="4" t="s">
        <v>14</v>
      </c>
      <c r="C733" s="5">
        <v>44440</v>
      </c>
      <c r="D733" s="6" t="s">
        <v>9</v>
      </c>
      <c r="E733" s="6">
        <v>1</v>
      </c>
      <c r="F733" s="6">
        <v>108</v>
      </c>
    </row>
    <row r="734" spans="1:6" ht="15.75" customHeight="1" x14ac:dyDescent="0.35">
      <c r="A734" s="1">
        <v>733</v>
      </c>
      <c r="B734" s="4" t="s">
        <v>15</v>
      </c>
      <c r="C734" s="5">
        <v>44441</v>
      </c>
      <c r="D734" s="6" t="s">
        <v>7</v>
      </c>
      <c r="E734" s="6">
        <v>1</v>
      </c>
      <c r="F734" s="6">
        <v>100</v>
      </c>
    </row>
    <row r="735" spans="1:6" ht="15.75" customHeight="1" x14ac:dyDescent="0.35">
      <c r="A735" s="1">
        <v>734</v>
      </c>
      <c r="B735" s="4" t="s">
        <v>15</v>
      </c>
      <c r="C735" s="5">
        <v>44441</v>
      </c>
      <c r="D735" s="6" t="s">
        <v>8</v>
      </c>
      <c r="E735" s="6">
        <v>2</v>
      </c>
      <c r="F735" s="6">
        <v>102</v>
      </c>
    </row>
    <row r="736" spans="1:6" ht="15.75" customHeight="1" x14ac:dyDescent="0.35">
      <c r="A736" s="1">
        <v>735</v>
      </c>
      <c r="B736" s="4" t="s">
        <v>15</v>
      </c>
      <c r="C736" s="5">
        <v>44441</v>
      </c>
      <c r="D736" s="6" t="s">
        <v>9</v>
      </c>
      <c r="E736" s="6">
        <v>1</v>
      </c>
      <c r="F736" s="6">
        <v>105</v>
      </c>
    </row>
    <row r="737" spans="1:6" ht="15.75" customHeight="1" x14ac:dyDescent="0.35">
      <c r="A737" s="1">
        <v>736</v>
      </c>
      <c r="B737" s="4" t="s">
        <v>6</v>
      </c>
      <c r="C737" s="5">
        <v>44442</v>
      </c>
      <c r="D737" s="6" t="s">
        <v>7</v>
      </c>
      <c r="E737" s="6">
        <v>3</v>
      </c>
      <c r="F737" s="6">
        <v>106</v>
      </c>
    </row>
    <row r="738" spans="1:6" ht="15.75" customHeight="1" x14ac:dyDescent="0.35">
      <c r="A738" s="1">
        <v>737</v>
      </c>
      <c r="B738" s="4" t="s">
        <v>6</v>
      </c>
      <c r="C738" s="5">
        <v>44442</v>
      </c>
      <c r="D738" s="6" t="s">
        <v>8</v>
      </c>
      <c r="E738" s="6">
        <v>3</v>
      </c>
      <c r="F738" s="6">
        <v>104</v>
      </c>
    </row>
    <row r="739" spans="1:6" ht="15.75" customHeight="1" x14ac:dyDescent="0.35">
      <c r="A739" s="1">
        <v>738</v>
      </c>
      <c r="B739" s="4" t="s">
        <v>6</v>
      </c>
      <c r="C739" s="5">
        <v>44442</v>
      </c>
      <c r="D739" s="6" t="s">
        <v>9</v>
      </c>
      <c r="E739" s="6">
        <v>1</v>
      </c>
      <c r="F739" s="6">
        <v>113</v>
      </c>
    </row>
    <row r="740" spans="1:6" ht="15.75" customHeight="1" x14ac:dyDescent="0.35">
      <c r="A740" s="1">
        <v>739</v>
      </c>
      <c r="B740" s="4" t="s">
        <v>10</v>
      </c>
      <c r="C740" s="5">
        <v>44443</v>
      </c>
      <c r="D740" s="6" t="s">
        <v>7</v>
      </c>
      <c r="E740" s="6">
        <v>7</v>
      </c>
      <c r="F740" s="6">
        <v>116</v>
      </c>
    </row>
    <row r="741" spans="1:6" ht="15.75" customHeight="1" x14ac:dyDescent="0.35">
      <c r="A741" s="1">
        <v>740</v>
      </c>
      <c r="B741" s="4" t="s">
        <v>10</v>
      </c>
      <c r="C741" s="5">
        <v>44443</v>
      </c>
      <c r="D741" s="6" t="s">
        <v>8</v>
      </c>
      <c r="E741" s="6">
        <v>4</v>
      </c>
      <c r="F741" s="6">
        <v>104</v>
      </c>
    </row>
    <row r="742" spans="1:6" ht="15.75" customHeight="1" x14ac:dyDescent="0.35">
      <c r="A742" s="1">
        <v>741</v>
      </c>
      <c r="B742" s="4" t="s">
        <v>10</v>
      </c>
      <c r="C742" s="5">
        <v>44443</v>
      </c>
      <c r="D742" s="6" t="s">
        <v>9</v>
      </c>
      <c r="E742" s="6">
        <v>0</v>
      </c>
      <c r="F742" s="6">
        <v>99</v>
      </c>
    </row>
    <row r="743" spans="1:6" ht="15.75" customHeight="1" x14ac:dyDescent="0.35">
      <c r="A743" s="1">
        <v>742</v>
      </c>
      <c r="B743" s="4" t="s">
        <v>11</v>
      </c>
      <c r="C743" s="5">
        <v>44444</v>
      </c>
      <c r="D743" s="6" t="s">
        <v>7</v>
      </c>
      <c r="E743" s="6">
        <v>3</v>
      </c>
      <c r="F743" s="6">
        <v>104</v>
      </c>
    </row>
    <row r="744" spans="1:6" ht="15.75" customHeight="1" x14ac:dyDescent="0.35">
      <c r="A744" s="1">
        <v>743</v>
      </c>
      <c r="B744" s="4" t="s">
        <v>11</v>
      </c>
      <c r="C744" s="5">
        <v>44444</v>
      </c>
      <c r="D744" s="6" t="s">
        <v>8</v>
      </c>
      <c r="E744" s="6">
        <v>4</v>
      </c>
      <c r="F744" s="6">
        <v>108</v>
      </c>
    </row>
    <row r="745" spans="1:6" ht="15.75" customHeight="1" x14ac:dyDescent="0.35">
      <c r="A745" s="1">
        <v>744</v>
      </c>
      <c r="B745" s="4" t="s">
        <v>11</v>
      </c>
      <c r="C745" s="5">
        <v>44444</v>
      </c>
      <c r="D745" s="6" t="s">
        <v>9</v>
      </c>
      <c r="E745" s="6">
        <v>1</v>
      </c>
      <c r="F745" s="6">
        <v>113</v>
      </c>
    </row>
    <row r="746" spans="1:6" ht="15.75" customHeight="1" x14ac:dyDescent="0.35">
      <c r="A746" s="1">
        <v>745</v>
      </c>
      <c r="B746" s="4" t="s">
        <v>12</v>
      </c>
      <c r="C746" s="5">
        <v>44445</v>
      </c>
      <c r="D746" s="6" t="s">
        <v>7</v>
      </c>
      <c r="E746" s="6">
        <v>6</v>
      </c>
      <c r="F746" s="6">
        <v>106</v>
      </c>
    </row>
    <row r="747" spans="1:6" ht="15.75" customHeight="1" x14ac:dyDescent="0.35">
      <c r="A747" s="1">
        <v>746</v>
      </c>
      <c r="B747" s="4" t="s">
        <v>12</v>
      </c>
      <c r="C747" s="5">
        <v>44445</v>
      </c>
      <c r="D747" s="6" t="s">
        <v>8</v>
      </c>
      <c r="E747" s="6">
        <v>1</v>
      </c>
      <c r="F747" s="6">
        <v>98</v>
      </c>
    </row>
    <row r="748" spans="1:6" ht="15.75" customHeight="1" x14ac:dyDescent="0.35">
      <c r="A748" s="1">
        <v>747</v>
      </c>
      <c r="B748" s="4" t="s">
        <v>12</v>
      </c>
      <c r="C748" s="5">
        <v>44445</v>
      </c>
      <c r="D748" s="6" t="s">
        <v>9</v>
      </c>
      <c r="E748" s="6">
        <v>3</v>
      </c>
      <c r="F748" s="6">
        <v>99</v>
      </c>
    </row>
    <row r="749" spans="1:6" ht="15.75" customHeight="1" x14ac:dyDescent="0.35">
      <c r="A749" s="1">
        <v>748</v>
      </c>
      <c r="B749" s="4" t="s">
        <v>13</v>
      </c>
      <c r="C749" s="5">
        <v>44446</v>
      </c>
      <c r="D749" s="6" t="s">
        <v>7</v>
      </c>
      <c r="E749" s="6">
        <v>2</v>
      </c>
      <c r="F749" s="6">
        <v>102</v>
      </c>
    </row>
    <row r="750" spans="1:6" ht="15.75" customHeight="1" x14ac:dyDescent="0.35">
      <c r="A750" s="1">
        <v>749</v>
      </c>
      <c r="B750" s="4" t="s">
        <v>13</v>
      </c>
      <c r="C750" s="5">
        <v>44446</v>
      </c>
      <c r="D750" s="6" t="s">
        <v>8</v>
      </c>
      <c r="E750" s="6">
        <v>1</v>
      </c>
      <c r="F750" s="6">
        <v>99</v>
      </c>
    </row>
    <row r="751" spans="1:6" ht="15.75" customHeight="1" x14ac:dyDescent="0.35">
      <c r="A751" s="1">
        <v>750</v>
      </c>
      <c r="B751" s="4" t="s">
        <v>13</v>
      </c>
      <c r="C751" s="5">
        <v>44446</v>
      </c>
      <c r="D751" s="6" t="s">
        <v>9</v>
      </c>
      <c r="E751" s="6">
        <v>0</v>
      </c>
      <c r="F751" s="6">
        <v>93</v>
      </c>
    </row>
    <row r="752" spans="1:6" ht="15.75" customHeight="1" x14ac:dyDescent="0.35">
      <c r="A752" s="1">
        <v>751</v>
      </c>
      <c r="B752" s="4" t="s">
        <v>14</v>
      </c>
      <c r="C752" s="5">
        <v>44447</v>
      </c>
      <c r="D752" s="6" t="s">
        <v>7</v>
      </c>
      <c r="E752" s="6">
        <v>3</v>
      </c>
      <c r="F752" s="6">
        <v>104</v>
      </c>
    </row>
    <row r="753" spans="1:6" ht="15.75" customHeight="1" x14ac:dyDescent="0.35">
      <c r="A753" s="1">
        <v>752</v>
      </c>
      <c r="B753" s="4" t="s">
        <v>14</v>
      </c>
      <c r="C753" s="5">
        <v>44447</v>
      </c>
      <c r="D753" s="6" t="s">
        <v>8</v>
      </c>
      <c r="E753" s="6">
        <v>0</v>
      </c>
      <c r="F753" s="6">
        <v>104</v>
      </c>
    </row>
    <row r="754" spans="1:6" ht="15.75" customHeight="1" x14ac:dyDescent="0.35">
      <c r="A754" s="1">
        <v>753</v>
      </c>
      <c r="B754" s="4" t="s">
        <v>14</v>
      </c>
      <c r="C754" s="5">
        <v>44447</v>
      </c>
      <c r="D754" s="6" t="s">
        <v>9</v>
      </c>
      <c r="E754" s="6">
        <v>0</v>
      </c>
      <c r="F754" s="6">
        <v>106</v>
      </c>
    </row>
    <row r="755" spans="1:6" ht="15.75" customHeight="1" x14ac:dyDescent="0.35">
      <c r="A755" s="1">
        <v>754</v>
      </c>
      <c r="B755" s="4" t="s">
        <v>15</v>
      </c>
      <c r="C755" s="5">
        <v>44448</v>
      </c>
      <c r="D755" s="6" t="s">
        <v>7</v>
      </c>
      <c r="E755" s="6">
        <v>2</v>
      </c>
      <c r="F755" s="6">
        <v>107</v>
      </c>
    </row>
    <row r="756" spans="1:6" ht="15.75" customHeight="1" x14ac:dyDescent="0.35">
      <c r="A756" s="1">
        <v>755</v>
      </c>
      <c r="B756" s="4" t="s">
        <v>15</v>
      </c>
      <c r="C756" s="5">
        <v>44448</v>
      </c>
      <c r="D756" s="6" t="s">
        <v>8</v>
      </c>
      <c r="E756" s="6">
        <v>3</v>
      </c>
      <c r="F756" s="6">
        <v>97</v>
      </c>
    </row>
    <row r="757" spans="1:6" ht="15.75" customHeight="1" x14ac:dyDescent="0.35">
      <c r="A757" s="1">
        <v>756</v>
      </c>
      <c r="B757" s="4" t="s">
        <v>15</v>
      </c>
      <c r="C757" s="5">
        <v>44448</v>
      </c>
      <c r="D757" s="6" t="s">
        <v>9</v>
      </c>
      <c r="E757" s="6">
        <v>0</v>
      </c>
      <c r="F757" s="6">
        <v>105</v>
      </c>
    </row>
    <row r="758" spans="1:6" ht="15.75" customHeight="1" x14ac:dyDescent="0.35">
      <c r="A758" s="1">
        <v>757</v>
      </c>
      <c r="B758" s="4" t="s">
        <v>6</v>
      </c>
      <c r="C758" s="5">
        <v>44449</v>
      </c>
      <c r="D758" s="6" t="s">
        <v>7</v>
      </c>
      <c r="E758" s="6">
        <v>8</v>
      </c>
      <c r="F758" s="6">
        <v>101</v>
      </c>
    </row>
    <row r="759" spans="1:6" ht="15.75" customHeight="1" x14ac:dyDescent="0.35">
      <c r="A759" s="1">
        <v>758</v>
      </c>
      <c r="B759" s="4" t="s">
        <v>6</v>
      </c>
      <c r="C759" s="5">
        <v>44449</v>
      </c>
      <c r="D759" s="6" t="s">
        <v>8</v>
      </c>
      <c r="E759" s="6">
        <v>3</v>
      </c>
      <c r="F759" s="6">
        <v>97</v>
      </c>
    </row>
    <row r="760" spans="1:6" ht="15.75" customHeight="1" x14ac:dyDescent="0.35">
      <c r="A760" s="1">
        <v>759</v>
      </c>
      <c r="B760" s="4" t="s">
        <v>6</v>
      </c>
      <c r="C760" s="5">
        <v>44449</v>
      </c>
      <c r="D760" s="6" t="s">
        <v>9</v>
      </c>
      <c r="E760" s="6">
        <v>0</v>
      </c>
      <c r="F760" s="6">
        <v>113</v>
      </c>
    </row>
    <row r="761" spans="1:6" ht="15.75" customHeight="1" x14ac:dyDescent="0.35">
      <c r="A761" s="1">
        <v>760</v>
      </c>
      <c r="B761" s="4" t="s">
        <v>10</v>
      </c>
      <c r="C761" s="5">
        <v>44450</v>
      </c>
      <c r="D761" s="6" t="s">
        <v>7</v>
      </c>
      <c r="E761" s="6">
        <v>2</v>
      </c>
      <c r="F761" s="6">
        <v>100</v>
      </c>
    </row>
    <row r="762" spans="1:6" ht="15.75" customHeight="1" x14ac:dyDescent="0.35">
      <c r="A762" s="1">
        <v>761</v>
      </c>
      <c r="B762" s="4" t="s">
        <v>10</v>
      </c>
      <c r="C762" s="5">
        <v>44450</v>
      </c>
      <c r="D762" s="6" t="s">
        <v>8</v>
      </c>
      <c r="E762" s="6">
        <v>4</v>
      </c>
      <c r="F762" s="6">
        <v>113</v>
      </c>
    </row>
    <row r="763" spans="1:6" ht="15.75" customHeight="1" x14ac:dyDescent="0.35">
      <c r="A763" s="1">
        <v>762</v>
      </c>
      <c r="B763" s="4" t="s">
        <v>10</v>
      </c>
      <c r="C763" s="5">
        <v>44450</v>
      </c>
      <c r="D763" s="6" t="s">
        <v>9</v>
      </c>
      <c r="E763" s="6">
        <v>3</v>
      </c>
      <c r="F763" s="6">
        <v>113</v>
      </c>
    </row>
    <row r="764" spans="1:6" ht="15.75" customHeight="1" x14ac:dyDescent="0.35">
      <c r="A764" s="1">
        <v>763</v>
      </c>
      <c r="B764" s="4" t="s">
        <v>11</v>
      </c>
      <c r="C764" s="5">
        <v>44451</v>
      </c>
      <c r="D764" s="6" t="s">
        <v>7</v>
      </c>
      <c r="E764" s="6">
        <v>3</v>
      </c>
      <c r="F764" s="6">
        <v>108</v>
      </c>
    </row>
    <row r="765" spans="1:6" ht="15.75" customHeight="1" x14ac:dyDescent="0.35">
      <c r="A765" s="1">
        <v>764</v>
      </c>
      <c r="B765" s="4" t="s">
        <v>11</v>
      </c>
      <c r="C765" s="5">
        <v>44451</v>
      </c>
      <c r="D765" s="6" t="s">
        <v>8</v>
      </c>
      <c r="E765" s="6">
        <v>1</v>
      </c>
      <c r="F765" s="6">
        <v>104</v>
      </c>
    </row>
    <row r="766" spans="1:6" ht="15.75" customHeight="1" x14ac:dyDescent="0.35">
      <c r="A766" s="1">
        <v>765</v>
      </c>
      <c r="B766" s="4" t="s">
        <v>11</v>
      </c>
      <c r="C766" s="5">
        <v>44451</v>
      </c>
      <c r="D766" s="6" t="s">
        <v>9</v>
      </c>
      <c r="E766" s="6">
        <v>3</v>
      </c>
      <c r="F766" s="6">
        <v>100</v>
      </c>
    </row>
    <row r="767" spans="1:6" ht="15.75" customHeight="1" x14ac:dyDescent="0.35">
      <c r="A767" s="1">
        <v>766</v>
      </c>
      <c r="B767" s="4" t="s">
        <v>12</v>
      </c>
      <c r="C767" s="5">
        <v>44452</v>
      </c>
      <c r="D767" s="6" t="s">
        <v>7</v>
      </c>
      <c r="E767" s="6">
        <v>1</v>
      </c>
      <c r="F767" s="6">
        <v>100</v>
      </c>
    </row>
    <row r="768" spans="1:6" ht="15.75" customHeight="1" x14ac:dyDescent="0.35">
      <c r="A768" s="1">
        <v>767</v>
      </c>
      <c r="B768" s="4" t="s">
        <v>12</v>
      </c>
      <c r="C768" s="5">
        <v>44452</v>
      </c>
      <c r="D768" s="6" t="s">
        <v>8</v>
      </c>
      <c r="E768" s="6">
        <v>4</v>
      </c>
      <c r="F768" s="6">
        <v>111</v>
      </c>
    </row>
    <row r="769" spans="1:6" ht="15.75" customHeight="1" x14ac:dyDescent="0.35">
      <c r="A769" s="1">
        <v>768</v>
      </c>
      <c r="B769" s="4" t="s">
        <v>12</v>
      </c>
      <c r="C769" s="5">
        <v>44452</v>
      </c>
      <c r="D769" s="6" t="s">
        <v>9</v>
      </c>
      <c r="E769" s="6">
        <v>1</v>
      </c>
      <c r="F769" s="6">
        <v>102</v>
      </c>
    </row>
    <row r="770" spans="1:6" ht="15.75" customHeight="1" x14ac:dyDescent="0.35">
      <c r="A770" s="1">
        <v>769</v>
      </c>
      <c r="B770" s="4" t="s">
        <v>13</v>
      </c>
      <c r="C770" s="5">
        <v>44453</v>
      </c>
      <c r="D770" s="6" t="s">
        <v>7</v>
      </c>
      <c r="E770" s="6">
        <v>4</v>
      </c>
      <c r="F770" s="6">
        <v>98</v>
      </c>
    </row>
    <row r="771" spans="1:6" ht="15.75" customHeight="1" x14ac:dyDescent="0.35">
      <c r="A771" s="1">
        <v>770</v>
      </c>
      <c r="B771" s="4" t="s">
        <v>13</v>
      </c>
      <c r="C771" s="5">
        <v>44453</v>
      </c>
      <c r="D771" s="6" t="s">
        <v>8</v>
      </c>
      <c r="E771" s="6">
        <v>1</v>
      </c>
      <c r="F771" s="6">
        <v>95</v>
      </c>
    </row>
    <row r="772" spans="1:6" ht="15.75" customHeight="1" x14ac:dyDescent="0.35">
      <c r="A772" s="1">
        <v>771</v>
      </c>
      <c r="B772" s="4" t="s">
        <v>13</v>
      </c>
      <c r="C772" s="5">
        <v>44453</v>
      </c>
      <c r="D772" s="6" t="s">
        <v>9</v>
      </c>
      <c r="E772" s="6">
        <v>1</v>
      </c>
      <c r="F772" s="6">
        <v>101</v>
      </c>
    </row>
    <row r="773" spans="1:6" ht="15.75" customHeight="1" x14ac:dyDescent="0.35">
      <c r="A773" s="1">
        <v>772</v>
      </c>
      <c r="B773" s="4" t="s">
        <v>14</v>
      </c>
      <c r="C773" s="5">
        <v>44454</v>
      </c>
      <c r="D773" s="6" t="s">
        <v>7</v>
      </c>
      <c r="E773" s="6">
        <v>3</v>
      </c>
      <c r="F773" s="6">
        <v>91</v>
      </c>
    </row>
    <row r="774" spans="1:6" ht="15.75" customHeight="1" x14ac:dyDescent="0.35">
      <c r="A774" s="1">
        <v>773</v>
      </c>
      <c r="B774" s="4" t="s">
        <v>14</v>
      </c>
      <c r="C774" s="5">
        <v>44454</v>
      </c>
      <c r="D774" s="6" t="s">
        <v>8</v>
      </c>
      <c r="E774" s="6">
        <v>5</v>
      </c>
      <c r="F774" s="6">
        <v>101</v>
      </c>
    </row>
    <row r="775" spans="1:6" ht="15.75" customHeight="1" x14ac:dyDescent="0.35">
      <c r="A775" s="1">
        <v>774</v>
      </c>
      <c r="B775" s="4" t="s">
        <v>14</v>
      </c>
      <c r="C775" s="5">
        <v>44454</v>
      </c>
      <c r="D775" s="6" t="s">
        <v>9</v>
      </c>
      <c r="E775" s="6">
        <v>1</v>
      </c>
      <c r="F775" s="6">
        <v>104</v>
      </c>
    </row>
    <row r="776" spans="1:6" ht="15.75" customHeight="1" x14ac:dyDescent="0.35">
      <c r="A776" s="1">
        <v>775</v>
      </c>
      <c r="B776" s="4" t="s">
        <v>15</v>
      </c>
      <c r="C776" s="5">
        <v>44455</v>
      </c>
      <c r="D776" s="6" t="s">
        <v>7</v>
      </c>
      <c r="E776" s="6">
        <v>2</v>
      </c>
      <c r="F776" s="6">
        <v>104</v>
      </c>
    </row>
    <row r="777" spans="1:6" ht="15.75" customHeight="1" x14ac:dyDescent="0.35">
      <c r="A777" s="1">
        <v>776</v>
      </c>
      <c r="B777" s="4" t="s">
        <v>15</v>
      </c>
      <c r="C777" s="5">
        <v>44455</v>
      </c>
      <c r="D777" s="6" t="s">
        <v>8</v>
      </c>
      <c r="E777" s="6">
        <v>2</v>
      </c>
      <c r="F777" s="6">
        <v>103</v>
      </c>
    </row>
    <row r="778" spans="1:6" ht="15.75" customHeight="1" x14ac:dyDescent="0.35">
      <c r="A778" s="1">
        <v>777</v>
      </c>
      <c r="B778" s="4" t="s">
        <v>15</v>
      </c>
      <c r="C778" s="5">
        <v>44455</v>
      </c>
      <c r="D778" s="6" t="s">
        <v>9</v>
      </c>
      <c r="E778" s="6">
        <v>2</v>
      </c>
      <c r="F778" s="6">
        <v>107</v>
      </c>
    </row>
    <row r="779" spans="1:6" ht="15.75" customHeight="1" x14ac:dyDescent="0.35">
      <c r="A779" s="1">
        <v>778</v>
      </c>
      <c r="B779" s="4" t="s">
        <v>6</v>
      </c>
      <c r="C779" s="5">
        <v>44456</v>
      </c>
      <c r="D779" s="6" t="s">
        <v>7</v>
      </c>
      <c r="E779" s="6">
        <v>3</v>
      </c>
      <c r="F779" s="6">
        <v>99</v>
      </c>
    </row>
    <row r="780" spans="1:6" ht="15.75" customHeight="1" x14ac:dyDescent="0.35">
      <c r="A780" s="1">
        <v>779</v>
      </c>
      <c r="B780" s="4" t="s">
        <v>6</v>
      </c>
      <c r="C780" s="5">
        <v>44456</v>
      </c>
      <c r="D780" s="6" t="s">
        <v>8</v>
      </c>
      <c r="E780" s="6">
        <v>2</v>
      </c>
      <c r="F780" s="6">
        <v>106</v>
      </c>
    </row>
    <row r="781" spans="1:6" ht="15.75" customHeight="1" x14ac:dyDescent="0.35">
      <c r="A781" s="1">
        <v>780</v>
      </c>
      <c r="B781" s="4" t="s">
        <v>6</v>
      </c>
      <c r="C781" s="5">
        <v>44456</v>
      </c>
      <c r="D781" s="6" t="s">
        <v>9</v>
      </c>
      <c r="E781" s="6">
        <v>2</v>
      </c>
      <c r="F781" s="6">
        <v>105</v>
      </c>
    </row>
    <row r="782" spans="1:6" ht="15.75" customHeight="1" x14ac:dyDescent="0.35">
      <c r="A782" s="1">
        <v>781</v>
      </c>
      <c r="B782" s="4" t="s">
        <v>10</v>
      </c>
      <c r="C782" s="5">
        <v>44457</v>
      </c>
      <c r="D782" s="6" t="s">
        <v>7</v>
      </c>
      <c r="E782" s="6">
        <v>5</v>
      </c>
      <c r="F782" s="6">
        <v>110</v>
      </c>
    </row>
    <row r="783" spans="1:6" ht="15.75" customHeight="1" x14ac:dyDescent="0.35">
      <c r="A783" s="1">
        <v>782</v>
      </c>
      <c r="B783" s="4" t="s">
        <v>10</v>
      </c>
      <c r="C783" s="5">
        <v>44457</v>
      </c>
      <c r="D783" s="6" t="s">
        <v>8</v>
      </c>
      <c r="E783" s="6">
        <v>0</v>
      </c>
      <c r="F783" s="6">
        <v>104</v>
      </c>
    </row>
    <row r="784" spans="1:6" ht="15.75" customHeight="1" x14ac:dyDescent="0.35">
      <c r="A784" s="1">
        <v>783</v>
      </c>
      <c r="B784" s="4" t="s">
        <v>10</v>
      </c>
      <c r="C784" s="5">
        <v>44457</v>
      </c>
      <c r="D784" s="6" t="s">
        <v>9</v>
      </c>
      <c r="E784" s="6">
        <v>0</v>
      </c>
      <c r="F784" s="6">
        <v>105</v>
      </c>
    </row>
    <row r="785" spans="1:6" ht="15.75" customHeight="1" x14ac:dyDescent="0.35">
      <c r="A785" s="1">
        <v>784</v>
      </c>
      <c r="B785" s="4" t="s">
        <v>11</v>
      </c>
      <c r="C785" s="5">
        <v>44458</v>
      </c>
      <c r="D785" s="6" t="s">
        <v>7</v>
      </c>
      <c r="E785" s="6">
        <v>3</v>
      </c>
      <c r="F785" s="6">
        <v>104</v>
      </c>
    </row>
    <row r="786" spans="1:6" ht="15.75" customHeight="1" x14ac:dyDescent="0.35">
      <c r="A786" s="1">
        <v>785</v>
      </c>
      <c r="B786" s="4" t="s">
        <v>11</v>
      </c>
      <c r="C786" s="5">
        <v>44458</v>
      </c>
      <c r="D786" s="6" t="s">
        <v>8</v>
      </c>
      <c r="E786" s="6">
        <v>2</v>
      </c>
      <c r="F786" s="6">
        <v>108</v>
      </c>
    </row>
    <row r="787" spans="1:6" ht="15.75" customHeight="1" x14ac:dyDescent="0.35">
      <c r="A787" s="1">
        <v>786</v>
      </c>
      <c r="B787" s="4" t="s">
        <v>11</v>
      </c>
      <c r="C787" s="5">
        <v>44458</v>
      </c>
      <c r="D787" s="6" t="s">
        <v>9</v>
      </c>
      <c r="E787" s="6">
        <v>3</v>
      </c>
      <c r="F787" s="6">
        <v>112</v>
      </c>
    </row>
    <row r="788" spans="1:6" ht="15.75" customHeight="1" x14ac:dyDescent="0.35">
      <c r="A788" s="1">
        <v>787</v>
      </c>
      <c r="B788" s="4" t="s">
        <v>12</v>
      </c>
      <c r="C788" s="5">
        <v>44459</v>
      </c>
      <c r="D788" s="6" t="s">
        <v>7</v>
      </c>
      <c r="E788" s="6">
        <v>3</v>
      </c>
      <c r="F788" s="6">
        <v>103</v>
      </c>
    </row>
    <row r="789" spans="1:6" ht="15.75" customHeight="1" x14ac:dyDescent="0.35">
      <c r="A789" s="1">
        <v>788</v>
      </c>
      <c r="B789" s="4" t="s">
        <v>12</v>
      </c>
      <c r="C789" s="5">
        <v>44459</v>
      </c>
      <c r="D789" s="6" t="s">
        <v>8</v>
      </c>
      <c r="E789" s="6">
        <v>2</v>
      </c>
      <c r="F789" s="6">
        <v>104</v>
      </c>
    </row>
    <row r="790" spans="1:6" ht="15.75" customHeight="1" x14ac:dyDescent="0.35">
      <c r="A790" s="1">
        <v>789</v>
      </c>
      <c r="B790" s="4" t="s">
        <v>12</v>
      </c>
      <c r="C790" s="5">
        <v>44459</v>
      </c>
      <c r="D790" s="6" t="s">
        <v>9</v>
      </c>
      <c r="E790" s="6">
        <v>1</v>
      </c>
      <c r="F790" s="6">
        <v>94</v>
      </c>
    </row>
    <row r="791" spans="1:6" ht="15.75" customHeight="1" x14ac:dyDescent="0.35">
      <c r="A791" s="1">
        <v>790</v>
      </c>
      <c r="B791" s="4" t="s">
        <v>13</v>
      </c>
      <c r="C791" s="5">
        <v>44460</v>
      </c>
      <c r="D791" s="6" t="s">
        <v>7</v>
      </c>
      <c r="E791" s="6">
        <v>2</v>
      </c>
      <c r="F791" s="6">
        <v>100</v>
      </c>
    </row>
    <row r="792" spans="1:6" ht="15.75" customHeight="1" x14ac:dyDescent="0.35">
      <c r="A792" s="1">
        <v>791</v>
      </c>
      <c r="B792" s="4" t="s">
        <v>13</v>
      </c>
      <c r="C792" s="5">
        <v>44460</v>
      </c>
      <c r="D792" s="6" t="s">
        <v>8</v>
      </c>
      <c r="E792" s="6">
        <v>1</v>
      </c>
      <c r="F792" s="6">
        <v>95</v>
      </c>
    </row>
    <row r="793" spans="1:6" ht="15.75" customHeight="1" x14ac:dyDescent="0.35">
      <c r="A793" s="1">
        <v>792</v>
      </c>
      <c r="B793" s="4" t="s">
        <v>13</v>
      </c>
      <c r="C793" s="5">
        <v>44460</v>
      </c>
      <c r="D793" s="6" t="s">
        <v>9</v>
      </c>
      <c r="E793" s="6">
        <v>1</v>
      </c>
      <c r="F793" s="6">
        <v>92</v>
      </c>
    </row>
    <row r="794" spans="1:6" ht="15.75" customHeight="1" x14ac:dyDescent="0.35">
      <c r="A794" s="1">
        <v>793</v>
      </c>
      <c r="B794" s="4" t="s">
        <v>14</v>
      </c>
      <c r="C794" s="5">
        <v>44461</v>
      </c>
      <c r="D794" s="6" t="s">
        <v>7</v>
      </c>
      <c r="E794" s="6">
        <v>5</v>
      </c>
      <c r="F794" s="6">
        <v>95</v>
      </c>
    </row>
    <row r="795" spans="1:6" ht="15.75" customHeight="1" x14ac:dyDescent="0.35">
      <c r="A795" s="1">
        <v>794</v>
      </c>
      <c r="B795" s="4" t="s">
        <v>14</v>
      </c>
      <c r="C795" s="5">
        <v>44461</v>
      </c>
      <c r="D795" s="6" t="s">
        <v>8</v>
      </c>
      <c r="E795" s="6">
        <v>2</v>
      </c>
      <c r="F795" s="6">
        <v>95</v>
      </c>
    </row>
    <row r="796" spans="1:6" ht="15.75" customHeight="1" x14ac:dyDescent="0.35">
      <c r="A796" s="1">
        <v>795</v>
      </c>
      <c r="B796" s="4" t="s">
        <v>14</v>
      </c>
      <c r="C796" s="5">
        <v>44461</v>
      </c>
      <c r="D796" s="6" t="s">
        <v>9</v>
      </c>
      <c r="E796" s="6">
        <v>0</v>
      </c>
      <c r="F796" s="6">
        <v>102</v>
      </c>
    </row>
    <row r="797" spans="1:6" ht="15.75" customHeight="1" x14ac:dyDescent="0.35">
      <c r="A797" s="1">
        <v>796</v>
      </c>
      <c r="B797" s="4" t="s">
        <v>15</v>
      </c>
      <c r="C797" s="5">
        <v>44462</v>
      </c>
      <c r="D797" s="6" t="s">
        <v>7</v>
      </c>
      <c r="E797" s="6">
        <v>2</v>
      </c>
      <c r="F797" s="6">
        <v>103</v>
      </c>
    </row>
    <row r="798" spans="1:6" ht="15.75" customHeight="1" x14ac:dyDescent="0.35">
      <c r="A798" s="1">
        <v>797</v>
      </c>
      <c r="B798" s="4" t="s">
        <v>15</v>
      </c>
      <c r="C798" s="5">
        <v>44462</v>
      </c>
      <c r="D798" s="6" t="s">
        <v>8</v>
      </c>
      <c r="E798" s="6">
        <v>2</v>
      </c>
      <c r="F798" s="6">
        <v>102</v>
      </c>
    </row>
    <row r="799" spans="1:6" ht="15.75" customHeight="1" x14ac:dyDescent="0.35">
      <c r="A799" s="1">
        <v>798</v>
      </c>
      <c r="B799" s="4" t="s">
        <v>15</v>
      </c>
      <c r="C799" s="5">
        <v>44462</v>
      </c>
      <c r="D799" s="6" t="s">
        <v>9</v>
      </c>
      <c r="E799" s="6">
        <v>1</v>
      </c>
      <c r="F799" s="6">
        <v>96</v>
      </c>
    </row>
    <row r="800" spans="1:6" ht="15.75" customHeight="1" x14ac:dyDescent="0.35">
      <c r="A800" s="1">
        <v>799</v>
      </c>
      <c r="B800" s="4" t="s">
        <v>6</v>
      </c>
      <c r="C800" s="5">
        <v>44463</v>
      </c>
      <c r="D800" s="6" t="s">
        <v>7</v>
      </c>
      <c r="E800" s="6">
        <v>2</v>
      </c>
      <c r="F800" s="6">
        <v>97</v>
      </c>
    </row>
    <row r="801" spans="1:6" ht="15.75" customHeight="1" x14ac:dyDescent="0.35">
      <c r="A801" s="1">
        <v>800</v>
      </c>
      <c r="B801" s="4" t="s">
        <v>6</v>
      </c>
      <c r="C801" s="5">
        <v>44463</v>
      </c>
      <c r="D801" s="6" t="s">
        <v>8</v>
      </c>
      <c r="E801" s="6">
        <v>0</v>
      </c>
      <c r="F801" s="6">
        <v>99</v>
      </c>
    </row>
    <row r="802" spans="1:6" ht="15.75" customHeight="1" x14ac:dyDescent="0.35">
      <c r="A802" s="1">
        <v>801</v>
      </c>
      <c r="B802" s="4" t="s">
        <v>6</v>
      </c>
      <c r="C802" s="5">
        <v>44463</v>
      </c>
      <c r="D802" s="6" t="s">
        <v>9</v>
      </c>
      <c r="E802" s="6">
        <v>0</v>
      </c>
      <c r="F802" s="6">
        <v>103</v>
      </c>
    </row>
    <row r="803" spans="1:6" ht="15.75" customHeight="1" x14ac:dyDescent="0.35">
      <c r="A803" s="1">
        <v>802</v>
      </c>
      <c r="B803" s="4" t="s">
        <v>10</v>
      </c>
      <c r="C803" s="5">
        <v>44464</v>
      </c>
      <c r="D803" s="6" t="s">
        <v>7</v>
      </c>
      <c r="E803" s="6">
        <v>0</v>
      </c>
      <c r="F803" s="6">
        <v>96</v>
      </c>
    </row>
    <row r="804" spans="1:6" ht="15.75" customHeight="1" x14ac:dyDescent="0.35">
      <c r="A804" s="1">
        <v>803</v>
      </c>
      <c r="B804" s="4" t="s">
        <v>10</v>
      </c>
      <c r="C804" s="5">
        <v>44464</v>
      </c>
      <c r="D804" s="6" t="s">
        <v>8</v>
      </c>
      <c r="E804" s="6">
        <v>1</v>
      </c>
      <c r="F804" s="6">
        <v>100</v>
      </c>
    </row>
    <row r="805" spans="1:6" ht="15.75" customHeight="1" x14ac:dyDescent="0.35">
      <c r="A805" s="1">
        <v>804</v>
      </c>
      <c r="B805" s="4" t="s">
        <v>10</v>
      </c>
      <c r="C805" s="5">
        <v>44464</v>
      </c>
      <c r="D805" s="6" t="s">
        <v>9</v>
      </c>
      <c r="E805" s="6">
        <v>1</v>
      </c>
      <c r="F805" s="6">
        <v>109</v>
      </c>
    </row>
    <row r="806" spans="1:6" ht="15.75" customHeight="1" x14ac:dyDescent="0.35">
      <c r="A806" s="1">
        <v>805</v>
      </c>
      <c r="B806" s="4" t="s">
        <v>11</v>
      </c>
      <c r="C806" s="5">
        <v>44465</v>
      </c>
      <c r="D806" s="6" t="s">
        <v>7</v>
      </c>
      <c r="E806" s="6">
        <v>2</v>
      </c>
      <c r="F806" s="6">
        <v>104</v>
      </c>
    </row>
    <row r="807" spans="1:6" ht="15.75" customHeight="1" x14ac:dyDescent="0.35">
      <c r="A807" s="1">
        <v>806</v>
      </c>
      <c r="B807" s="4" t="s">
        <v>11</v>
      </c>
      <c r="C807" s="5">
        <v>44465</v>
      </c>
      <c r="D807" s="6" t="s">
        <v>8</v>
      </c>
      <c r="E807" s="6">
        <v>1</v>
      </c>
      <c r="F807" s="6">
        <v>105</v>
      </c>
    </row>
    <row r="808" spans="1:6" ht="15.75" customHeight="1" x14ac:dyDescent="0.35">
      <c r="A808" s="1">
        <v>807</v>
      </c>
      <c r="B808" s="4" t="s">
        <v>11</v>
      </c>
      <c r="C808" s="5">
        <v>44465</v>
      </c>
      <c r="D808" s="6" t="s">
        <v>9</v>
      </c>
      <c r="E808" s="6">
        <v>0</v>
      </c>
      <c r="F808" s="6">
        <v>104</v>
      </c>
    </row>
    <row r="809" spans="1:6" ht="15.75" customHeight="1" x14ac:dyDescent="0.35">
      <c r="A809" s="1">
        <v>808</v>
      </c>
      <c r="B809" s="4" t="s">
        <v>12</v>
      </c>
      <c r="C809" s="5">
        <v>44466</v>
      </c>
      <c r="D809" s="6" t="s">
        <v>7</v>
      </c>
      <c r="E809" s="6">
        <v>2</v>
      </c>
      <c r="F809" s="6">
        <v>105</v>
      </c>
    </row>
    <row r="810" spans="1:6" ht="15.75" customHeight="1" x14ac:dyDescent="0.35">
      <c r="A810" s="1">
        <v>809</v>
      </c>
      <c r="B810" s="4" t="s">
        <v>12</v>
      </c>
      <c r="C810" s="5">
        <v>44466</v>
      </c>
      <c r="D810" s="6" t="s">
        <v>8</v>
      </c>
      <c r="E810" s="6">
        <v>1</v>
      </c>
      <c r="F810" s="6">
        <v>104</v>
      </c>
    </row>
    <row r="811" spans="1:6" ht="15.75" customHeight="1" x14ac:dyDescent="0.35">
      <c r="A811" s="1">
        <v>810</v>
      </c>
      <c r="B811" s="4" t="s">
        <v>12</v>
      </c>
      <c r="C811" s="5">
        <v>44466</v>
      </c>
      <c r="D811" s="6" t="s">
        <v>9</v>
      </c>
      <c r="E811" s="6">
        <v>0</v>
      </c>
      <c r="F811" s="6">
        <v>99</v>
      </c>
    </row>
    <row r="812" spans="1:6" ht="15.75" customHeight="1" x14ac:dyDescent="0.35">
      <c r="A812" s="1">
        <v>811</v>
      </c>
      <c r="B812" s="4" t="s">
        <v>13</v>
      </c>
      <c r="C812" s="5">
        <v>44467</v>
      </c>
      <c r="D812" s="6" t="s">
        <v>7</v>
      </c>
      <c r="E812" s="6">
        <v>5</v>
      </c>
      <c r="F812" s="6">
        <v>107</v>
      </c>
    </row>
    <row r="813" spans="1:6" ht="15.75" customHeight="1" x14ac:dyDescent="0.35">
      <c r="A813" s="1">
        <v>812</v>
      </c>
      <c r="B813" s="4" t="s">
        <v>13</v>
      </c>
      <c r="C813" s="5">
        <v>44467</v>
      </c>
      <c r="D813" s="6" t="s">
        <v>8</v>
      </c>
      <c r="E813" s="6">
        <v>2</v>
      </c>
      <c r="F813" s="6">
        <v>102</v>
      </c>
    </row>
    <row r="814" spans="1:6" ht="15.75" customHeight="1" x14ac:dyDescent="0.35">
      <c r="A814" s="1">
        <v>813</v>
      </c>
      <c r="B814" s="4" t="s">
        <v>13</v>
      </c>
      <c r="C814" s="5">
        <v>44467</v>
      </c>
      <c r="D814" s="6" t="s">
        <v>9</v>
      </c>
      <c r="E814" s="6">
        <v>0</v>
      </c>
      <c r="F814" s="6">
        <v>110</v>
      </c>
    </row>
    <row r="815" spans="1:6" ht="15.75" customHeight="1" x14ac:dyDescent="0.35">
      <c r="A815" s="1">
        <v>814</v>
      </c>
      <c r="B815" s="4" t="s">
        <v>14</v>
      </c>
      <c r="C815" s="5">
        <v>44468</v>
      </c>
      <c r="D815" s="6" t="s">
        <v>7</v>
      </c>
      <c r="E815" s="6">
        <v>3</v>
      </c>
      <c r="F815" s="6">
        <v>100</v>
      </c>
    </row>
    <row r="816" spans="1:6" ht="15.75" customHeight="1" x14ac:dyDescent="0.35">
      <c r="A816" s="1">
        <v>815</v>
      </c>
      <c r="B816" s="4" t="s">
        <v>14</v>
      </c>
      <c r="C816" s="5">
        <v>44468</v>
      </c>
      <c r="D816" s="6" t="s">
        <v>8</v>
      </c>
      <c r="E816" s="6">
        <v>0</v>
      </c>
      <c r="F816" s="6">
        <v>102</v>
      </c>
    </row>
    <row r="817" spans="1:6" ht="15.75" customHeight="1" x14ac:dyDescent="0.35">
      <c r="A817" s="1">
        <v>816</v>
      </c>
      <c r="B817" s="4" t="s">
        <v>14</v>
      </c>
      <c r="C817" s="5">
        <v>44468</v>
      </c>
      <c r="D817" s="6" t="s">
        <v>9</v>
      </c>
      <c r="E817" s="6">
        <v>1</v>
      </c>
      <c r="F817" s="6">
        <v>114</v>
      </c>
    </row>
    <row r="818" spans="1:6" ht="15.75" customHeight="1" x14ac:dyDescent="0.35">
      <c r="A818" s="1">
        <v>817</v>
      </c>
      <c r="B818" s="4" t="s">
        <v>15</v>
      </c>
      <c r="C818" s="5">
        <v>44469</v>
      </c>
      <c r="D818" s="6" t="s">
        <v>7</v>
      </c>
      <c r="E818" s="6">
        <v>3</v>
      </c>
      <c r="F818" s="6">
        <v>96</v>
      </c>
    </row>
    <row r="819" spans="1:6" ht="15.75" customHeight="1" x14ac:dyDescent="0.35">
      <c r="A819" s="1">
        <v>818</v>
      </c>
      <c r="B819" s="4" t="s">
        <v>15</v>
      </c>
      <c r="C819" s="5">
        <v>44469</v>
      </c>
      <c r="D819" s="6" t="s">
        <v>8</v>
      </c>
      <c r="E819" s="6">
        <v>1</v>
      </c>
      <c r="F819" s="6">
        <v>107</v>
      </c>
    </row>
    <row r="820" spans="1:6" ht="15.75" customHeight="1" x14ac:dyDescent="0.35">
      <c r="A820" s="1">
        <v>819</v>
      </c>
      <c r="B820" s="4" t="s">
        <v>15</v>
      </c>
      <c r="C820" s="5">
        <v>44469</v>
      </c>
      <c r="D820" s="6" t="s">
        <v>9</v>
      </c>
      <c r="E820" s="6">
        <v>0</v>
      </c>
      <c r="F820" s="6">
        <v>107</v>
      </c>
    </row>
    <row r="821" spans="1:6" ht="15.75" customHeight="1" x14ac:dyDescent="0.35">
      <c r="A821" s="1">
        <v>820</v>
      </c>
      <c r="B821" s="4" t="s">
        <v>6</v>
      </c>
      <c r="C821" s="5">
        <v>44470</v>
      </c>
      <c r="D821" s="6" t="s">
        <v>7</v>
      </c>
      <c r="E821" s="6">
        <v>5</v>
      </c>
      <c r="F821" s="6">
        <v>96</v>
      </c>
    </row>
    <row r="822" spans="1:6" ht="15.75" customHeight="1" x14ac:dyDescent="0.35">
      <c r="A822" s="1">
        <v>821</v>
      </c>
      <c r="B822" s="4" t="s">
        <v>6</v>
      </c>
      <c r="C822" s="5">
        <v>44470</v>
      </c>
      <c r="D822" s="6" t="s">
        <v>8</v>
      </c>
      <c r="E822" s="6">
        <v>5</v>
      </c>
      <c r="F822" s="6">
        <v>108</v>
      </c>
    </row>
    <row r="823" spans="1:6" ht="15.75" customHeight="1" x14ac:dyDescent="0.35">
      <c r="A823" s="1">
        <v>822</v>
      </c>
      <c r="B823" s="4" t="s">
        <v>6</v>
      </c>
      <c r="C823" s="5">
        <v>44470</v>
      </c>
      <c r="D823" s="6" t="s">
        <v>9</v>
      </c>
      <c r="E823" s="6">
        <v>0</v>
      </c>
      <c r="F823" s="6">
        <v>103</v>
      </c>
    </row>
    <row r="824" spans="1:6" ht="15.75" customHeight="1" x14ac:dyDescent="0.35">
      <c r="A824" s="1">
        <v>823</v>
      </c>
      <c r="B824" s="4" t="s">
        <v>10</v>
      </c>
      <c r="C824" s="5">
        <v>44471</v>
      </c>
      <c r="D824" s="6" t="s">
        <v>7</v>
      </c>
      <c r="E824" s="6">
        <v>4</v>
      </c>
      <c r="F824" s="6">
        <v>104</v>
      </c>
    </row>
    <row r="825" spans="1:6" ht="15.75" customHeight="1" x14ac:dyDescent="0.35">
      <c r="A825" s="1">
        <v>824</v>
      </c>
      <c r="B825" s="4" t="s">
        <v>10</v>
      </c>
      <c r="C825" s="5">
        <v>44471</v>
      </c>
      <c r="D825" s="6" t="s">
        <v>8</v>
      </c>
      <c r="E825" s="6">
        <v>3</v>
      </c>
      <c r="F825" s="6">
        <v>105</v>
      </c>
    </row>
    <row r="826" spans="1:6" ht="15.75" customHeight="1" x14ac:dyDescent="0.35">
      <c r="A826" s="1">
        <v>825</v>
      </c>
      <c r="B826" s="4" t="s">
        <v>10</v>
      </c>
      <c r="C826" s="5">
        <v>44471</v>
      </c>
      <c r="D826" s="6" t="s">
        <v>9</v>
      </c>
      <c r="E826" s="6">
        <v>0</v>
      </c>
      <c r="F826" s="6">
        <v>109</v>
      </c>
    </row>
    <row r="827" spans="1:6" ht="15.75" customHeight="1" x14ac:dyDescent="0.35">
      <c r="A827" s="1">
        <v>826</v>
      </c>
      <c r="B827" s="4" t="s">
        <v>11</v>
      </c>
      <c r="C827" s="5">
        <v>44472</v>
      </c>
      <c r="D827" s="6" t="s">
        <v>7</v>
      </c>
      <c r="E827" s="6">
        <v>3</v>
      </c>
      <c r="F827" s="6">
        <v>102</v>
      </c>
    </row>
    <row r="828" spans="1:6" ht="15.75" customHeight="1" x14ac:dyDescent="0.35">
      <c r="A828" s="1">
        <v>827</v>
      </c>
      <c r="B828" s="4" t="s">
        <v>11</v>
      </c>
      <c r="C828" s="5">
        <v>44472</v>
      </c>
      <c r="D828" s="6" t="s">
        <v>8</v>
      </c>
      <c r="E828" s="6">
        <v>3</v>
      </c>
      <c r="F828" s="6">
        <v>105</v>
      </c>
    </row>
    <row r="829" spans="1:6" ht="15.75" customHeight="1" x14ac:dyDescent="0.35">
      <c r="A829" s="1">
        <v>828</v>
      </c>
      <c r="B829" s="4" t="s">
        <v>11</v>
      </c>
      <c r="C829" s="5">
        <v>44472</v>
      </c>
      <c r="D829" s="6" t="s">
        <v>9</v>
      </c>
      <c r="E829" s="6">
        <v>1</v>
      </c>
      <c r="F829" s="6">
        <v>105</v>
      </c>
    </row>
    <row r="830" spans="1:6" ht="15.75" customHeight="1" x14ac:dyDescent="0.35">
      <c r="A830" s="1">
        <v>829</v>
      </c>
      <c r="B830" s="4" t="s">
        <v>12</v>
      </c>
      <c r="C830" s="5">
        <v>44473</v>
      </c>
      <c r="D830" s="6" t="s">
        <v>7</v>
      </c>
      <c r="E830" s="6">
        <v>1</v>
      </c>
      <c r="F830" s="6">
        <v>98</v>
      </c>
    </row>
    <row r="831" spans="1:6" ht="15.75" customHeight="1" x14ac:dyDescent="0.35">
      <c r="A831" s="1">
        <v>830</v>
      </c>
      <c r="B831" s="4" t="s">
        <v>12</v>
      </c>
      <c r="C831" s="5">
        <v>44473</v>
      </c>
      <c r="D831" s="6" t="s">
        <v>8</v>
      </c>
      <c r="E831" s="6">
        <v>4</v>
      </c>
      <c r="F831" s="6">
        <v>96</v>
      </c>
    </row>
    <row r="832" spans="1:6" ht="15.75" customHeight="1" x14ac:dyDescent="0.35">
      <c r="A832" s="1">
        <v>831</v>
      </c>
      <c r="B832" s="4" t="s">
        <v>12</v>
      </c>
      <c r="C832" s="5">
        <v>44473</v>
      </c>
      <c r="D832" s="6" t="s">
        <v>9</v>
      </c>
      <c r="E832" s="6">
        <v>2</v>
      </c>
      <c r="F832" s="6">
        <v>101</v>
      </c>
    </row>
    <row r="833" spans="1:6" ht="15.75" customHeight="1" x14ac:dyDescent="0.35">
      <c r="A833" s="1">
        <v>832</v>
      </c>
      <c r="B833" s="4" t="s">
        <v>13</v>
      </c>
      <c r="C833" s="5">
        <v>44474</v>
      </c>
      <c r="D833" s="6" t="s">
        <v>7</v>
      </c>
      <c r="E833" s="6">
        <v>4</v>
      </c>
      <c r="F833" s="6">
        <v>101</v>
      </c>
    </row>
    <row r="834" spans="1:6" ht="15.75" customHeight="1" x14ac:dyDescent="0.35">
      <c r="A834" s="1">
        <v>833</v>
      </c>
      <c r="B834" s="4" t="s">
        <v>13</v>
      </c>
      <c r="C834" s="5">
        <v>44474</v>
      </c>
      <c r="D834" s="6" t="s">
        <v>8</v>
      </c>
      <c r="E834" s="6">
        <v>1</v>
      </c>
      <c r="F834" s="6">
        <v>108</v>
      </c>
    </row>
    <row r="835" spans="1:6" ht="15.75" customHeight="1" x14ac:dyDescent="0.35">
      <c r="A835" s="1">
        <v>834</v>
      </c>
      <c r="B835" s="4" t="s">
        <v>13</v>
      </c>
      <c r="C835" s="5">
        <v>44474</v>
      </c>
      <c r="D835" s="6" t="s">
        <v>9</v>
      </c>
      <c r="E835" s="6">
        <v>0</v>
      </c>
      <c r="F835" s="6">
        <v>95</v>
      </c>
    </row>
    <row r="836" spans="1:6" ht="15.75" customHeight="1" x14ac:dyDescent="0.35">
      <c r="A836" s="1">
        <v>835</v>
      </c>
      <c r="B836" s="4" t="s">
        <v>14</v>
      </c>
      <c r="C836" s="5">
        <v>44475</v>
      </c>
      <c r="D836" s="6" t="s">
        <v>7</v>
      </c>
      <c r="E836" s="6">
        <v>4</v>
      </c>
      <c r="F836" s="6">
        <v>109</v>
      </c>
    </row>
    <row r="837" spans="1:6" ht="15.75" customHeight="1" x14ac:dyDescent="0.35">
      <c r="A837" s="1">
        <v>836</v>
      </c>
      <c r="B837" s="4" t="s">
        <v>14</v>
      </c>
      <c r="C837" s="5">
        <v>44475</v>
      </c>
      <c r="D837" s="6" t="s">
        <v>8</v>
      </c>
      <c r="E837" s="6">
        <v>1</v>
      </c>
      <c r="F837" s="6">
        <v>108</v>
      </c>
    </row>
    <row r="838" spans="1:6" ht="15.75" customHeight="1" x14ac:dyDescent="0.35">
      <c r="A838" s="1">
        <v>837</v>
      </c>
      <c r="B838" s="4" t="s">
        <v>14</v>
      </c>
      <c r="C838" s="5">
        <v>44475</v>
      </c>
      <c r="D838" s="6" t="s">
        <v>9</v>
      </c>
      <c r="E838" s="6">
        <v>1</v>
      </c>
      <c r="F838" s="6">
        <v>98</v>
      </c>
    </row>
    <row r="839" spans="1:6" ht="15.75" customHeight="1" x14ac:dyDescent="0.35">
      <c r="A839" s="1">
        <v>838</v>
      </c>
      <c r="B839" s="4" t="s">
        <v>15</v>
      </c>
      <c r="C839" s="5">
        <v>44476</v>
      </c>
      <c r="D839" s="6" t="s">
        <v>7</v>
      </c>
      <c r="E839" s="6">
        <v>5</v>
      </c>
      <c r="F839" s="6">
        <v>98</v>
      </c>
    </row>
    <row r="840" spans="1:6" ht="15.75" customHeight="1" x14ac:dyDescent="0.35">
      <c r="A840" s="1">
        <v>839</v>
      </c>
      <c r="B840" s="4" t="s">
        <v>15</v>
      </c>
      <c r="C840" s="5">
        <v>44476</v>
      </c>
      <c r="D840" s="6" t="s">
        <v>8</v>
      </c>
      <c r="E840" s="6">
        <v>3</v>
      </c>
      <c r="F840" s="6">
        <v>99</v>
      </c>
    </row>
    <row r="841" spans="1:6" ht="15.75" customHeight="1" x14ac:dyDescent="0.35">
      <c r="A841" s="1">
        <v>840</v>
      </c>
      <c r="B841" s="4" t="s">
        <v>15</v>
      </c>
      <c r="C841" s="5">
        <v>44476</v>
      </c>
      <c r="D841" s="6" t="s">
        <v>9</v>
      </c>
      <c r="E841" s="6">
        <v>0</v>
      </c>
      <c r="F841" s="6">
        <v>103</v>
      </c>
    </row>
    <row r="842" spans="1:6" ht="15.75" customHeight="1" x14ac:dyDescent="0.35">
      <c r="A842" s="1">
        <v>841</v>
      </c>
      <c r="B842" s="4" t="s">
        <v>6</v>
      </c>
      <c r="C842" s="5">
        <v>44477</v>
      </c>
      <c r="D842" s="6" t="s">
        <v>7</v>
      </c>
      <c r="E842" s="6">
        <v>4</v>
      </c>
      <c r="F842" s="6">
        <v>95</v>
      </c>
    </row>
    <row r="843" spans="1:6" ht="15.75" customHeight="1" x14ac:dyDescent="0.35">
      <c r="A843" s="1">
        <v>842</v>
      </c>
      <c r="B843" s="4" t="s">
        <v>6</v>
      </c>
      <c r="C843" s="5">
        <v>44477</v>
      </c>
      <c r="D843" s="6" t="s">
        <v>8</v>
      </c>
      <c r="E843" s="6">
        <v>4</v>
      </c>
      <c r="F843" s="6">
        <v>111</v>
      </c>
    </row>
    <row r="844" spans="1:6" ht="15.75" customHeight="1" x14ac:dyDescent="0.35">
      <c r="A844" s="1">
        <v>843</v>
      </c>
      <c r="B844" s="4" t="s">
        <v>6</v>
      </c>
      <c r="C844" s="5">
        <v>44477</v>
      </c>
      <c r="D844" s="6" t="s">
        <v>9</v>
      </c>
      <c r="E844" s="6">
        <v>1</v>
      </c>
      <c r="F844" s="6">
        <v>108</v>
      </c>
    </row>
    <row r="845" spans="1:6" ht="15.75" customHeight="1" x14ac:dyDescent="0.35">
      <c r="A845" s="1">
        <v>844</v>
      </c>
      <c r="B845" s="4" t="s">
        <v>10</v>
      </c>
      <c r="C845" s="5">
        <v>44478</v>
      </c>
      <c r="D845" s="6" t="s">
        <v>7</v>
      </c>
      <c r="E845" s="6">
        <v>2</v>
      </c>
      <c r="F845" s="6">
        <v>105</v>
      </c>
    </row>
    <row r="846" spans="1:6" ht="15.75" customHeight="1" x14ac:dyDescent="0.35">
      <c r="A846" s="1">
        <v>845</v>
      </c>
      <c r="B846" s="4" t="s">
        <v>10</v>
      </c>
      <c r="C846" s="5">
        <v>44478</v>
      </c>
      <c r="D846" s="6" t="s">
        <v>8</v>
      </c>
      <c r="E846" s="6">
        <v>5</v>
      </c>
      <c r="F846" s="6">
        <v>96</v>
      </c>
    </row>
    <row r="847" spans="1:6" ht="15.75" customHeight="1" x14ac:dyDescent="0.35">
      <c r="A847" s="1">
        <v>846</v>
      </c>
      <c r="B847" s="4" t="s">
        <v>10</v>
      </c>
      <c r="C847" s="5">
        <v>44478</v>
      </c>
      <c r="D847" s="6" t="s">
        <v>9</v>
      </c>
      <c r="E847" s="6">
        <v>1</v>
      </c>
      <c r="F847" s="6">
        <v>113</v>
      </c>
    </row>
    <row r="848" spans="1:6" ht="15.75" customHeight="1" x14ac:dyDescent="0.35">
      <c r="A848" s="1">
        <v>847</v>
      </c>
      <c r="B848" s="4" t="s">
        <v>11</v>
      </c>
      <c r="C848" s="5">
        <v>44479</v>
      </c>
      <c r="D848" s="6" t="s">
        <v>7</v>
      </c>
      <c r="E848" s="6">
        <v>3</v>
      </c>
      <c r="F848" s="6">
        <v>91</v>
      </c>
    </row>
    <row r="849" spans="1:6" ht="15.75" customHeight="1" x14ac:dyDescent="0.35">
      <c r="A849" s="1">
        <v>848</v>
      </c>
      <c r="B849" s="4" t="s">
        <v>11</v>
      </c>
      <c r="C849" s="5">
        <v>44479</v>
      </c>
      <c r="D849" s="6" t="s">
        <v>8</v>
      </c>
      <c r="E849" s="6">
        <v>0</v>
      </c>
      <c r="F849" s="6">
        <v>111</v>
      </c>
    </row>
    <row r="850" spans="1:6" ht="15.75" customHeight="1" x14ac:dyDescent="0.35">
      <c r="A850" s="1">
        <v>849</v>
      </c>
      <c r="B850" s="4" t="s">
        <v>11</v>
      </c>
      <c r="C850" s="5">
        <v>44479</v>
      </c>
      <c r="D850" s="6" t="s">
        <v>9</v>
      </c>
      <c r="E850" s="6">
        <v>1</v>
      </c>
      <c r="F850" s="6">
        <v>104</v>
      </c>
    </row>
    <row r="851" spans="1:6" ht="15.75" customHeight="1" x14ac:dyDescent="0.35">
      <c r="A851" s="1">
        <v>850</v>
      </c>
      <c r="B851" s="4" t="s">
        <v>12</v>
      </c>
      <c r="C851" s="5">
        <v>44480</v>
      </c>
      <c r="D851" s="6" t="s">
        <v>7</v>
      </c>
      <c r="E851" s="6">
        <v>5</v>
      </c>
      <c r="F851" s="6">
        <v>95</v>
      </c>
    </row>
    <row r="852" spans="1:6" ht="15.75" customHeight="1" x14ac:dyDescent="0.35">
      <c r="A852" s="1">
        <v>851</v>
      </c>
      <c r="B852" s="4" t="s">
        <v>12</v>
      </c>
      <c r="C852" s="5">
        <v>44480</v>
      </c>
      <c r="D852" s="6" t="s">
        <v>8</v>
      </c>
      <c r="E852" s="6">
        <v>2</v>
      </c>
      <c r="F852" s="6">
        <v>102</v>
      </c>
    </row>
    <row r="853" spans="1:6" ht="15.75" customHeight="1" x14ac:dyDescent="0.35">
      <c r="A853" s="1">
        <v>852</v>
      </c>
      <c r="B853" s="4" t="s">
        <v>12</v>
      </c>
      <c r="C853" s="5">
        <v>44480</v>
      </c>
      <c r="D853" s="6" t="s">
        <v>9</v>
      </c>
      <c r="E853" s="6">
        <v>0</v>
      </c>
      <c r="F853" s="6">
        <v>107</v>
      </c>
    </row>
    <row r="854" spans="1:6" ht="15.75" customHeight="1" x14ac:dyDescent="0.35">
      <c r="A854" s="1">
        <v>853</v>
      </c>
      <c r="B854" s="4" t="s">
        <v>13</v>
      </c>
      <c r="C854" s="5">
        <v>44481</v>
      </c>
      <c r="D854" s="6" t="s">
        <v>7</v>
      </c>
      <c r="E854" s="6">
        <v>2</v>
      </c>
      <c r="F854" s="6">
        <v>103</v>
      </c>
    </row>
    <row r="855" spans="1:6" ht="15.75" customHeight="1" x14ac:dyDescent="0.35">
      <c r="A855" s="1">
        <v>854</v>
      </c>
      <c r="B855" s="4" t="s">
        <v>13</v>
      </c>
      <c r="C855" s="5">
        <v>44481</v>
      </c>
      <c r="D855" s="6" t="s">
        <v>8</v>
      </c>
      <c r="E855" s="6">
        <v>2</v>
      </c>
      <c r="F855" s="6">
        <v>104</v>
      </c>
    </row>
    <row r="856" spans="1:6" ht="15.75" customHeight="1" x14ac:dyDescent="0.35">
      <c r="A856" s="1">
        <v>855</v>
      </c>
      <c r="B856" s="4" t="s">
        <v>13</v>
      </c>
      <c r="C856" s="5">
        <v>44481</v>
      </c>
      <c r="D856" s="6" t="s">
        <v>9</v>
      </c>
      <c r="E856" s="6">
        <v>1</v>
      </c>
      <c r="F856" s="6">
        <v>98</v>
      </c>
    </row>
    <row r="857" spans="1:6" ht="15.75" customHeight="1" x14ac:dyDescent="0.35">
      <c r="A857" s="1">
        <v>856</v>
      </c>
      <c r="B857" s="4" t="s">
        <v>14</v>
      </c>
      <c r="C857" s="5">
        <v>44482</v>
      </c>
      <c r="D857" s="6" t="s">
        <v>7</v>
      </c>
      <c r="E857" s="6">
        <v>2</v>
      </c>
      <c r="F857" s="6">
        <v>109</v>
      </c>
    </row>
    <row r="858" spans="1:6" ht="15.75" customHeight="1" x14ac:dyDescent="0.35">
      <c r="A858" s="1">
        <v>857</v>
      </c>
      <c r="B858" s="4" t="s">
        <v>14</v>
      </c>
      <c r="C858" s="5">
        <v>44482</v>
      </c>
      <c r="D858" s="6" t="s">
        <v>8</v>
      </c>
      <c r="E858" s="6">
        <v>1</v>
      </c>
      <c r="F858" s="6">
        <v>104</v>
      </c>
    </row>
    <row r="859" spans="1:6" ht="15.75" customHeight="1" x14ac:dyDescent="0.35">
      <c r="A859" s="1">
        <v>858</v>
      </c>
      <c r="B859" s="4" t="s">
        <v>14</v>
      </c>
      <c r="C859" s="5">
        <v>44482</v>
      </c>
      <c r="D859" s="6" t="s">
        <v>9</v>
      </c>
      <c r="E859" s="6">
        <v>1</v>
      </c>
      <c r="F859" s="6">
        <v>103</v>
      </c>
    </row>
    <row r="860" spans="1:6" ht="15.75" customHeight="1" x14ac:dyDescent="0.35">
      <c r="A860" s="1">
        <v>859</v>
      </c>
      <c r="B860" s="4" t="s">
        <v>15</v>
      </c>
      <c r="C860" s="5">
        <v>44483</v>
      </c>
      <c r="D860" s="6" t="s">
        <v>7</v>
      </c>
      <c r="E860" s="6">
        <v>2</v>
      </c>
      <c r="F860" s="6">
        <v>101</v>
      </c>
    </row>
    <row r="861" spans="1:6" ht="15.75" customHeight="1" x14ac:dyDescent="0.35">
      <c r="A861" s="1">
        <v>860</v>
      </c>
      <c r="B861" s="4" t="s">
        <v>15</v>
      </c>
      <c r="C861" s="5">
        <v>44483</v>
      </c>
      <c r="D861" s="6" t="s">
        <v>8</v>
      </c>
      <c r="E861" s="6">
        <v>5</v>
      </c>
      <c r="F861" s="6">
        <v>103</v>
      </c>
    </row>
    <row r="862" spans="1:6" ht="15.75" customHeight="1" x14ac:dyDescent="0.35">
      <c r="A862" s="1">
        <v>861</v>
      </c>
      <c r="B862" s="4" t="s">
        <v>15</v>
      </c>
      <c r="C862" s="5">
        <v>44483</v>
      </c>
      <c r="D862" s="6" t="s">
        <v>9</v>
      </c>
      <c r="E862" s="6">
        <v>3</v>
      </c>
      <c r="F862" s="6">
        <v>107</v>
      </c>
    </row>
    <row r="863" spans="1:6" ht="15.75" customHeight="1" x14ac:dyDescent="0.35">
      <c r="A863" s="1">
        <v>862</v>
      </c>
      <c r="B863" s="4" t="s">
        <v>6</v>
      </c>
      <c r="C863" s="5">
        <v>44484</v>
      </c>
      <c r="D863" s="6" t="s">
        <v>7</v>
      </c>
      <c r="E863" s="6">
        <v>0</v>
      </c>
      <c r="F863" s="6">
        <v>111</v>
      </c>
    </row>
    <row r="864" spans="1:6" ht="15.75" customHeight="1" x14ac:dyDescent="0.35">
      <c r="A864" s="1">
        <v>863</v>
      </c>
      <c r="B864" s="4" t="s">
        <v>6</v>
      </c>
      <c r="C864" s="5">
        <v>44484</v>
      </c>
      <c r="D864" s="6" t="s">
        <v>8</v>
      </c>
      <c r="E864" s="6">
        <v>6</v>
      </c>
      <c r="F864" s="6">
        <v>105</v>
      </c>
    </row>
    <row r="865" spans="1:6" ht="15.75" customHeight="1" x14ac:dyDescent="0.35">
      <c r="A865" s="1">
        <v>864</v>
      </c>
      <c r="B865" s="4" t="s">
        <v>6</v>
      </c>
      <c r="C865" s="5">
        <v>44484</v>
      </c>
      <c r="D865" s="6" t="s">
        <v>9</v>
      </c>
      <c r="E865" s="6">
        <v>0</v>
      </c>
      <c r="F865" s="6">
        <v>107</v>
      </c>
    </row>
    <row r="866" spans="1:6" ht="15.75" customHeight="1" x14ac:dyDescent="0.35">
      <c r="A866" s="1">
        <v>865</v>
      </c>
      <c r="B866" s="4" t="s">
        <v>10</v>
      </c>
      <c r="C866" s="5">
        <v>44485</v>
      </c>
      <c r="D866" s="6" t="s">
        <v>7</v>
      </c>
      <c r="E866" s="6">
        <v>3</v>
      </c>
      <c r="F866" s="6">
        <v>106</v>
      </c>
    </row>
    <row r="867" spans="1:6" ht="15.75" customHeight="1" x14ac:dyDescent="0.35">
      <c r="A867" s="1">
        <v>866</v>
      </c>
      <c r="B867" s="4" t="s">
        <v>10</v>
      </c>
      <c r="C867" s="5">
        <v>44485</v>
      </c>
      <c r="D867" s="6" t="s">
        <v>8</v>
      </c>
      <c r="E867" s="6">
        <v>4</v>
      </c>
      <c r="F867" s="6">
        <v>104</v>
      </c>
    </row>
    <row r="868" spans="1:6" ht="15.75" customHeight="1" x14ac:dyDescent="0.35">
      <c r="A868" s="1">
        <v>867</v>
      </c>
      <c r="B868" s="4" t="s">
        <v>10</v>
      </c>
      <c r="C868" s="5">
        <v>44485</v>
      </c>
      <c r="D868" s="6" t="s">
        <v>9</v>
      </c>
      <c r="E868" s="6">
        <v>1</v>
      </c>
      <c r="F868" s="6">
        <v>112</v>
      </c>
    </row>
    <row r="869" spans="1:6" ht="15.75" customHeight="1" x14ac:dyDescent="0.35">
      <c r="A869" s="1">
        <v>868</v>
      </c>
      <c r="B869" s="4" t="s">
        <v>11</v>
      </c>
      <c r="C869" s="5">
        <v>44486</v>
      </c>
      <c r="D869" s="6" t="s">
        <v>7</v>
      </c>
      <c r="E869" s="6">
        <v>4</v>
      </c>
      <c r="F869" s="6">
        <v>97</v>
      </c>
    </row>
    <row r="870" spans="1:6" ht="15.75" customHeight="1" x14ac:dyDescent="0.35">
      <c r="A870" s="1">
        <v>869</v>
      </c>
      <c r="B870" s="4" t="s">
        <v>11</v>
      </c>
      <c r="C870" s="5">
        <v>44486</v>
      </c>
      <c r="D870" s="6" t="s">
        <v>8</v>
      </c>
      <c r="E870" s="6">
        <v>2</v>
      </c>
      <c r="F870" s="6">
        <v>106</v>
      </c>
    </row>
    <row r="871" spans="1:6" ht="15.75" customHeight="1" x14ac:dyDescent="0.35">
      <c r="A871" s="1">
        <v>870</v>
      </c>
      <c r="B871" s="4" t="s">
        <v>11</v>
      </c>
      <c r="C871" s="5">
        <v>44486</v>
      </c>
      <c r="D871" s="6" t="s">
        <v>9</v>
      </c>
      <c r="E871" s="6">
        <v>0</v>
      </c>
      <c r="F871" s="6">
        <v>119</v>
      </c>
    </row>
    <row r="872" spans="1:6" ht="15.75" customHeight="1" x14ac:dyDescent="0.35">
      <c r="A872" s="1">
        <v>871</v>
      </c>
      <c r="B872" s="4" t="s">
        <v>12</v>
      </c>
      <c r="C872" s="5">
        <v>44487</v>
      </c>
      <c r="D872" s="6" t="s">
        <v>7</v>
      </c>
      <c r="E872" s="6">
        <v>1</v>
      </c>
      <c r="F872" s="6">
        <v>101</v>
      </c>
    </row>
    <row r="873" spans="1:6" ht="15.75" customHeight="1" x14ac:dyDescent="0.35">
      <c r="A873" s="1">
        <v>872</v>
      </c>
      <c r="B873" s="4" t="s">
        <v>12</v>
      </c>
      <c r="C873" s="5">
        <v>44487</v>
      </c>
      <c r="D873" s="6" t="s">
        <v>8</v>
      </c>
      <c r="E873" s="6">
        <v>3</v>
      </c>
      <c r="F873" s="6">
        <v>94</v>
      </c>
    </row>
    <row r="874" spans="1:6" ht="15.75" customHeight="1" x14ac:dyDescent="0.35">
      <c r="A874" s="1">
        <v>873</v>
      </c>
      <c r="B874" s="4" t="s">
        <v>12</v>
      </c>
      <c r="C874" s="5">
        <v>44487</v>
      </c>
      <c r="D874" s="6" t="s">
        <v>9</v>
      </c>
      <c r="E874" s="6">
        <v>2</v>
      </c>
      <c r="F874" s="6">
        <v>89</v>
      </c>
    </row>
    <row r="875" spans="1:6" ht="15.75" customHeight="1" x14ac:dyDescent="0.35">
      <c r="A875" s="1">
        <v>874</v>
      </c>
      <c r="B875" s="4" t="s">
        <v>13</v>
      </c>
      <c r="C875" s="5">
        <v>44488</v>
      </c>
      <c r="D875" s="6" t="s">
        <v>7</v>
      </c>
      <c r="E875" s="6">
        <v>6</v>
      </c>
      <c r="F875" s="6">
        <v>100</v>
      </c>
    </row>
    <row r="876" spans="1:6" ht="15.75" customHeight="1" x14ac:dyDescent="0.35">
      <c r="A876" s="1">
        <v>875</v>
      </c>
      <c r="B876" s="4" t="s">
        <v>13</v>
      </c>
      <c r="C876" s="5">
        <v>44488</v>
      </c>
      <c r="D876" s="6" t="s">
        <v>8</v>
      </c>
      <c r="E876" s="6">
        <v>4</v>
      </c>
      <c r="F876" s="6">
        <v>96</v>
      </c>
    </row>
    <row r="877" spans="1:6" ht="15.75" customHeight="1" x14ac:dyDescent="0.35">
      <c r="A877" s="1">
        <v>876</v>
      </c>
      <c r="B877" s="4" t="s">
        <v>13</v>
      </c>
      <c r="C877" s="5">
        <v>44488</v>
      </c>
      <c r="D877" s="6" t="s">
        <v>9</v>
      </c>
      <c r="E877" s="6">
        <v>1</v>
      </c>
      <c r="F877" s="6">
        <v>93</v>
      </c>
    </row>
    <row r="878" spans="1:6" ht="15.75" customHeight="1" x14ac:dyDescent="0.35">
      <c r="A878" s="1">
        <v>877</v>
      </c>
      <c r="B878" s="4" t="s">
        <v>14</v>
      </c>
      <c r="C878" s="5">
        <v>44489</v>
      </c>
      <c r="D878" s="6" t="s">
        <v>7</v>
      </c>
      <c r="E878" s="6">
        <v>8</v>
      </c>
      <c r="F878" s="6">
        <v>90</v>
      </c>
    </row>
    <row r="879" spans="1:6" ht="15.75" customHeight="1" x14ac:dyDescent="0.35">
      <c r="A879" s="1">
        <v>878</v>
      </c>
      <c r="B879" s="4" t="s">
        <v>14</v>
      </c>
      <c r="C879" s="5">
        <v>44489</v>
      </c>
      <c r="D879" s="6" t="s">
        <v>8</v>
      </c>
      <c r="E879" s="6">
        <v>3</v>
      </c>
      <c r="F879" s="6">
        <v>101</v>
      </c>
    </row>
    <row r="880" spans="1:6" ht="15.75" customHeight="1" x14ac:dyDescent="0.35">
      <c r="A880" s="1">
        <v>879</v>
      </c>
      <c r="B880" s="4" t="s">
        <v>14</v>
      </c>
      <c r="C880" s="5">
        <v>44489</v>
      </c>
      <c r="D880" s="6" t="s">
        <v>9</v>
      </c>
      <c r="E880" s="6">
        <v>0</v>
      </c>
      <c r="F880" s="6">
        <v>108</v>
      </c>
    </row>
    <row r="881" spans="1:6" ht="15.75" customHeight="1" x14ac:dyDescent="0.35">
      <c r="A881" s="1">
        <v>880</v>
      </c>
      <c r="B881" s="4" t="s">
        <v>15</v>
      </c>
      <c r="C881" s="5">
        <v>44490</v>
      </c>
      <c r="D881" s="6" t="s">
        <v>7</v>
      </c>
      <c r="E881" s="6">
        <v>1</v>
      </c>
      <c r="F881" s="6">
        <v>101</v>
      </c>
    </row>
    <row r="882" spans="1:6" ht="15.75" customHeight="1" x14ac:dyDescent="0.35">
      <c r="A882" s="1">
        <v>881</v>
      </c>
      <c r="B882" s="4" t="s">
        <v>15</v>
      </c>
      <c r="C882" s="5">
        <v>44490</v>
      </c>
      <c r="D882" s="6" t="s">
        <v>8</v>
      </c>
      <c r="E882" s="6">
        <v>2</v>
      </c>
      <c r="F882" s="6">
        <v>110</v>
      </c>
    </row>
    <row r="883" spans="1:6" ht="15.75" customHeight="1" x14ac:dyDescent="0.35">
      <c r="A883" s="1">
        <v>882</v>
      </c>
      <c r="B883" s="4" t="s">
        <v>15</v>
      </c>
      <c r="C883" s="5">
        <v>44490</v>
      </c>
      <c r="D883" s="6" t="s">
        <v>9</v>
      </c>
      <c r="E883" s="6">
        <v>1</v>
      </c>
      <c r="F883" s="6">
        <v>94</v>
      </c>
    </row>
    <row r="884" spans="1:6" ht="15.75" customHeight="1" x14ac:dyDescent="0.35">
      <c r="A884" s="1">
        <v>883</v>
      </c>
      <c r="B884" s="4" t="s">
        <v>6</v>
      </c>
      <c r="C884" s="5">
        <v>44491</v>
      </c>
      <c r="D884" s="6" t="s">
        <v>7</v>
      </c>
      <c r="E884" s="6">
        <v>6</v>
      </c>
      <c r="F884" s="6">
        <v>114</v>
      </c>
    </row>
    <row r="885" spans="1:6" ht="15.75" customHeight="1" x14ac:dyDescent="0.35">
      <c r="A885" s="1">
        <v>884</v>
      </c>
      <c r="B885" s="4" t="s">
        <v>6</v>
      </c>
      <c r="C885" s="5">
        <v>44491</v>
      </c>
      <c r="D885" s="6" t="s">
        <v>8</v>
      </c>
      <c r="E885" s="6">
        <v>1</v>
      </c>
      <c r="F885" s="6">
        <v>109</v>
      </c>
    </row>
    <row r="886" spans="1:6" ht="15.75" customHeight="1" x14ac:dyDescent="0.35">
      <c r="A886" s="1">
        <v>885</v>
      </c>
      <c r="B886" s="4" t="s">
        <v>6</v>
      </c>
      <c r="C886" s="5">
        <v>44491</v>
      </c>
      <c r="D886" s="6" t="s">
        <v>9</v>
      </c>
      <c r="E886" s="6">
        <v>0</v>
      </c>
      <c r="F886" s="6">
        <v>105</v>
      </c>
    </row>
    <row r="887" spans="1:6" ht="15.75" customHeight="1" x14ac:dyDescent="0.35">
      <c r="A887" s="1">
        <v>886</v>
      </c>
      <c r="B887" s="4" t="s">
        <v>10</v>
      </c>
      <c r="C887" s="5">
        <v>44492</v>
      </c>
      <c r="D887" s="6" t="s">
        <v>7</v>
      </c>
      <c r="E887" s="6">
        <v>2</v>
      </c>
      <c r="F887" s="6">
        <v>103</v>
      </c>
    </row>
    <row r="888" spans="1:6" ht="15.75" customHeight="1" x14ac:dyDescent="0.35">
      <c r="A888" s="1">
        <v>887</v>
      </c>
      <c r="B888" s="4" t="s">
        <v>10</v>
      </c>
      <c r="C888" s="5">
        <v>44492</v>
      </c>
      <c r="D888" s="6" t="s">
        <v>8</v>
      </c>
      <c r="E888" s="6">
        <v>4</v>
      </c>
      <c r="F888" s="6">
        <v>99</v>
      </c>
    </row>
    <row r="889" spans="1:6" ht="15.75" customHeight="1" x14ac:dyDescent="0.35">
      <c r="A889" s="1">
        <v>888</v>
      </c>
      <c r="B889" s="4" t="s">
        <v>10</v>
      </c>
      <c r="C889" s="5">
        <v>44492</v>
      </c>
      <c r="D889" s="6" t="s">
        <v>9</v>
      </c>
      <c r="E889" s="6">
        <v>1</v>
      </c>
      <c r="F889" s="6">
        <v>110</v>
      </c>
    </row>
    <row r="890" spans="1:6" ht="15.75" customHeight="1" x14ac:dyDescent="0.35">
      <c r="A890" s="1">
        <v>889</v>
      </c>
      <c r="B890" s="4" t="s">
        <v>11</v>
      </c>
      <c r="C890" s="5">
        <v>44493</v>
      </c>
      <c r="D890" s="6" t="s">
        <v>7</v>
      </c>
      <c r="E890" s="6">
        <v>3</v>
      </c>
      <c r="F890" s="6">
        <v>109</v>
      </c>
    </row>
    <row r="891" spans="1:6" ht="15.75" customHeight="1" x14ac:dyDescent="0.35">
      <c r="A891" s="1">
        <v>890</v>
      </c>
      <c r="B891" s="4" t="s">
        <v>11</v>
      </c>
      <c r="C891" s="5">
        <v>44493</v>
      </c>
      <c r="D891" s="6" t="s">
        <v>8</v>
      </c>
      <c r="E891" s="6">
        <v>2</v>
      </c>
      <c r="F891" s="6">
        <v>101</v>
      </c>
    </row>
    <row r="892" spans="1:6" ht="15.75" customHeight="1" x14ac:dyDescent="0.35">
      <c r="A892" s="1">
        <v>891</v>
      </c>
      <c r="B892" s="4" t="s">
        <v>11</v>
      </c>
      <c r="C892" s="5">
        <v>44493</v>
      </c>
      <c r="D892" s="6" t="s">
        <v>9</v>
      </c>
      <c r="E892" s="6">
        <v>1</v>
      </c>
      <c r="F892" s="6">
        <v>106</v>
      </c>
    </row>
    <row r="893" spans="1:6" ht="15.75" customHeight="1" x14ac:dyDescent="0.35">
      <c r="A893" s="1">
        <v>892</v>
      </c>
      <c r="B893" s="4" t="s">
        <v>12</v>
      </c>
      <c r="C893" s="5">
        <v>44494</v>
      </c>
      <c r="D893" s="6" t="s">
        <v>7</v>
      </c>
      <c r="E893" s="6">
        <v>2</v>
      </c>
      <c r="F893" s="6">
        <v>105</v>
      </c>
    </row>
    <row r="894" spans="1:6" ht="15.75" customHeight="1" x14ac:dyDescent="0.35">
      <c r="A894" s="1">
        <v>893</v>
      </c>
      <c r="B894" s="4" t="s">
        <v>12</v>
      </c>
      <c r="C894" s="5">
        <v>44494</v>
      </c>
      <c r="D894" s="6" t="s">
        <v>8</v>
      </c>
      <c r="E894" s="6">
        <v>2</v>
      </c>
      <c r="F894" s="6">
        <v>96</v>
      </c>
    </row>
    <row r="895" spans="1:6" ht="15.75" customHeight="1" x14ac:dyDescent="0.35">
      <c r="A895" s="1">
        <v>894</v>
      </c>
      <c r="B895" s="4" t="s">
        <v>12</v>
      </c>
      <c r="C895" s="5">
        <v>44494</v>
      </c>
      <c r="D895" s="6" t="s">
        <v>9</v>
      </c>
      <c r="E895" s="6">
        <v>3</v>
      </c>
      <c r="F895" s="6">
        <v>111</v>
      </c>
    </row>
    <row r="896" spans="1:6" ht="15.75" customHeight="1" x14ac:dyDescent="0.35">
      <c r="A896" s="1">
        <v>895</v>
      </c>
      <c r="B896" s="4" t="s">
        <v>13</v>
      </c>
      <c r="C896" s="5">
        <v>44495</v>
      </c>
      <c r="D896" s="6" t="s">
        <v>7</v>
      </c>
      <c r="E896" s="6">
        <v>6</v>
      </c>
      <c r="F896" s="6">
        <v>101</v>
      </c>
    </row>
    <row r="897" spans="1:6" ht="15.75" customHeight="1" x14ac:dyDescent="0.35">
      <c r="A897" s="1">
        <v>896</v>
      </c>
      <c r="B897" s="4" t="s">
        <v>13</v>
      </c>
      <c r="C897" s="5">
        <v>44495</v>
      </c>
      <c r="D897" s="6" t="s">
        <v>8</v>
      </c>
      <c r="E897" s="6">
        <v>3</v>
      </c>
      <c r="F897" s="6">
        <v>105</v>
      </c>
    </row>
    <row r="898" spans="1:6" ht="15.75" customHeight="1" x14ac:dyDescent="0.35">
      <c r="A898" s="1">
        <v>897</v>
      </c>
      <c r="B898" s="4" t="s">
        <v>13</v>
      </c>
      <c r="C898" s="5">
        <v>44495</v>
      </c>
      <c r="D898" s="6" t="s">
        <v>9</v>
      </c>
      <c r="E898" s="6">
        <v>2</v>
      </c>
      <c r="F898" s="6">
        <v>105</v>
      </c>
    </row>
    <row r="899" spans="1:6" ht="15.75" customHeight="1" x14ac:dyDescent="0.35">
      <c r="A899" s="1">
        <v>898</v>
      </c>
      <c r="B899" s="4" t="s">
        <v>14</v>
      </c>
      <c r="C899" s="5">
        <v>44496</v>
      </c>
      <c r="D899" s="6" t="s">
        <v>7</v>
      </c>
      <c r="E899" s="6">
        <v>2</v>
      </c>
      <c r="F899" s="6">
        <v>102</v>
      </c>
    </row>
    <row r="900" spans="1:6" ht="15.75" customHeight="1" x14ac:dyDescent="0.35">
      <c r="A900" s="1">
        <v>899</v>
      </c>
      <c r="B900" s="4" t="s">
        <v>14</v>
      </c>
      <c r="C900" s="5">
        <v>44496</v>
      </c>
      <c r="D900" s="6" t="s">
        <v>8</v>
      </c>
      <c r="E900" s="6">
        <v>3</v>
      </c>
      <c r="F900" s="6">
        <v>88</v>
      </c>
    </row>
    <row r="901" spans="1:6" ht="15.75" customHeight="1" x14ac:dyDescent="0.35">
      <c r="A901" s="1">
        <v>900</v>
      </c>
      <c r="B901" s="4" t="s">
        <v>14</v>
      </c>
      <c r="C901" s="5">
        <v>44496</v>
      </c>
      <c r="D901" s="6" t="s">
        <v>9</v>
      </c>
      <c r="E901" s="6">
        <v>0</v>
      </c>
      <c r="F901" s="6">
        <v>110</v>
      </c>
    </row>
    <row r="902" spans="1:6" ht="15.75" customHeight="1" x14ac:dyDescent="0.35">
      <c r="A902" s="1">
        <v>901</v>
      </c>
      <c r="B902" s="4" t="s">
        <v>15</v>
      </c>
      <c r="C902" s="5">
        <v>44497</v>
      </c>
      <c r="D902" s="6" t="s">
        <v>7</v>
      </c>
      <c r="E902" s="6">
        <v>3</v>
      </c>
      <c r="F902" s="6">
        <v>113</v>
      </c>
    </row>
    <row r="903" spans="1:6" ht="15.75" customHeight="1" x14ac:dyDescent="0.35">
      <c r="A903" s="1">
        <v>902</v>
      </c>
      <c r="B903" s="4" t="s">
        <v>15</v>
      </c>
      <c r="C903" s="5">
        <v>44497</v>
      </c>
      <c r="D903" s="6" t="s">
        <v>8</v>
      </c>
      <c r="E903" s="6">
        <v>3</v>
      </c>
      <c r="F903" s="6">
        <v>107</v>
      </c>
    </row>
    <row r="904" spans="1:6" ht="15.75" customHeight="1" x14ac:dyDescent="0.35">
      <c r="A904" s="1">
        <v>903</v>
      </c>
      <c r="B904" s="4" t="s">
        <v>15</v>
      </c>
      <c r="C904" s="5">
        <v>44497</v>
      </c>
      <c r="D904" s="6" t="s">
        <v>9</v>
      </c>
      <c r="E904" s="6">
        <v>1</v>
      </c>
      <c r="F904" s="6">
        <v>108</v>
      </c>
    </row>
    <row r="905" spans="1:6" ht="15.75" customHeight="1" x14ac:dyDescent="0.35">
      <c r="A905" s="1">
        <v>904</v>
      </c>
      <c r="B905" s="4" t="s">
        <v>6</v>
      </c>
      <c r="C905" s="5">
        <v>44498</v>
      </c>
      <c r="D905" s="6" t="s">
        <v>7</v>
      </c>
      <c r="E905" s="6">
        <v>3</v>
      </c>
      <c r="F905" s="6">
        <v>107</v>
      </c>
    </row>
    <row r="906" spans="1:6" ht="15.75" customHeight="1" x14ac:dyDescent="0.35">
      <c r="A906" s="1">
        <v>905</v>
      </c>
      <c r="B906" s="4" t="s">
        <v>6</v>
      </c>
      <c r="C906" s="5">
        <v>44498</v>
      </c>
      <c r="D906" s="6" t="s">
        <v>8</v>
      </c>
      <c r="E906" s="6">
        <v>6</v>
      </c>
      <c r="F906" s="6">
        <v>105</v>
      </c>
    </row>
    <row r="907" spans="1:6" ht="15.75" customHeight="1" x14ac:dyDescent="0.35">
      <c r="A907" s="1">
        <v>906</v>
      </c>
      <c r="B907" s="4" t="s">
        <v>6</v>
      </c>
      <c r="C907" s="5">
        <v>44498</v>
      </c>
      <c r="D907" s="6" t="s">
        <v>9</v>
      </c>
      <c r="E907" s="6">
        <v>0</v>
      </c>
      <c r="F907" s="6">
        <v>114</v>
      </c>
    </row>
    <row r="908" spans="1:6" ht="15.75" customHeight="1" x14ac:dyDescent="0.35">
      <c r="A908" s="1">
        <v>907</v>
      </c>
      <c r="B908" s="4" t="s">
        <v>10</v>
      </c>
      <c r="C908" s="5">
        <v>44499</v>
      </c>
      <c r="D908" s="6" t="s">
        <v>7</v>
      </c>
      <c r="E908" s="6">
        <v>2</v>
      </c>
      <c r="F908" s="6">
        <v>102</v>
      </c>
    </row>
    <row r="909" spans="1:6" ht="15.75" customHeight="1" x14ac:dyDescent="0.35">
      <c r="A909" s="1">
        <v>908</v>
      </c>
      <c r="B909" s="4" t="s">
        <v>10</v>
      </c>
      <c r="C909" s="5">
        <v>44499</v>
      </c>
      <c r="D909" s="6" t="s">
        <v>8</v>
      </c>
      <c r="E909" s="6">
        <v>3</v>
      </c>
      <c r="F909" s="6">
        <v>114</v>
      </c>
    </row>
    <row r="910" spans="1:6" ht="15.75" customHeight="1" x14ac:dyDescent="0.35">
      <c r="A910" s="1">
        <v>909</v>
      </c>
      <c r="B910" s="4" t="s">
        <v>10</v>
      </c>
      <c r="C910" s="5">
        <v>44499</v>
      </c>
      <c r="D910" s="6" t="s">
        <v>9</v>
      </c>
      <c r="E910" s="6">
        <v>3</v>
      </c>
      <c r="F910" s="6">
        <v>101</v>
      </c>
    </row>
    <row r="911" spans="1:6" ht="15.75" customHeight="1" x14ac:dyDescent="0.35">
      <c r="A911" s="1">
        <v>910</v>
      </c>
      <c r="B911" s="4" t="s">
        <v>11</v>
      </c>
      <c r="C911" s="5">
        <v>44500</v>
      </c>
      <c r="D911" s="6" t="s">
        <v>7</v>
      </c>
      <c r="E911" s="6">
        <v>6</v>
      </c>
      <c r="F911" s="6">
        <v>103</v>
      </c>
    </row>
    <row r="912" spans="1:6" ht="15.75" customHeight="1" x14ac:dyDescent="0.35">
      <c r="A912" s="1">
        <v>911</v>
      </c>
      <c r="B912" s="4" t="s">
        <v>11</v>
      </c>
      <c r="C912" s="5">
        <v>44500</v>
      </c>
      <c r="D912" s="6" t="s">
        <v>8</v>
      </c>
      <c r="E912" s="6">
        <v>3</v>
      </c>
      <c r="F912" s="6">
        <v>108</v>
      </c>
    </row>
    <row r="913" spans="1:6" ht="15.75" customHeight="1" x14ac:dyDescent="0.35">
      <c r="A913" s="1">
        <v>912</v>
      </c>
      <c r="B913" s="4" t="s">
        <v>11</v>
      </c>
      <c r="C913" s="5">
        <v>44500</v>
      </c>
      <c r="D913" s="6" t="s">
        <v>9</v>
      </c>
      <c r="E913" s="6">
        <v>1</v>
      </c>
      <c r="F913" s="6">
        <v>112</v>
      </c>
    </row>
    <row r="914" spans="1:6" ht="15.75" customHeight="1" x14ac:dyDescent="0.35">
      <c r="A914" s="1">
        <v>913</v>
      </c>
      <c r="B914" s="4" t="s">
        <v>12</v>
      </c>
      <c r="C914" s="5">
        <v>44501</v>
      </c>
      <c r="D914" s="6" t="s">
        <v>7</v>
      </c>
      <c r="E914" s="6">
        <v>2</v>
      </c>
      <c r="F914" s="6">
        <v>94</v>
      </c>
    </row>
    <row r="915" spans="1:6" ht="15.75" customHeight="1" x14ac:dyDescent="0.35">
      <c r="A915" s="1">
        <v>914</v>
      </c>
      <c r="B915" s="4" t="s">
        <v>12</v>
      </c>
      <c r="C915" s="5">
        <v>44501</v>
      </c>
      <c r="D915" s="6" t="s">
        <v>8</v>
      </c>
      <c r="E915" s="6">
        <v>2</v>
      </c>
      <c r="F915" s="6">
        <v>95</v>
      </c>
    </row>
    <row r="916" spans="1:6" ht="15.75" customHeight="1" x14ac:dyDescent="0.35">
      <c r="A916" s="1">
        <v>915</v>
      </c>
      <c r="B916" s="4" t="s">
        <v>12</v>
      </c>
      <c r="C916" s="5">
        <v>44501</v>
      </c>
      <c r="D916" s="6" t="s">
        <v>9</v>
      </c>
      <c r="E916" s="6">
        <v>1</v>
      </c>
      <c r="F916" s="6">
        <v>99</v>
      </c>
    </row>
    <row r="917" spans="1:6" ht="15.75" customHeight="1" x14ac:dyDescent="0.35">
      <c r="A917" s="1">
        <v>916</v>
      </c>
      <c r="B917" s="4" t="s">
        <v>13</v>
      </c>
      <c r="C917" s="5">
        <v>44502</v>
      </c>
      <c r="D917" s="6" t="s">
        <v>7</v>
      </c>
      <c r="E917" s="6">
        <v>7</v>
      </c>
      <c r="F917" s="6">
        <v>104</v>
      </c>
    </row>
    <row r="918" spans="1:6" ht="15.75" customHeight="1" x14ac:dyDescent="0.35">
      <c r="A918" s="1">
        <v>917</v>
      </c>
      <c r="B918" s="4" t="s">
        <v>13</v>
      </c>
      <c r="C918" s="5">
        <v>44502</v>
      </c>
      <c r="D918" s="6" t="s">
        <v>8</v>
      </c>
      <c r="E918" s="6">
        <v>3</v>
      </c>
      <c r="F918" s="6">
        <v>99</v>
      </c>
    </row>
    <row r="919" spans="1:6" ht="15.75" customHeight="1" x14ac:dyDescent="0.35">
      <c r="A919" s="1">
        <v>918</v>
      </c>
      <c r="B919" s="4" t="s">
        <v>13</v>
      </c>
      <c r="C919" s="5">
        <v>44502</v>
      </c>
      <c r="D919" s="6" t="s">
        <v>9</v>
      </c>
      <c r="E919" s="6">
        <v>0</v>
      </c>
      <c r="F919" s="6">
        <v>100</v>
      </c>
    </row>
    <row r="920" spans="1:6" ht="15.75" customHeight="1" x14ac:dyDescent="0.35">
      <c r="A920" s="1">
        <v>919</v>
      </c>
      <c r="B920" s="4" t="s">
        <v>14</v>
      </c>
      <c r="C920" s="5">
        <v>44503</v>
      </c>
      <c r="D920" s="6" t="s">
        <v>7</v>
      </c>
      <c r="E920" s="6">
        <v>5</v>
      </c>
      <c r="F920" s="6">
        <v>103</v>
      </c>
    </row>
    <row r="921" spans="1:6" ht="15.75" customHeight="1" x14ac:dyDescent="0.35">
      <c r="A921" s="1">
        <v>920</v>
      </c>
      <c r="B921" s="4" t="s">
        <v>14</v>
      </c>
      <c r="C921" s="5">
        <v>44503</v>
      </c>
      <c r="D921" s="6" t="s">
        <v>8</v>
      </c>
      <c r="E921" s="6">
        <v>2</v>
      </c>
      <c r="F921" s="6">
        <v>89</v>
      </c>
    </row>
    <row r="922" spans="1:6" ht="15.75" customHeight="1" x14ac:dyDescent="0.35">
      <c r="A922" s="1">
        <v>921</v>
      </c>
      <c r="B922" s="4" t="s">
        <v>14</v>
      </c>
      <c r="C922" s="5">
        <v>44503</v>
      </c>
      <c r="D922" s="6" t="s">
        <v>9</v>
      </c>
      <c r="E922" s="6">
        <v>0</v>
      </c>
      <c r="F922" s="6">
        <v>98</v>
      </c>
    </row>
    <row r="923" spans="1:6" ht="15.75" customHeight="1" x14ac:dyDescent="0.35">
      <c r="A923" s="1">
        <v>922</v>
      </c>
      <c r="B923" s="4" t="s">
        <v>15</v>
      </c>
      <c r="C923" s="5">
        <v>44504</v>
      </c>
      <c r="D923" s="6" t="s">
        <v>7</v>
      </c>
      <c r="E923" s="6">
        <v>3</v>
      </c>
      <c r="F923" s="6">
        <v>110</v>
      </c>
    </row>
    <row r="924" spans="1:6" ht="15.75" customHeight="1" x14ac:dyDescent="0.35">
      <c r="A924" s="1">
        <v>923</v>
      </c>
      <c r="B924" s="4" t="s">
        <v>15</v>
      </c>
      <c r="C924" s="5">
        <v>44504</v>
      </c>
      <c r="D924" s="6" t="s">
        <v>8</v>
      </c>
      <c r="E924" s="6">
        <v>4</v>
      </c>
      <c r="F924" s="6">
        <v>100</v>
      </c>
    </row>
    <row r="925" spans="1:6" ht="15.75" customHeight="1" x14ac:dyDescent="0.35">
      <c r="A925" s="1">
        <v>924</v>
      </c>
      <c r="B925" s="4" t="s">
        <v>15</v>
      </c>
      <c r="C925" s="5">
        <v>44504</v>
      </c>
      <c r="D925" s="6" t="s">
        <v>9</v>
      </c>
      <c r="E925" s="6">
        <v>1</v>
      </c>
      <c r="F925" s="6">
        <v>100</v>
      </c>
    </row>
    <row r="926" spans="1:6" ht="15.75" customHeight="1" x14ac:dyDescent="0.35">
      <c r="A926" s="1">
        <v>925</v>
      </c>
      <c r="B926" s="4" t="s">
        <v>6</v>
      </c>
      <c r="C926" s="5">
        <v>44505</v>
      </c>
      <c r="D926" s="6" t="s">
        <v>7</v>
      </c>
      <c r="E926" s="6">
        <v>1</v>
      </c>
      <c r="F926" s="6">
        <v>103</v>
      </c>
    </row>
    <row r="927" spans="1:6" ht="15.75" customHeight="1" x14ac:dyDescent="0.35">
      <c r="A927" s="1">
        <v>926</v>
      </c>
      <c r="B927" s="4" t="s">
        <v>6</v>
      </c>
      <c r="C927" s="5">
        <v>44505</v>
      </c>
      <c r="D927" s="6" t="s">
        <v>8</v>
      </c>
      <c r="E927" s="6">
        <v>1</v>
      </c>
      <c r="F927" s="6">
        <v>115</v>
      </c>
    </row>
    <row r="928" spans="1:6" ht="15.75" customHeight="1" x14ac:dyDescent="0.35">
      <c r="A928" s="1">
        <v>927</v>
      </c>
      <c r="B928" s="4" t="s">
        <v>6</v>
      </c>
      <c r="C928" s="5">
        <v>44505</v>
      </c>
      <c r="D928" s="6" t="s">
        <v>9</v>
      </c>
      <c r="E928" s="6">
        <v>1</v>
      </c>
      <c r="F928" s="6">
        <v>107</v>
      </c>
    </row>
    <row r="929" spans="1:6" ht="15.75" customHeight="1" x14ac:dyDescent="0.35">
      <c r="A929" s="1">
        <v>928</v>
      </c>
      <c r="B929" s="4" t="s">
        <v>10</v>
      </c>
      <c r="C929" s="5">
        <v>44506</v>
      </c>
      <c r="D929" s="6" t="s">
        <v>7</v>
      </c>
      <c r="E929" s="6">
        <v>3</v>
      </c>
      <c r="F929" s="6">
        <v>103</v>
      </c>
    </row>
    <row r="930" spans="1:6" ht="15.75" customHeight="1" x14ac:dyDescent="0.35">
      <c r="A930" s="1">
        <v>929</v>
      </c>
      <c r="B930" s="4" t="s">
        <v>10</v>
      </c>
      <c r="C930" s="5">
        <v>44506</v>
      </c>
      <c r="D930" s="6" t="s">
        <v>8</v>
      </c>
      <c r="E930" s="6">
        <v>4</v>
      </c>
      <c r="F930" s="6">
        <v>112</v>
      </c>
    </row>
    <row r="931" spans="1:6" ht="15.75" customHeight="1" x14ac:dyDescent="0.35">
      <c r="A931" s="1">
        <v>930</v>
      </c>
      <c r="B931" s="4" t="s">
        <v>10</v>
      </c>
      <c r="C931" s="5">
        <v>44506</v>
      </c>
      <c r="D931" s="6" t="s">
        <v>9</v>
      </c>
      <c r="E931" s="6">
        <v>1</v>
      </c>
      <c r="F931" s="6">
        <v>101</v>
      </c>
    </row>
    <row r="932" spans="1:6" ht="15.75" customHeight="1" x14ac:dyDescent="0.35">
      <c r="A932" s="1">
        <v>931</v>
      </c>
      <c r="B932" s="4" t="s">
        <v>11</v>
      </c>
      <c r="C932" s="5">
        <v>44507</v>
      </c>
      <c r="D932" s="6" t="s">
        <v>7</v>
      </c>
      <c r="E932" s="6">
        <v>5</v>
      </c>
      <c r="F932" s="6">
        <v>98</v>
      </c>
    </row>
    <row r="933" spans="1:6" ht="15.75" customHeight="1" x14ac:dyDescent="0.35">
      <c r="A933" s="1">
        <v>932</v>
      </c>
      <c r="B933" s="4" t="s">
        <v>11</v>
      </c>
      <c r="C933" s="5">
        <v>44507</v>
      </c>
      <c r="D933" s="6" t="s">
        <v>8</v>
      </c>
      <c r="E933" s="6">
        <v>7</v>
      </c>
      <c r="F933" s="6">
        <v>102</v>
      </c>
    </row>
    <row r="934" spans="1:6" ht="15.75" customHeight="1" x14ac:dyDescent="0.35">
      <c r="A934" s="1">
        <v>933</v>
      </c>
      <c r="B934" s="4" t="s">
        <v>11</v>
      </c>
      <c r="C934" s="5">
        <v>44507</v>
      </c>
      <c r="D934" s="6" t="s">
        <v>9</v>
      </c>
      <c r="E934" s="6">
        <v>0</v>
      </c>
      <c r="F934" s="6">
        <v>113</v>
      </c>
    </row>
    <row r="935" spans="1:6" ht="15.75" customHeight="1" x14ac:dyDescent="0.35">
      <c r="A935" s="1">
        <v>934</v>
      </c>
      <c r="B935" s="4" t="s">
        <v>12</v>
      </c>
      <c r="C935" s="5">
        <v>44508</v>
      </c>
      <c r="D935" s="6" t="s">
        <v>7</v>
      </c>
      <c r="E935" s="6">
        <v>3</v>
      </c>
      <c r="F935" s="6">
        <v>96</v>
      </c>
    </row>
    <row r="936" spans="1:6" ht="15.75" customHeight="1" x14ac:dyDescent="0.35">
      <c r="A936" s="1">
        <v>935</v>
      </c>
      <c r="B936" s="4" t="s">
        <v>12</v>
      </c>
      <c r="C936" s="5">
        <v>44508</v>
      </c>
      <c r="D936" s="6" t="s">
        <v>8</v>
      </c>
      <c r="E936" s="6">
        <v>1</v>
      </c>
      <c r="F936" s="6">
        <v>101</v>
      </c>
    </row>
    <row r="937" spans="1:6" ht="15.75" customHeight="1" x14ac:dyDescent="0.35">
      <c r="A937" s="1">
        <v>936</v>
      </c>
      <c r="B937" s="4" t="s">
        <v>12</v>
      </c>
      <c r="C937" s="5">
        <v>44508</v>
      </c>
      <c r="D937" s="6" t="s">
        <v>9</v>
      </c>
      <c r="E937" s="6">
        <v>0</v>
      </c>
      <c r="F937" s="6">
        <v>102</v>
      </c>
    </row>
    <row r="938" spans="1:6" ht="15.75" customHeight="1" x14ac:dyDescent="0.35">
      <c r="A938" s="1">
        <v>937</v>
      </c>
      <c r="B938" s="4" t="s">
        <v>13</v>
      </c>
      <c r="C938" s="5">
        <v>44509</v>
      </c>
      <c r="D938" s="6" t="s">
        <v>7</v>
      </c>
      <c r="E938" s="6">
        <v>6</v>
      </c>
      <c r="F938" s="6">
        <v>103</v>
      </c>
    </row>
    <row r="939" spans="1:6" ht="15.75" customHeight="1" x14ac:dyDescent="0.35">
      <c r="A939" s="1">
        <v>938</v>
      </c>
      <c r="B939" s="4" t="s">
        <v>13</v>
      </c>
      <c r="C939" s="5">
        <v>44509</v>
      </c>
      <c r="D939" s="6" t="s">
        <v>8</v>
      </c>
      <c r="E939" s="6">
        <v>2</v>
      </c>
      <c r="F939" s="6">
        <v>95</v>
      </c>
    </row>
    <row r="940" spans="1:6" ht="15.75" customHeight="1" x14ac:dyDescent="0.35">
      <c r="A940" s="1">
        <v>939</v>
      </c>
      <c r="B940" s="4" t="s">
        <v>13</v>
      </c>
      <c r="C940" s="5">
        <v>44509</v>
      </c>
      <c r="D940" s="6" t="s">
        <v>9</v>
      </c>
      <c r="E940" s="6">
        <v>1</v>
      </c>
      <c r="F940" s="6">
        <v>97</v>
      </c>
    </row>
    <row r="941" spans="1:6" ht="15.75" customHeight="1" x14ac:dyDescent="0.35">
      <c r="A941" s="1">
        <v>940</v>
      </c>
      <c r="B941" s="4" t="s">
        <v>14</v>
      </c>
      <c r="C941" s="5">
        <v>44510</v>
      </c>
      <c r="D941" s="6" t="s">
        <v>7</v>
      </c>
      <c r="E941" s="6">
        <v>3</v>
      </c>
      <c r="F941" s="6">
        <v>98</v>
      </c>
    </row>
    <row r="942" spans="1:6" ht="15.75" customHeight="1" x14ac:dyDescent="0.35">
      <c r="A942" s="1">
        <v>941</v>
      </c>
      <c r="B942" s="4" t="s">
        <v>14</v>
      </c>
      <c r="C942" s="5">
        <v>44510</v>
      </c>
      <c r="D942" s="6" t="s">
        <v>8</v>
      </c>
      <c r="E942" s="6">
        <v>3</v>
      </c>
      <c r="F942" s="6">
        <v>102</v>
      </c>
    </row>
    <row r="943" spans="1:6" ht="15.75" customHeight="1" x14ac:dyDescent="0.35">
      <c r="A943" s="1">
        <v>942</v>
      </c>
      <c r="B943" s="4" t="s">
        <v>14</v>
      </c>
      <c r="C943" s="5">
        <v>44510</v>
      </c>
      <c r="D943" s="6" t="s">
        <v>9</v>
      </c>
      <c r="E943" s="6">
        <v>1</v>
      </c>
      <c r="F943" s="6">
        <v>91</v>
      </c>
    </row>
    <row r="944" spans="1:6" ht="15.75" customHeight="1" x14ac:dyDescent="0.35">
      <c r="A944" s="1">
        <v>943</v>
      </c>
      <c r="B944" s="4" t="s">
        <v>15</v>
      </c>
      <c r="C944" s="5">
        <v>44511</v>
      </c>
      <c r="D944" s="6" t="s">
        <v>7</v>
      </c>
      <c r="E944" s="6">
        <v>6</v>
      </c>
      <c r="F944" s="6">
        <v>93</v>
      </c>
    </row>
    <row r="945" spans="1:6" ht="15.75" customHeight="1" x14ac:dyDescent="0.35">
      <c r="A945" s="1">
        <v>944</v>
      </c>
      <c r="B945" s="4" t="s">
        <v>15</v>
      </c>
      <c r="C945" s="5">
        <v>44511</v>
      </c>
      <c r="D945" s="6" t="s">
        <v>8</v>
      </c>
      <c r="E945" s="6">
        <v>2</v>
      </c>
      <c r="F945" s="6">
        <v>102</v>
      </c>
    </row>
    <row r="946" spans="1:6" ht="15.75" customHeight="1" x14ac:dyDescent="0.35">
      <c r="A946" s="1">
        <v>945</v>
      </c>
      <c r="B946" s="4" t="s">
        <v>15</v>
      </c>
      <c r="C946" s="5">
        <v>44511</v>
      </c>
      <c r="D946" s="6" t="s">
        <v>9</v>
      </c>
      <c r="E946" s="6">
        <v>0</v>
      </c>
      <c r="F946" s="6">
        <v>104</v>
      </c>
    </row>
    <row r="947" spans="1:6" ht="15.75" customHeight="1" x14ac:dyDescent="0.35">
      <c r="A947" s="1">
        <v>946</v>
      </c>
      <c r="B947" s="4" t="s">
        <v>6</v>
      </c>
      <c r="C947" s="5">
        <v>44512</v>
      </c>
      <c r="D947" s="6" t="s">
        <v>7</v>
      </c>
      <c r="E947" s="6">
        <v>7</v>
      </c>
      <c r="F947" s="6">
        <v>99</v>
      </c>
    </row>
    <row r="948" spans="1:6" ht="15.75" customHeight="1" x14ac:dyDescent="0.35">
      <c r="A948" s="1">
        <v>947</v>
      </c>
      <c r="B948" s="4" t="s">
        <v>6</v>
      </c>
      <c r="C948" s="5">
        <v>44512</v>
      </c>
      <c r="D948" s="6" t="s">
        <v>8</v>
      </c>
      <c r="E948" s="6">
        <v>4</v>
      </c>
      <c r="F948" s="6">
        <v>104</v>
      </c>
    </row>
    <row r="949" spans="1:6" ht="15.75" customHeight="1" x14ac:dyDescent="0.35">
      <c r="A949" s="1">
        <v>948</v>
      </c>
      <c r="B949" s="4" t="s">
        <v>6</v>
      </c>
      <c r="C949" s="5">
        <v>44512</v>
      </c>
      <c r="D949" s="6" t="s">
        <v>9</v>
      </c>
      <c r="E949" s="6">
        <v>0</v>
      </c>
      <c r="F949" s="6">
        <v>103</v>
      </c>
    </row>
    <row r="950" spans="1:6" ht="15.75" customHeight="1" x14ac:dyDescent="0.35">
      <c r="A950" s="1">
        <v>949</v>
      </c>
      <c r="B950" s="4" t="s">
        <v>10</v>
      </c>
      <c r="C950" s="5">
        <v>44513</v>
      </c>
      <c r="D950" s="6" t="s">
        <v>7</v>
      </c>
      <c r="E950" s="6">
        <v>4</v>
      </c>
      <c r="F950" s="6">
        <v>103</v>
      </c>
    </row>
    <row r="951" spans="1:6" ht="15.75" customHeight="1" x14ac:dyDescent="0.35">
      <c r="A951" s="1">
        <v>950</v>
      </c>
      <c r="B951" s="4" t="s">
        <v>10</v>
      </c>
      <c r="C951" s="5">
        <v>44513</v>
      </c>
      <c r="D951" s="6" t="s">
        <v>8</v>
      </c>
      <c r="E951" s="6">
        <v>3</v>
      </c>
      <c r="F951" s="6">
        <v>99</v>
      </c>
    </row>
    <row r="952" spans="1:6" ht="15.75" customHeight="1" x14ac:dyDescent="0.35">
      <c r="A952" s="1">
        <v>951</v>
      </c>
      <c r="B952" s="4" t="s">
        <v>10</v>
      </c>
      <c r="C952" s="5">
        <v>44513</v>
      </c>
      <c r="D952" s="6" t="s">
        <v>9</v>
      </c>
      <c r="E952" s="6">
        <v>2</v>
      </c>
      <c r="F952" s="6">
        <v>105</v>
      </c>
    </row>
    <row r="953" spans="1:6" ht="15.75" customHeight="1" x14ac:dyDescent="0.35">
      <c r="A953" s="1">
        <v>952</v>
      </c>
      <c r="B953" s="4" t="s">
        <v>11</v>
      </c>
      <c r="C953" s="5">
        <v>44514</v>
      </c>
      <c r="D953" s="6" t="s">
        <v>7</v>
      </c>
      <c r="E953" s="6">
        <v>4</v>
      </c>
      <c r="F953" s="6">
        <v>101</v>
      </c>
    </row>
    <row r="954" spans="1:6" ht="15.75" customHeight="1" x14ac:dyDescent="0.35">
      <c r="A954" s="1">
        <v>953</v>
      </c>
      <c r="B954" s="4" t="s">
        <v>11</v>
      </c>
      <c r="C954" s="5">
        <v>44514</v>
      </c>
      <c r="D954" s="6" t="s">
        <v>8</v>
      </c>
      <c r="E954" s="6">
        <v>2</v>
      </c>
      <c r="F954" s="6">
        <v>106</v>
      </c>
    </row>
    <row r="955" spans="1:6" ht="15.75" customHeight="1" x14ac:dyDescent="0.35">
      <c r="A955" s="1">
        <v>954</v>
      </c>
      <c r="B955" s="4" t="s">
        <v>11</v>
      </c>
      <c r="C955" s="5">
        <v>44514</v>
      </c>
      <c r="D955" s="6" t="s">
        <v>9</v>
      </c>
      <c r="E955" s="6">
        <v>0</v>
      </c>
      <c r="F955" s="6">
        <v>104</v>
      </c>
    </row>
    <row r="956" spans="1:6" ht="15.75" customHeight="1" x14ac:dyDescent="0.35">
      <c r="A956" s="1">
        <v>955</v>
      </c>
      <c r="B956" s="4" t="s">
        <v>12</v>
      </c>
      <c r="C956" s="5">
        <v>44515</v>
      </c>
      <c r="D956" s="6" t="s">
        <v>7</v>
      </c>
      <c r="E956" s="6">
        <v>4</v>
      </c>
      <c r="F956" s="6">
        <v>100</v>
      </c>
    </row>
    <row r="957" spans="1:6" ht="15.75" customHeight="1" x14ac:dyDescent="0.35">
      <c r="A957" s="1">
        <v>956</v>
      </c>
      <c r="B957" s="4" t="s">
        <v>12</v>
      </c>
      <c r="C957" s="5">
        <v>44515</v>
      </c>
      <c r="D957" s="6" t="s">
        <v>8</v>
      </c>
      <c r="E957" s="6">
        <v>3</v>
      </c>
      <c r="F957" s="6">
        <v>101</v>
      </c>
    </row>
    <row r="958" spans="1:6" ht="15.75" customHeight="1" x14ac:dyDescent="0.35">
      <c r="A958" s="1">
        <v>957</v>
      </c>
      <c r="B958" s="4" t="s">
        <v>12</v>
      </c>
      <c r="C958" s="5">
        <v>44515</v>
      </c>
      <c r="D958" s="6" t="s">
        <v>9</v>
      </c>
      <c r="E958" s="6">
        <v>1</v>
      </c>
      <c r="F958" s="6">
        <v>102</v>
      </c>
    </row>
    <row r="959" spans="1:6" ht="15.75" customHeight="1" x14ac:dyDescent="0.35">
      <c r="A959" s="1">
        <v>958</v>
      </c>
      <c r="B959" s="4" t="s">
        <v>13</v>
      </c>
      <c r="C959" s="5">
        <v>44516</v>
      </c>
      <c r="D959" s="6" t="s">
        <v>7</v>
      </c>
      <c r="E959" s="6">
        <v>2</v>
      </c>
      <c r="F959" s="6">
        <v>95</v>
      </c>
    </row>
    <row r="960" spans="1:6" ht="15.75" customHeight="1" x14ac:dyDescent="0.35">
      <c r="A960" s="1">
        <v>959</v>
      </c>
      <c r="B960" s="4" t="s">
        <v>13</v>
      </c>
      <c r="C960" s="5">
        <v>44516</v>
      </c>
      <c r="D960" s="6" t="s">
        <v>8</v>
      </c>
      <c r="E960" s="6">
        <v>0</v>
      </c>
      <c r="F960" s="6">
        <v>93</v>
      </c>
    </row>
    <row r="961" spans="1:6" ht="15.75" customHeight="1" x14ac:dyDescent="0.35">
      <c r="A961" s="1">
        <v>960</v>
      </c>
      <c r="B961" s="4" t="s">
        <v>13</v>
      </c>
      <c r="C961" s="5">
        <v>44516</v>
      </c>
      <c r="D961" s="6" t="s">
        <v>9</v>
      </c>
      <c r="E961" s="6">
        <v>0</v>
      </c>
      <c r="F961" s="6">
        <v>109</v>
      </c>
    </row>
    <row r="962" spans="1:6" ht="15.75" customHeight="1" x14ac:dyDescent="0.35">
      <c r="A962" s="1">
        <v>961</v>
      </c>
      <c r="B962" s="4" t="s">
        <v>14</v>
      </c>
      <c r="C962" s="5">
        <v>44517</v>
      </c>
      <c r="D962" s="6" t="s">
        <v>7</v>
      </c>
      <c r="E962" s="6">
        <v>5</v>
      </c>
      <c r="F962" s="6">
        <v>98</v>
      </c>
    </row>
    <row r="963" spans="1:6" ht="15.75" customHeight="1" x14ac:dyDescent="0.35">
      <c r="A963" s="1">
        <v>962</v>
      </c>
      <c r="B963" s="4" t="s">
        <v>14</v>
      </c>
      <c r="C963" s="5">
        <v>44517</v>
      </c>
      <c r="D963" s="6" t="s">
        <v>8</v>
      </c>
      <c r="E963" s="6">
        <v>3</v>
      </c>
      <c r="F963" s="6">
        <v>104</v>
      </c>
    </row>
    <row r="964" spans="1:6" ht="15.75" customHeight="1" x14ac:dyDescent="0.35">
      <c r="A964" s="1">
        <v>963</v>
      </c>
      <c r="B964" s="4" t="s">
        <v>14</v>
      </c>
      <c r="C964" s="5">
        <v>44517</v>
      </c>
      <c r="D964" s="6" t="s">
        <v>9</v>
      </c>
      <c r="E964" s="6">
        <v>0</v>
      </c>
      <c r="F964" s="6">
        <v>102</v>
      </c>
    </row>
    <row r="965" spans="1:6" ht="15.75" customHeight="1" x14ac:dyDescent="0.35">
      <c r="A965" s="1">
        <v>964</v>
      </c>
      <c r="B965" s="4" t="s">
        <v>15</v>
      </c>
      <c r="C965" s="5">
        <v>44518</v>
      </c>
      <c r="D965" s="6" t="s">
        <v>7</v>
      </c>
      <c r="E965" s="6">
        <v>2</v>
      </c>
      <c r="F965" s="6">
        <v>110</v>
      </c>
    </row>
    <row r="966" spans="1:6" ht="15.75" customHeight="1" x14ac:dyDescent="0.35">
      <c r="A966" s="1">
        <v>965</v>
      </c>
      <c r="B966" s="4" t="s">
        <v>15</v>
      </c>
      <c r="C966" s="5">
        <v>44518</v>
      </c>
      <c r="D966" s="6" t="s">
        <v>8</v>
      </c>
      <c r="E966" s="6">
        <v>2</v>
      </c>
      <c r="F966" s="6">
        <v>101</v>
      </c>
    </row>
    <row r="967" spans="1:6" ht="15.75" customHeight="1" x14ac:dyDescent="0.35">
      <c r="A967" s="1">
        <v>966</v>
      </c>
      <c r="B967" s="4" t="s">
        <v>15</v>
      </c>
      <c r="C967" s="5">
        <v>44518</v>
      </c>
      <c r="D967" s="6" t="s">
        <v>9</v>
      </c>
      <c r="E967" s="6">
        <v>2</v>
      </c>
      <c r="F967" s="6">
        <v>105</v>
      </c>
    </row>
    <row r="968" spans="1:6" ht="15.75" customHeight="1" x14ac:dyDescent="0.35">
      <c r="A968" s="1">
        <v>967</v>
      </c>
      <c r="B968" s="4" t="s">
        <v>6</v>
      </c>
      <c r="C968" s="5">
        <v>44519</v>
      </c>
      <c r="D968" s="6" t="s">
        <v>7</v>
      </c>
      <c r="E968" s="6">
        <v>2</v>
      </c>
      <c r="F968" s="6">
        <v>101</v>
      </c>
    </row>
    <row r="969" spans="1:6" ht="15.75" customHeight="1" x14ac:dyDescent="0.35">
      <c r="A969" s="1">
        <v>968</v>
      </c>
      <c r="B969" s="4" t="s">
        <v>6</v>
      </c>
      <c r="C969" s="5">
        <v>44519</v>
      </c>
      <c r="D969" s="6" t="s">
        <v>8</v>
      </c>
      <c r="E969" s="6">
        <v>1</v>
      </c>
      <c r="F969" s="6">
        <v>110</v>
      </c>
    </row>
    <row r="970" spans="1:6" ht="15.75" customHeight="1" x14ac:dyDescent="0.35">
      <c r="A970" s="1">
        <v>969</v>
      </c>
      <c r="B970" s="4" t="s">
        <v>6</v>
      </c>
      <c r="C970" s="5">
        <v>44519</v>
      </c>
      <c r="D970" s="6" t="s">
        <v>9</v>
      </c>
      <c r="E970" s="6">
        <v>0</v>
      </c>
      <c r="F970" s="6">
        <v>103</v>
      </c>
    </row>
    <row r="971" spans="1:6" ht="15.75" customHeight="1" x14ac:dyDescent="0.35">
      <c r="A971" s="1">
        <v>970</v>
      </c>
      <c r="B971" s="4" t="s">
        <v>10</v>
      </c>
      <c r="C971" s="5">
        <v>44520</v>
      </c>
      <c r="D971" s="6" t="s">
        <v>7</v>
      </c>
      <c r="E971" s="6">
        <v>0</v>
      </c>
      <c r="F971" s="6">
        <v>107</v>
      </c>
    </row>
    <row r="972" spans="1:6" ht="15.75" customHeight="1" x14ac:dyDescent="0.35">
      <c r="A972" s="1">
        <v>971</v>
      </c>
      <c r="B972" s="4" t="s">
        <v>10</v>
      </c>
      <c r="C972" s="5">
        <v>44520</v>
      </c>
      <c r="D972" s="6" t="s">
        <v>8</v>
      </c>
      <c r="E972" s="6">
        <v>2</v>
      </c>
      <c r="F972" s="6">
        <v>105</v>
      </c>
    </row>
    <row r="973" spans="1:6" ht="15.75" customHeight="1" x14ac:dyDescent="0.35">
      <c r="A973" s="1">
        <v>972</v>
      </c>
      <c r="B973" s="4" t="s">
        <v>10</v>
      </c>
      <c r="C973" s="5">
        <v>44520</v>
      </c>
      <c r="D973" s="6" t="s">
        <v>9</v>
      </c>
      <c r="E973" s="6">
        <v>3</v>
      </c>
      <c r="F973" s="6">
        <v>104</v>
      </c>
    </row>
    <row r="974" spans="1:6" ht="15.75" customHeight="1" x14ac:dyDescent="0.35">
      <c r="A974" s="1">
        <v>973</v>
      </c>
      <c r="B974" s="4" t="s">
        <v>11</v>
      </c>
      <c r="C974" s="5">
        <v>44521</v>
      </c>
      <c r="D974" s="6" t="s">
        <v>7</v>
      </c>
      <c r="E974" s="6">
        <v>5</v>
      </c>
      <c r="F974" s="6">
        <v>106</v>
      </c>
    </row>
    <row r="975" spans="1:6" ht="15.75" customHeight="1" x14ac:dyDescent="0.35">
      <c r="A975" s="1">
        <v>974</v>
      </c>
      <c r="B975" s="4" t="s">
        <v>11</v>
      </c>
      <c r="C975" s="5">
        <v>44521</v>
      </c>
      <c r="D975" s="6" t="s">
        <v>8</v>
      </c>
      <c r="E975" s="6">
        <v>2</v>
      </c>
      <c r="F975" s="6">
        <v>107</v>
      </c>
    </row>
    <row r="976" spans="1:6" ht="15.75" customHeight="1" x14ac:dyDescent="0.35">
      <c r="A976" s="1">
        <v>975</v>
      </c>
      <c r="B976" s="4" t="s">
        <v>11</v>
      </c>
      <c r="C976" s="5">
        <v>44521</v>
      </c>
      <c r="D976" s="6" t="s">
        <v>9</v>
      </c>
      <c r="E976" s="6">
        <v>1</v>
      </c>
      <c r="F976" s="6">
        <v>96</v>
      </c>
    </row>
    <row r="977" spans="1:6" ht="15.75" customHeight="1" x14ac:dyDescent="0.35">
      <c r="A977" s="1">
        <v>976</v>
      </c>
      <c r="B977" s="4" t="s">
        <v>12</v>
      </c>
      <c r="C977" s="5">
        <v>44522</v>
      </c>
      <c r="D977" s="6" t="s">
        <v>7</v>
      </c>
      <c r="E977" s="6">
        <v>5</v>
      </c>
      <c r="F977" s="6">
        <v>102</v>
      </c>
    </row>
    <row r="978" spans="1:6" ht="15.75" customHeight="1" x14ac:dyDescent="0.35">
      <c r="A978" s="1">
        <v>977</v>
      </c>
      <c r="B978" s="4" t="s">
        <v>12</v>
      </c>
      <c r="C978" s="5">
        <v>44522</v>
      </c>
      <c r="D978" s="6" t="s">
        <v>8</v>
      </c>
      <c r="E978" s="6">
        <v>4</v>
      </c>
      <c r="F978" s="6">
        <v>101</v>
      </c>
    </row>
    <row r="979" spans="1:6" ht="15.75" customHeight="1" x14ac:dyDescent="0.35">
      <c r="A979" s="1">
        <v>978</v>
      </c>
      <c r="B979" s="4" t="s">
        <v>12</v>
      </c>
      <c r="C979" s="5">
        <v>44522</v>
      </c>
      <c r="D979" s="6" t="s">
        <v>9</v>
      </c>
      <c r="E979" s="6">
        <v>2</v>
      </c>
      <c r="F979" s="6">
        <v>105</v>
      </c>
    </row>
    <row r="980" spans="1:6" ht="15.75" customHeight="1" x14ac:dyDescent="0.35">
      <c r="A980" s="1">
        <v>979</v>
      </c>
      <c r="B980" s="4" t="s">
        <v>13</v>
      </c>
      <c r="C980" s="5">
        <v>44523</v>
      </c>
      <c r="D980" s="6" t="s">
        <v>7</v>
      </c>
      <c r="E980" s="6">
        <v>2</v>
      </c>
      <c r="F980" s="6">
        <v>108</v>
      </c>
    </row>
    <row r="981" spans="1:6" ht="15.75" customHeight="1" x14ac:dyDescent="0.35">
      <c r="A981" s="1">
        <v>980</v>
      </c>
      <c r="B981" s="4" t="s">
        <v>13</v>
      </c>
      <c r="C981" s="5">
        <v>44523</v>
      </c>
      <c r="D981" s="6" t="s">
        <v>8</v>
      </c>
      <c r="E981" s="6">
        <v>0</v>
      </c>
      <c r="F981" s="6">
        <v>97</v>
      </c>
    </row>
    <row r="982" spans="1:6" ht="15.75" customHeight="1" x14ac:dyDescent="0.35">
      <c r="A982" s="1">
        <v>981</v>
      </c>
      <c r="B982" s="4" t="s">
        <v>13</v>
      </c>
      <c r="C982" s="5">
        <v>44523</v>
      </c>
      <c r="D982" s="6" t="s">
        <v>9</v>
      </c>
      <c r="E982" s="6">
        <v>0</v>
      </c>
      <c r="F982" s="6">
        <v>100</v>
      </c>
    </row>
    <row r="983" spans="1:6" ht="15.75" customHeight="1" x14ac:dyDescent="0.35">
      <c r="A983" s="1">
        <v>982</v>
      </c>
      <c r="B983" s="4" t="s">
        <v>14</v>
      </c>
      <c r="C983" s="5">
        <v>44524</v>
      </c>
      <c r="D983" s="6" t="s">
        <v>7</v>
      </c>
      <c r="E983" s="6">
        <v>7</v>
      </c>
      <c r="F983" s="6">
        <v>111</v>
      </c>
    </row>
    <row r="984" spans="1:6" ht="15.75" customHeight="1" x14ac:dyDescent="0.35">
      <c r="A984" s="1">
        <v>983</v>
      </c>
      <c r="B984" s="4" t="s">
        <v>14</v>
      </c>
      <c r="C984" s="5">
        <v>44524</v>
      </c>
      <c r="D984" s="6" t="s">
        <v>8</v>
      </c>
      <c r="E984" s="6">
        <v>2</v>
      </c>
      <c r="F984" s="6">
        <v>101</v>
      </c>
    </row>
    <row r="985" spans="1:6" ht="15.75" customHeight="1" x14ac:dyDescent="0.35">
      <c r="A985" s="1">
        <v>984</v>
      </c>
      <c r="B985" s="4" t="s">
        <v>14</v>
      </c>
      <c r="C985" s="5">
        <v>44524</v>
      </c>
      <c r="D985" s="6" t="s">
        <v>9</v>
      </c>
      <c r="E985" s="6">
        <v>2</v>
      </c>
      <c r="F985" s="6">
        <v>102</v>
      </c>
    </row>
    <row r="986" spans="1:6" ht="15.75" customHeight="1" x14ac:dyDescent="0.35">
      <c r="A986" s="1">
        <v>985</v>
      </c>
      <c r="B986" s="4" t="s">
        <v>15</v>
      </c>
      <c r="C986" s="5">
        <v>44525</v>
      </c>
      <c r="D986" s="6" t="s">
        <v>7</v>
      </c>
      <c r="E986" s="6">
        <v>0</v>
      </c>
      <c r="F986" s="6">
        <v>97</v>
      </c>
    </row>
    <row r="987" spans="1:6" ht="15.75" customHeight="1" x14ac:dyDescent="0.35">
      <c r="A987" s="1">
        <v>986</v>
      </c>
      <c r="B987" s="4" t="s">
        <v>15</v>
      </c>
      <c r="C987" s="5">
        <v>44525</v>
      </c>
      <c r="D987" s="6" t="s">
        <v>8</v>
      </c>
      <c r="E987" s="6">
        <v>2</v>
      </c>
      <c r="F987" s="6">
        <v>103</v>
      </c>
    </row>
    <row r="988" spans="1:6" ht="15.75" customHeight="1" x14ac:dyDescent="0.35">
      <c r="A988" s="1">
        <v>987</v>
      </c>
      <c r="B988" s="4" t="s">
        <v>15</v>
      </c>
      <c r="C988" s="5">
        <v>44525</v>
      </c>
      <c r="D988" s="6" t="s">
        <v>9</v>
      </c>
      <c r="E988" s="6">
        <v>2</v>
      </c>
      <c r="F988" s="6">
        <v>100</v>
      </c>
    </row>
    <row r="989" spans="1:6" ht="15.75" customHeight="1" x14ac:dyDescent="0.35">
      <c r="A989" s="1">
        <v>988</v>
      </c>
      <c r="B989" s="4" t="s">
        <v>6</v>
      </c>
      <c r="C989" s="5">
        <v>44526</v>
      </c>
      <c r="D989" s="6" t="s">
        <v>7</v>
      </c>
      <c r="E989" s="6">
        <v>4</v>
      </c>
      <c r="F989" s="6">
        <v>104</v>
      </c>
    </row>
    <row r="990" spans="1:6" ht="15.75" customHeight="1" x14ac:dyDescent="0.35">
      <c r="A990" s="1">
        <v>989</v>
      </c>
      <c r="B990" s="4" t="s">
        <v>6</v>
      </c>
      <c r="C990" s="5">
        <v>44526</v>
      </c>
      <c r="D990" s="6" t="s">
        <v>8</v>
      </c>
      <c r="E990" s="6">
        <v>4</v>
      </c>
      <c r="F990" s="6">
        <v>101</v>
      </c>
    </row>
    <row r="991" spans="1:6" ht="15.75" customHeight="1" x14ac:dyDescent="0.35">
      <c r="A991" s="1">
        <v>990</v>
      </c>
      <c r="B991" s="4" t="s">
        <v>6</v>
      </c>
      <c r="C991" s="5">
        <v>44526</v>
      </c>
      <c r="D991" s="6" t="s">
        <v>9</v>
      </c>
      <c r="E991" s="6">
        <v>0</v>
      </c>
      <c r="F991" s="6">
        <v>115</v>
      </c>
    </row>
    <row r="992" spans="1:6" ht="15.75" customHeight="1" x14ac:dyDescent="0.35">
      <c r="A992" s="1">
        <v>991</v>
      </c>
      <c r="B992" s="4" t="s">
        <v>10</v>
      </c>
      <c r="C992" s="5">
        <v>44527</v>
      </c>
      <c r="D992" s="6" t="s">
        <v>7</v>
      </c>
      <c r="E992" s="6">
        <v>4</v>
      </c>
      <c r="F992" s="6">
        <v>109</v>
      </c>
    </row>
    <row r="993" spans="1:6" ht="15.75" customHeight="1" x14ac:dyDescent="0.35">
      <c r="A993" s="1">
        <v>992</v>
      </c>
      <c r="B993" s="4" t="s">
        <v>10</v>
      </c>
      <c r="C993" s="5">
        <v>44527</v>
      </c>
      <c r="D993" s="6" t="s">
        <v>8</v>
      </c>
      <c r="E993" s="6">
        <v>3</v>
      </c>
      <c r="F993" s="6">
        <v>111</v>
      </c>
    </row>
    <row r="994" spans="1:6" ht="15.75" customHeight="1" x14ac:dyDescent="0.35">
      <c r="A994" s="1">
        <v>993</v>
      </c>
      <c r="B994" s="4" t="s">
        <v>10</v>
      </c>
      <c r="C994" s="5">
        <v>44527</v>
      </c>
      <c r="D994" s="6" t="s">
        <v>9</v>
      </c>
      <c r="E994" s="6">
        <v>1</v>
      </c>
      <c r="F994" s="6">
        <v>106</v>
      </c>
    </row>
    <row r="995" spans="1:6" ht="15.75" customHeight="1" x14ac:dyDescent="0.35">
      <c r="A995" s="1">
        <v>994</v>
      </c>
      <c r="B995" s="4" t="s">
        <v>11</v>
      </c>
      <c r="C995" s="5">
        <v>44528</v>
      </c>
      <c r="D995" s="6" t="s">
        <v>7</v>
      </c>
      <c r="E995" s="6">
        <v>4</v>
      </c>
      <c r="F995" s="6">
        <v>104</v>
      </c>
    </row>
    <row r="996" spans="1:6" ht="15.75" customHeight="1" x14ac:dyDescent="0.35">
      <c r="A996" s="1">
        <v>995</v>
      </c>
      <c r="B996" s="4" t="s">
        <v>11</v>
      </c>
      <c r="C996" s="5">
        <v>44528</v>
      </c>
      <c r="D996" s="6" t="s">
        <v>8</v>
      </c>
      <c r="E996" s="6">
        <v>0</v>
      </c>
      <c r="F996" s="6">
        <v>105</v>
      </c>
    </row>
    <row r="997" spans="1:6" ht="15.75" customHeight="1" x14ac:dyDescent="0.35">
      <c r="A997" s="1">
        <v>996</v>
      </c>
      <c r="B997" s="4" t="s">
        <v>11</v>
      </c>
      <c r="C997" s="5">
        <v>44528</v>
      </c>
      <c r="D997" s="6" t="s">
        <v>9</v>
      </c>
      <c r="E997" s="6">
        <v>2</v>
      </c>
      <c r="F997" s="6">
        <v>108</v>
      </c>
    </row>
    <row r="998" spans="1:6" ht="15.75" customHeight="1" x14ac:dyDescent="0.35">
      <c r="A998" s="1">
        <v>997</v>
      </c>
      <c r="B998" s="4" t="s">
        <v>12</v>
      </c>
      <c r="C998" s="5">
        <v>44529</v>
      </c>
      <c r="D998" s="6" t="s">
        <v>7</v>
      </c>
      <c r="E998" s="6">
        <v>8</v>
      </c>
      <c r="F998" s="6">
        <v>93</v>
      </c>
    </row>
    <row r="999" spans="1:6" ht="15.75" customHeight="1" x14ac:dyDescent="0.35">
      <c r="A999" s="1">
        <v>998</v>
      </c>
      <c r="B999" s="4" t="s">
        <v>12</v>
      </c>
      <c r="C999" s="5">
        <v>44529</v>
      </c>
      <c r="D999" s="6" t="s">
        <v>8</v>
      </c>
      <c r="E999" s="6">
        <v>3</v>
      </c>
      <c r="F999" s="6">
        <v>108</v>
      </c>
    </row>
    <row r="1000" spans="1:6" ht="15.75" customHeight="1" x14ac:dyDescent="0.35">
      <c r="A1000" s="1">
        <v>999</v>
      </c>
      <c r="B1000" s="4" t="s">
        <v>12</v>
      </c>
      <c r="C1000" s="5">
        <v>44529</v>
      </c>
      <c r="D1000" s="6" t="s">
        <v>9</v>
      </c>
      <c r="E1000" s="6">
        <v>1</v>
      </c>
      <c r="F1000" s="6">
        <v>105</v>
      </c>
    </row>
    <row r="1001" spans="1:6" ht="15.75" customHeight="1" x14ac:dyDescent="0.35">
      <c r="A1001" s="1">
        <v>1000</v>
      </c>
      <c r="B1001" s="4" t="s">
        <v>13</v>
      </c>
      <c r="C1001" s="5">
        <v>44530</v>
      </c>
      <c r="D1001" s="6" t="s">
        <v>7</v>
      </c>
      <c r="E1001" s="6">
        <v>1</v>
      </c>
      <c r="F1001" s="6">
        <v>99</v>
      </c>
    </row>
    <row r="1002" spans="1:6" ht="15.75" customHeight="1" x14ac:dyDescent="0.35">
      <c r="A1002" s="1">
        <v>1001</v>
      </c>
      <c r="B1002" s="4" t="s">
        <v>13</v>
      </c>
      <c r="C1002" s="5">
        <v>44530</v>
      </c>
      <c r="D1002" s="6" t="s">
        <v>8</v>
      </c>
      <c r="E1002" s="6">
        <v>1</v>
      </c>
      <c r="F1002" s="6">
        <v>107</v>
      </c>
    </row>
    <row r="1003" spans="1:6" ht="15.75" customHeight="1" x14ac:dyDescent="0.35">
      <c r="A1003" s="1">
        <v>1002</v>
      </c>
      <c r="B1003" s="4" t="s">
        <v>13</v>
      </c>
      <c r="C1003" s="5">
        <v>44530</v>
      </c>
      <c r="D1003" s="6" t="s">
        <v>9</v>
      </c>
      <c r="E1003" s="6">
        <v>1</v>
      </c>
      <c r="F1003" s="6">
        <v>107</v>
      </c>
    </row>
    <row r="1004" spans="1:6" ht="15.75" customHeight="1" x14ac:dyDescent="0.35">
      <c r="A1004" s="1">
        <v>1003</v>
      </c>
      <c r="B1004" s="4" t="s">
        <v>14</v>
      </c>
      <c r="C1004" s="5">
        <v>44531</v>
      </c>
      <c r="D1004" s="6" t="s">
        <v>7</v>
      </c>
      <c r="E1004" s="6">
        <v>2</v>
      </c>
      <c r="F1004" s="6">
        <v>96</v>
      </c>
    </row>
    <row r="1005" spans="1:6" ht="15.75" customHeight="1" x14ac:dyDescent="0.35">
      <c r="A1005" s="1">
        <v>1004</v>
      </c>
      <c r="B1005" s="4" t="s">
        <v>14</v>
      </c>
      <c r="C1005" s="5">
        <v>44531</v>
      </c>
      <c r="D1005" s="6" t="s">
        <v>8</v>
      </c>
      <c r="E1005" s="6">
        <v>3</v>
      </c>
      <c r="F1005" s="6">
        <v>103</v>
      </c>
    </row>
    <row r="1006" spans="1:6" ht="15.75" customHeight="1" x14ac:dyDescent="0.35">
      <c r="A1006" s="1">
        <v>1005</v>
      </c>
      <c r="B1006" s="4" t="s">
        <v>14</v>
      </c>
      <c r="C1006" s="5">
        <v>44531</v>
      </c>
      <c r="D1006" s="6" t="s">
        <v>9</v>
      </c>
      <c r="E1006" s="6">
        <v>1</v>
      </c>
      <c r="F1006" s="6">
        <v>96</v>
      </c>
    </row>
    <row r="1007" spans="1:6" ht="15.75" customHeight="1" x14ac:dyDescent="0.35">
      <c r="A1007" s="1">
        <v>1006</v>
      </c>
      <c r="B1007" s="4" t="s">
        <v>15</v>
      </c>
      <c r="C1007" s="5">
        <v>44532</v>
      </c>
      <c r="D1007" s="6" t="s">
        <v>7</v>
      </c>
      <c r="E1007" s="6">
        <v>2</v>
      </c>
      <c r="F1007" s="6">
        <v>97</v>
      </c>
    </row>
    <row r="1008" spans="1:6" ht="15.75" customHeight="1" x14ac:dyDescent="0.35">
      <c r="A1008" s="1">
        <v>1007</v>
      </c>
      <c r="B1008" s="4" t="s">
        <v>15</v>
      </c>
      <c r="C1008" s="5">
        <v>44532</v>
      </c>
      <c r="D1008" s="6" t="s">
        <v>8</v>
      </c>
      <c r="E1008" s="6">
        <v>5</v>
      </c>
      <c r="F1008" s="6">
        <v>106</v>
      </c>
    </row>
    <row r="1009" spans="1:6" ht="15.75" customHeight="1" x14ac:dyDescent="0.35">
      <c r="A1009" s="1">
        <v>1008</v>
      </c>
      <c r="B1009" s="4" t="s">
        <v>15</v>
      </c>
      <c r="C1009" s="5">
        <v>44532</v>
      </c>
      <c r="D1009" s="6" t="s">
        <v>9</v>
      </c>
      <c r="E1009" s="6">
        <v>0</v>
      </c>
      <c r="F1009" s="6">
        <v>111</v>
      </c>
    </row>
    <row r="1010" spans="1:6" ht="15.75" customHeight="1" x14ac:dyDescent="0.35">
      <c r="A1010" s="1">
        <v>1009</v>
      </c>
      <c r="B1010" s="4" t="s">
        <v>6</v>
      </c>
      <c r="C1010" s="5">
        <v>44533</v>
      </c>
      <c r="D1010" s="6" t="s">
        <v>7</v>
      </c>
      <c r="E1010" s="6">
        <v>4</v>
      </c>
      <c r="F1010" s="6">
        <v>105</v>
      </c>
    </row>
    <row r="1011" spans="1:6" ht="15.75" customHeight="1" x14ac:dyDescent="0.35">
      <c r="A1011" s="1">
        <v>1010</v>
      </c>
      <c r="B1011" s="4" t="s">
        <v>6</v>
      </c>
      <c r="C1011" s="5">
        <v>44533</v>
      </c>
      <c r="D1011" s="6" t="s">
        <v>8</v>
      </c>
      <c r="E1011" s="6">
        <v>2</v>
      </c>
      <c r="F1011" s="6">
        <v>102</v>
      </c>
    </row>
    <row r="1012" spans="1:6" ht="15.75" customHeight="1" x14ac:dyDescent="0.35">
      <c r="A1012" s="1">
        <v>1011</v>
      </c>
      <c r="B1012" s="4" t="s">
        <v>6</v>
      </c>
      <c r="C1012" s="5">
        <v>44533</v>
      </c>
      <c r="D1012" s="6" t="s">
        <v>9</v>
      </c>
      <c r="E1012" s="6">
        <v>0</v>
      </c>
      <c r="F1012" s="6">
        <v>114</v>
      </c>
    </row>
    <row r="1013" spans="1:6" ht="15.75" customHeight="1" x14ac:dyDescent="0.35">
      <c r="A1013" s="1">
        <v>1012</v>
      </c>
      <c r="B1013" s="4" t="s">
        <v>10</v>
      </c>
      <c r="C1013" s="5">
        <v>44534</v>
      </c>
      <c r="D1013" s="6" t="s">
        <v>7</v>
      </c>
      <c r="E1013" s="6">
        <v>5</v>
      </c>
      <c r="F1013" s="6">
        <v>102</v>
      </c>
    </row>
    <row r="1014" spans="1:6" ht="15.75" customHeight="1" x14ac:dyDescent="0.35">
      <c r="A1014" s="1">
        <v>1013</v>
      </c>
      <c r="B1014" s="4" t="s">
        <v>10</v>
      </c>
      <c r="C1014" s="5">
        <v>44534</v>
      </c>
      <c r="D1014" s="6" t="s">
        <v>8</v>
      </c>
      <c r="E1014" s="6">
        <v>2</v>
      </c>
      <c r="F1014" s="6">
        <v>101</v>
      </c>
    </row>
    <row r="1015" spans="1:6" ht="15.75" customHeight="1" x14ac:dyDescent="0.35">
      <c r="A1015" s="1">
        <v>1014</v>
      </c>
      <c r="B1015" s="4" t="s">
        <v>10</v>
      </c>
      <c r="C1015" s="5">
        <v>44534</v>
      </c>
      <c r="D1015" s="6" t="s">
        <v>9</v>
      </c>
      <c r="E1015" s="6">
        <v>0</v>
      </c>
      <c r="F1015" s="6">
        <v>112</v>
      </c>
    </row>
    <row r="1016" spans="1:6" ht="15.75" customHeight="1" x14ac:dyDescent="0.35">
      <c r="A1016" s="1">
        <v>1015</v>
      </c>
      <c r="B1016" s="4" t="s">
        <v>11</v>
      </c>
      <c r="C1016" s="5">
        <v>44535</v>
      </c>
      <c r="D1016" s="6" t="s">
        <v>7</v>
      </c>
      <c r="E1016" s="6">
        <v>4</v>
      </c>
      <c r="F1016" s="6">
        <v>97</v>
      </c>
    </row>
    <row r="1017" spans="1:6" ht="15.75" customHeight="1" x14ac:dyDescent="0.35">
      <c r="A1017" s="1">
        <v>1016</v>
      </c>
      <c r="B1017" s="4" t="s">
        <v>11</v>
      </c>
      <c r="C1017" s="5">
        <v>44535</v>
      </c>
      <c r="D1017" s="6" t="s">
        <v>8</v>
      </c>
      <c r="E1017" s="6">
        <v>6</v>
      </c>
      <c r="F1017" s="6">
        <v>104</v>
      </c>
    </row>
    <row r="1018" spans="1:6" ht="15.75" customHeight="1" x14ac:dyDescent="0.35">
      <c r="A1018" s="1">
        <v>1017</v>
      </c>
      <c r="B1018" s="4" t="s">
        <v>11</v>
      </c>
      <c r="C1018" s="5">
        <v>44535</v>
      </c>
      <c r="D1018" s="6" t="s">
        <v>9</v>
      </c>
      <c r="E1018" s="6">
        <v>1</v>
      </c>
      <c r="F1018" s="6">
        <v>101</v>
      </c>
    </row>
    <row r="1019" spans="1:6" ht="15.75" customHeight="1" x14ac:dyDescent="0.35">
      <c r="A1019" s="1">
        <v>1018</v>
      </c>
      <c r="B1019" s="4" t="s">
        <v>12</v>
      </c>
      <c r="C1019" s="5">
        <v>44536</v>
      </c>
      <c r="D1019" s="6" t="s">
        <v>7</v>
      </c>
      <c r="E1019" s="6">
        <v>3</v>
      </c>
      <c r="F1019" s="6">
        <v>105</v>
      </c>
    </row>
    <row r="1020" spans="1:6" ht="15.75" customHeight="1" x14ac:dyDescent="0.35">
      <c r="A1020" s="1">
        <v>1019</v>
      </c>
      <c r="B1020" s="4" t="s">
        <v>12</v>
      </c>
      <c r="C1020" s="5">
        <v>44536</v>
      </c>
      <c r="D1020" s="6" t="s">
        <v>8</v>
      </c>
      <c r="E1020" s="6">
        <v>4</v>
      </c>
      <c r="F1020" s="6">
        <v>102</v>
      </c>
    </row>
    <row r="1021" spans="1:6" ht="15.75" customHeight="1" x14ac:dyDescent="0.35">
      <c r="A1021" s="1">
        <v>1020</v>
      </c>
      <c r="B1021" s="4" t="s">
        <v>12</v>
      </c>
      <c r="C1021" s="5">
        <v>44536</v>
      </c>
      <c r="D1021" s="6" t="s">
        <v>9</v>
      </c>
      <c r="E1021" s="6">
        <v>1</v>
      </c>
      <c r="F1021" s="6">
        <v>106</v>
      </c>
    </row>
    <row r="1022" spans="1:6" ht="15.75" customHeight="1" x14ac:dyDescent="0.35">
      <c r="A1022" s="1">
        <v>1021</v>
      </c>
      <c r="B1022" s="4" t="s">
        <v>13</v>
      </c>
      <c r="C1022" s="5">
        <v>44537</v>
      </c>
      <c r="D1022" s="6" t="s">
        <v>7</v>
      </c>
      <c r="E1022" s="6">
        <v>4</v>
      </c>
      <c r="F1022" s="6">
        <v>100</v>
      </c>
    </row>
    <row r="1023" spans="1:6" ht="15.75" customHeight="1" x14ac:dyDescent="0.35">
      <c r="A1023" s="1">
        <v>1022</v>
      </c>
      <c r="B1023" s="4" t="s">
        <v>13</v>
      </c>
      <c r="C1023" s="5">
        <v>44537</v>
      </c>
      <c r="D1023" s="6" t="s">
        <v>8</v>
      </c>
      <c r="E1023" s="6">
        <v>2</v>
      </c>
      <c r="F1023" s="6">
        <v>109</v>
      </c>
    </row>
    <row r="1024" spans="1:6" ht="15.75" customHeight="1" x14ac:dyDescent="0.35">
      <c r="A1024" s="1">
        <v>1023</v>
      </c>
      <c r="B1024" s="4" t="s">
        <v>13</v>
      </c>
      <c r="C1024" s="5">
        <v>44537</v>
      </c>
      <c r="D1024" s="6" t="s">
        <v>9</v>
      </c>
      <c r="E1024" s="6">
        <v>1</v>
      </c>
      <c r="F1024" s="6">
        <v>109</v>
      </c>
    </row>
    <row r="1025" spans="1:6" ht="15.75" customHeight="1" x14ac:dyDescent="0.35">
      <c r="A1025" s="1">
        <v>1024</v>
      </c>
      <c r="B1025" s="4" t="s">
        <v>14</v>
      </c>
      <c r="C1025" s="5">
        <v>44538</v>
      </c>
      <c r="D1025" s="6" t="s">
        <v>7</v>
      </c>
      <c r="E1025" s="6">
        <v>1</v>
      </c>
      <c r="F1025" s="6">
        <v>107</v>
      </c>
    </row>
    <row r="1026" spans="1:6" ht="15.75" customHeight="1" x14ac:dyDescent="0.35">
      <c r="A1026" s="1">
        <v>1025</v>
      </c>
      <c r="B1026" s="4" t="s">
        <v>14</v>
      </c>
      <c r="C1026" s="5">
        <v>44538</v>
      </c>
      <c r="D1026" s="6" t="s">
        <v>8</v>
      </c>
      <c r="E1026" s="6">
        <v>5</v>
      </c>
      <c r="F1026" s="6">
        <v>98</v>
      </c>
    </row>
    <row r="1027" spans="1:6" ht="15.75" customHeight="1" x14ac:dyDescent="0.35">
      <c r="A1027" s="1">
        <v>1026</v>
      </c>
      <c r="B1027" s="4" t="s">
        <v>14</v>
      </c>
      <c r="C1027" s="5">
        <v>44538</v>
      </c>
      <c r="D1027" s="6" t="s">
        <v>9</v>
      </c>
      <c r="E1027" s="6">
        <v>2</v>
      </c>
      <c r="F1027" s="6">
        <v>101</v>
      </c>
    </row>
    <row r="1028" spans="1:6" ht="15.75" customHeight="1" x14ac:dyDescent="0.35">
      <c r="A1028" s="1">
        <v>1027</v>
      </c>
      <c r="B1028" s="4" t="s">
        <v>15</v>
      </c>
      <c r="C1028" s="5">
        <v>44539</v>
      </c>
      <c r="D1028" s="6" t="s">
        <v>7</v>
      </c>
      <c r="E1028" s="6">
        <v>0</v>
      </c>
      <c r="F1028" s="6">
        <v>102</v>
      </c>
    </row>
    <row r="1029" spans="1:6" ht="15.75" customHeight="1" x14ac:dyDescent="0.35">
      <c r="A1029" s="1">
        <v>1028</v>
      </c>
      <c r="B1029" s="4" t="s">
        <v>15</v>
      </c>
      <c r="C1029" s="5">
        <v>44539</v>
      </c>
      <c r="D1029" s="6" t="s">
        <v>8</v>
      </c>
      <c r="E1029" s="6">
        <v>5</v>
      </c>
      <c r="F1029" s="6">
        <v>107</v>
      </c>
    </row>
    <row r="1030" spans="1:6" ht="15.75" customHeight="1" x14ac:dyDescent="0.35">
      <c r="A1030" s="1">
        <v>1029</v>
      </c>
      <c r="B1030" s="4" t="s">
        <v>15</v>
      </c>
      <c r="C1030" s="5">
        <v>44539</v>
      </c>
      <c r="D1030" s="6" t="s">
        <v>9</v>
      </c>
      <c r="E1030" s="6">
        <v>0</v>
      </c>
      <c r="F1030" s="6">
        <v>100</v>
      </c>
    </row>
    <row r="1031" spans="1:6" ht="15.75" customHeight="1" x14ac:dyDescent="0.35">
      <c r="A1031" s="1">
        <v>1030</v>
      </c>
      <c r="B1031" s="4" t="s">
        <v>6</v>
      </c>
      <c r="C1031" s="5">
        <v>44540</v>
      </c>
      <c r="D1031" s="6" t="s">
        <v>7</v>
      </c>
      <c r="E1031" s="6">
        <v>1</v>
      </c>
      <c r="F1031" s="6">
        <v>98</v>
      </c>
    </row>
    <row r="1032" spans="1:6" ht="15.75" customHeight="1" x14ac:dyDescent="0.35">
      <c r="A1032" s="1">
        <v>1031</v>
      </c>
      <c r="B1032" s="4" t="s">
        <v>6</v>
      </c>
      <c r="C1032" s="5">
        <v>44540</v>
      </c>
      <c r="D1032" s="6" t="s">
        <v>8</v>
      </c>
      <c r="E1032" s="6">
        <v>4</v>
      </c>
      <c r="F1032" s="6">
        <v>114</v>
      </c>
    </row>
    <row r="1033" spans="1:6" ht="15.75" customHeight="1" x14ac:dyDescent="0.35">
      <c r="A1033" s="1">
        <v>1032</v>
      </c>
      <c r="B1033" s="4" t="s">
        <v>6</v>
      </c>
      <c r="C1033" s="5">
        <v>44540</v>
      </c>
      <c r="D1033" s="6" t="s">
        <v>9</v>
      </c>
      <c r="E1033" s="6">
        <v>2</v>
      </c>
      <c r="F1033" s="6">
        <v>97</v>
      </c>
    </row>
    <row r="1034" spans="1:6" ht="15.75" customHeight="1" x14ac:dyDescent="0.35">
      <c r="A1034" s="1">
        <v>1033</v>
      </c>
      <c r="B1034" s="4" t="s">
        <v>10</v>
      </c>
      <c r="C1034" s="5">
        <v>44541</v>
      </c>
      <c r="D1034" s="6" t="s">
        <v>7</v>
      </c>
      <c r="E1034" s="6">
        <v>7</v>
      </c>
      <c r="F1034" s="6">
        <v>102</v>
      </c>
    </row>
    <row r="1035" spans="1:6" ht="15.75" customHeight="1" x14ac:dyDescent="0.35">
      <c r="A1035" s="1">
        <v>1034</v>
      </c>
      <c r="B1035" s="4" t="s">
        <v>10</v>
      </c>
      <c r="C1035" s="5">
        <v>44541</v>
      </c>
      <c r="D1035" s="6" t="s">
        <v>8</v>
      </c>
      <c r="E1035" s="6">
        <v>2</v>
      </c>
      <c r="F1035" s="6">
        <v>109</v>
      </c>
    </row>
    <row r="1036" spans="1:6" ht="15.75" customHeight="1" x14ac:dyDescent="0.35">
      <c r="A1036" s="1">
        <v>1035</v>
      </c>
      <c r="B1036" s="4" t="s">
        <v>10</v>
      </c>
      <c r="C1036" s="5">
        <v>44541</v>
      </c>
      <c r="D1036" s="6" t="s">
        <v>9</v>
      </c>
      <c r="E1036" s="6">
        <v>1</v>
      </c>
      <c r="F1036" s="6">
        <v>107</v>
      </c>
    </row>
    <row r="1037" spans="1:6" ht="15.75" customHeight="1" x14ac:dyDescent="0.35">
      <c r="A1037" s="1">
        <v>1036</v>
      </c>
      <c r="B1037" s="4" t="s">
        <v>11</v>
      </c>
      <c r="C1037" s="5">
        <v>44542</v>
      </c>
      <c r="D1037" s="6" t="s">
        <v>7</v>
      </c>
      <c r="E1037" s="6">
        <v>5</v>
      </c>
      <c r="F1037" s="6">
        <v>118</v>
      </c>
    </row>
    <row r="1038" spans="1:6" ht="15.75" customHeight="1" x14ac:dyDescent="0.35">
      <c r="A1038" s="1">
        <v>1037</v>
      </c>
      <c r="B1038" s="4" t="s">
        <v>11</v>
      </c>
      <c r="C1038" s="5">
        <v>44542</v>
      </c>
      <c r="D1038" s="6" t="s">
        <v>8</v>
      </c>
      <c r="E1038" s="6">
        <v>1</v>
      </c>
      <c r="F1038" s="6">
        <v>107</v>
      </c>
    </row>
    <row r="1039" spans="1:6" ht="15.75" customHeight="1" x14ac:dyDescent="0.35">
      <c r="A1039" s="1">
        <v>1038</v>
      </c>
      <c r="B1039" s="4" t="s">
        <v>11</v>
      </c>
      <c r="C1039" s="5">
        <v>44542</v>
      </c>
      <c r="D1039" s="6" t="s">
        <v>9</v>
      </c>
      <c r="E1039" s="6">
        <v>0</v>
      </c>
      <c r="F1039" s="6">
        <v>102</v>
      </c>
    </row>
    <row r="1040" spans="1:6" ht="15.75" customHeight="1" x14ac:dyDescent="0.35">
      <c r="A1040" s="1">
        <v>1039</v>
      </c>
      <c r="B1040" s="4" t="s">
        <v>12</v>
      </c>
      <c r="C1040" s="5">
        <v>44543</v>
      </c>
      <c r="D1040" s="6" t="s">
        <v>7</v>
      </c>
      <c r="E1040" s="6">
        <v>5</v>
      </c>
      <c r="F1040" s="6">
        <v>101</v>
      </c>
    </row>
    <row r="1041" spans="1:6" ht="15.75" customHeight="1" x14ac:dyDescent="0.35">
      <c r="A1041" s="1">
        <v>1040</v>
      </c>
      <c r="B1041" s="4" t="s">
        <v>12</v>
      </c>
      <c r="C1041" s="5">
        <v>44543</v>
      </c>
      <c r="D1041" s="6" t="s">
        <v>8</v>
      </c>
      <c r="E1041" s="6">
        <v>3</v>
      </c>
      <c r="F1041" s="6">
        <v>100</v>
      </c>
    </row>
    <row r="1042" spans="1:6" ht="15.75" customHeight="1" x14ac:dyDescent="0.35">
      <c r="A1042" s="1">
        <v>1041</v>
      </c>
      <c r="B1042" s="4" t="s">
        <v>12</v>
      </c>
      <c r="C1042" s="5">
        <v>44543</v>
      </c>
      <c r="D1042" s="6" t="s">
        <v>9</v>
      </c>
      <c r="E1042" s="6">
        <v>1</v>
      </c>
      <c r="F1042" s="6">
        <v>111</v>
      </c>
    </row>
    <row r="1043" spans="1:6" ht="15.75" customHeight="1" x14ac:dyDescent="0.35">
      <c r="A1043" s="1">
        <v>1042</v>
      </c>
      <c r="B1043" s="4" t="s">
        <v>13</v>
      </c>
      <c r="C1043" s="5">
        <v>44544</v>
      </c>
      <c r="D1043" s="6" t="s">
        <v>7</v>
      </c>
      <c r="E1043" s="6">
        <v>8</v>
      </c>
      <c r="F1043" s="6">
        <v>109</v>
      </c>
    </row>
    <row r="1044" spans="1:6" ht="15.75" customHeight="1" x14ac:dyDescent="0.35">
      <c r="A1044" s="1">
        <v>1043</v>
      </c>
      <c r="B1044" s="4" t="s">
        <v>13</v>
      </c>
      <c r="C1044" s="5">
        <v>44544</v>
      </c>
      <c r="D1044" s="6" t="s">
        <v>8</v>
      </c>
      <c r="E1044" s="6">
        <v>0</v>
      </c>
      <c r="F1044" s="6">
        <v>111</v>
      </c>
    </row>
    <row r="1045" spans="1:6" ht="15.75" customHeight="1" x14ac:dyDescent="0.35">
      <c r="A1045" s="1">
        <v>1044</v>
      </c>
      <c r="B1045" s="4" t="s">
        <v>13</v>
      </c>
      <c r="C1045" s="5">
        <v>44544</v>
      </c>
      <c r="D1045" s="6" t="s">
        <v>9</v>
      </c>
      <c r="E1045" s="6">
        <v>0</v>
      </c>
      <c r="F1045" s="6">
        <v>107</v>
      </c>
    </row>
    <row r="1046" spans="1:6" ht="15.75" customHeight="1" x14ac:dyDescent="0.35">
      <c r="A1046" s="1">
        <v>1045</v>
      </c>
      <c r="B1046" s="4" t="s">
        <v>14</v>
      </c>
      <c r="C1046" s="5">
        <v>44545</v>
      </c>
      <c r="D1046" s="6" t="s">
        <v>7</v>
      </c>
      <c r="E1046" s="6">
        <v>5</v>
      </c>
      <c r="F1046" s="6">
        <v>90</v>
      </c>
    </row>
    <row r="1047" spans="1:6" ht="15.75" customHeight="1" x14ac:dyDescent="0.35">
      <c r="A1047" s="1">
        <v>1046</v>
      </c>
      <c r="B1047" s="4" t="s">
        <v>14</v>
      </c>
      <c r="C1047" s="5">
        <v>44545</v>
      </c>
      <c r="D1047" s="6" t="s">
        <v>8</v>
      </c>
      <c r="E1047" s="6">
        <v>7</v>
      </c>
      <c r="F1047" s="6">
        <v>94</v>
      </c>
    </row>
    <row r="1048" spans="1:6" ht="15.75" customHeight="1" x14ac:dyDescent="0.35">
      <c r="A1048" s="1">
        <v>1047</v>
      </c>
      <c r="B1048" s="4" t="s">
        <v>14</v>
      </c>
      <c r="C1048" s="5">
        <v>44545</v>
      </c>
      <c r="D1048" s="6" t="s">
        <v>9</v>
      </c>
      <c r="E1048" s="6">
        <v>0</v>
      </c>
      <c r="F1048" s="6">
        <v>109</v>
      </c>
    </row>
    <row r="1049" spans="1:6" ht="15.75" customHeight="1" x14ac:dyDescent="0.35">
      <c r="A1049" s="1">
        <v>1048</v>
      </c>
      <c r="B1049" s="4" t="s">
        <v>15</v>
      </c>
      <c r="C1049" s="5">
        <v>44546</v>
      </c>
      <c r="D1049" s="6" t="s">
        <v>7</v>
      </c>
      <c r="E1049" s="6">
        <v>2</v>
      </c>
      <c r="F1049" s="6">
        <v>100</v>
      </c>
    </row>
    <row r="1050" spans="1:6" ht="15.75" customHeight="1" x14ac:dyDescent="0.35">
      <c r="A1050" s="1">
        <v>1049</v>
      </c>
      <c r="B1050" s="4" t="s">
        <v>15</v>
      </c>
      <c r="C1050" s="5">
        <v>44546</v>
      </c>
      <c r="D1050" s="6" t="s">
        <v>8</v>
      </c>
      <c r="E1050" s="6">
        <v>3</v>
      </c>
      <c r="F1050" s="6">
        <v>104</v>
      </c>
    </row>
    <row r="1051" spans="1:6" ht="15.75" customHeight="1" x14ac:dyDescent="0.35">
      <c r="A1051" s="1">
        <v>1050</v>
      </c>
      <c r="B1051" s="4" t="s">
        <v>15</v>
      </c>
      <c r="C1051" s="5">
        <v>44546</v>
      </c>
      <c r="D1051" s="6" t="s">
        <v>9</v>
      </c>
      <c r="E1051" s="6">
        <v>0</v>
      </c>
      <c r="F1051" s="6">
        <v>104</v>
      </c>
    </row>
    <row r="1052" spans="1:6" ht="15.75" customHeight="1" x14ac:dyDescent="0.35">
      <c r="A1052" s="1">
        <v>1051</v>
      </c>
      <c r="B1052" s="4" t="s">
        <v>6</v>
      </c>
      <c r="C1052" s="5">
        <v>44547</v>
      </c>
      <c r="D1052" s="6" t="s">
        <v>7</v>
      </c>
      <c r="E1052" s="6">
        <v>5</v>
      </c>
      <c r="F1052" s="6">
        <v>96</v>
      </c>
    </row>
    <row r="1053" spans="1:6" ht="15.75" customHeight="1" x14ac:dyDescent="0.35">
      <c r="A1053" s="1">
        <v>1052</v>
      </c>
      <c r="B1053" s="4" t="s">
        <v>6</v>
      </c>
      <c r="C1053" s="5">
        <v>44547</v>
      </c>
      <c r="D1053" s="6" t="s">
        <v>8</v>
      </c>
      <c r="E1053" s="6">
        <v>3</v>
      </c>
      <c r="F1053" s="6">
        <v>100</v>
      </c>
    </row>
    <row r="1054" spans="1:6" ht="15.75" customHeight="1" x14ac:dyDescent="0.35">
      <c r="A1054" s="1">
        <v>1053</v>
      </c>
      <c r="B1054" s="4" t="s">
        <v>6</v>
      </c>
      <c r="C1054" s="5">
        <v>44547</v>
      </c>
      <c r="D1054" s="6" t="s">
        <v>9</v>
      </c>
      <c r="E1054" s="6">
        <v>1</v>
      </c>
      <c r="F1054" s="6">
        <v>100</v>
      </c>
    </row>
    <row r="1055" spans="1:6" ht="15.75" customHeight="1" x14ac:dyDescent="0.35">
      <c r="A1055" s="1">
        <v>1054</v>
      </c>
      <c r="B1055" s="4" t="s">
        <v>10</v>
      </c>
      <c r="C1055" s="5">
        <v>44548</v>
      </c>
      <c r="D1055" s="6" t="s">
        <v>7</v>
      </c>
      <c r="E1055" s="6">
        <v>1</v>
      </c>
      <c r="F1055" s="6">
        <v>115</v>
      </c>
    </row>
    <row r="1056" spans="1:6" ht="15.75" customHeight="1" x14ac:dyDescent="0.35">
      <c r="A1056" s="1">
        <v>1055</v>
      </c>
      <c r="B1056" s="4" t="s">
        <v>10</v>
      </c>
      <c r="C1056" s="5">
        <v>44548</v>
      </c>
      <c r="D1056" s="6" t="s">
        <v>8</v>
      </c>
      <c r="E1056" s="6">
        <v>2</v>
      </c>
      <c r="F1056" s="6">
        <v>101</v>
      </c>
    </row>
    <row r="1057" spans="1:6" ht="15.75" customHeight="1" x14ac:dyDescent="0.35">
      <c r="A1057" s="1">
        <v>1056</v>
      </c>
      <c r="B1057" s="4" t="s">
        <v>10</v>
      </c>
      <c r="C1057" s="5">
        <v>44548</v>
      </c>
      <c r="D1057" s="6" t="s">
        <v>9</v>
      </c>
      <c r="E1057" s="6">
        <v>1</v>
      </c>
      <c r="F1057" s="6">
        <v>104</v>
      </c>
    </row>
    <row r="1058" spans="1:6" ht="15.75" customHeight="1" x14ac:dyDescent="0.35">
      <c r="A1058" s="1">
        <v>1057</v>
      </c>
      <c r="B1058" s="4" t="s">
        <v>11</v>
      </c>
      <c r="C1058" s="5">
        <v>44549</v>
      </c>
      <c r="D1058" s="6" t="s">
        <v>7</v>
      </c>
      <c r="E1058" s="6">
        <v>4</v>
      </c>
      <c r="F1058" s="6">
        <v>95</v>
      </c>
    </row>
    <row r="1059" spans="1:6" ht="15.75" customHeight="1" x14ac:dyDescent="0.35">
      <c r="A1059" s="1">
        <v>1058</v>
      </c>
      <c r="B1059" s="4" t="s">
        <v>11</v>
      </c>
      <c r="C1059" s="5">
        <v>44549</v>
      </c>
      <c r="D1059" s="6" t="s">
        <v>8</v>
      </c>
      <c r="E1059" s="6">
        <v>2</v>
      </c>
      <c r="F1059" s="6">
        <v>110</v>
      </c>
    </row>
    <row r="1060" spans="1:6" ht="15.75" customHeight="1" x14ac:dyDescent="0.35">
      <c r="A1060" s="1">
        <v>1059</v>
      </c>
      <c r="B1060" s="4" t="s">
        <v>11</v>
      </c>
      <c r="C1060" s="5">
        <v>44549</v>
      </c>
      <c r="D1060" s="6" t="s">
        <v>9</v>
      </c>
      <c r="E1060" s="6">
        <v>0</v>
      </c>
      <c r="F1060" s="6">
        <v>103</v>
      </c>
    </row>
    <row r="1061" spans="1:6" ht="15.75" customHeight="1" x14ac:dyDescent="0.35">
      <c r="A1061" s="1">
        <v>1060</v>
      </c>
      <c r="B1061" s="4" t="s">
        <v>12</v>
      </c>
      <c r="C1061" s="5">
        <v>44550</v>
      </c>
      <c r="D1061" s="6" t="s">
        <v>7</v>
      </c>
      <c r="E1061" s="6">
        <v>4</v>
      </c>
      <c r="F1061" s="6">
        <v>100</v>
      </c>
    </row>
    <row r="1062" spans="1:6" ht="15.75" customHeight="1" x14ac:dyDescent="0.35">
      <c r="A1062" s="1">
        <v>1061</v>
      </c>
      <c r="B1062" s="4" t="s">
        <v>12</v>
      </c>
      <c r="C1062" s="5">
        <v>44550</v>
      </c>
      <c r="D1062" s="6" t="s">
        <v>8</v>
      </c>
      <c r="E1062" s="6">
        <v>0</v>
      </c>
      <c r="F1062" s="6">
        <v>101</v>
      </c>
    </row>
    <row r="1063" spans="1:6" ht="15.75" customHeight="1" x14ac:dyDescent="0.35">
      <c r="A1063" s="1">
        <v>1062</v>
      </c>
      <c r="B1063" s="4" t="s">
        <v>12</v>
      </c>
      <c r="C1063" s="5">
        <v>44550</v>
      </c>
      <c r="D1063" s="6" t="s">
        <v>9</v>
      </c>
      <c r="E1063" s="6">
        <v>3</v>
      </c>
      <c r="F1063" s="6">
        <v>106</v>
      </c>
    </row>
    <row r="1064" spans="1:6" ht="15.75" customHeight="1" x14ac:dyDescent="0.35">
      <c r="A1064" s="1">
        <v>1063</v>
      </c>
      <c r="B1064" s="4" t="s">
        <v>13</v>
      </c>
      <c r="C1064" s="5">
        <v>44551</v>
      </c>
      <c r="D1064" s="6" t="s">
        <v>7</v>
      </c>
      <c r="E1064" s="6">
        <v>3</v>
      </c>
      <c r="F1064" s="6">
        <v>103</v>
      </c>
    </row>
    <row r="1065" spans="1:6" ht="15.75" customHeight="1" x14ac:dyDescent="0.35">
      <c r="A1065" s="1">
        <v>1064</v>
      </c>
      <c r="B1065" s="4" t="s">
        <v>13</v>
      </c>
      <c r="C1065" s="5">
        <v>44551</v>
      </c>
      <c r="D1065" s="6" t="s">
        <v>8</v>
      </c>
      <c r="E1065" s="6">
        <v>2</v>
      </c>
      <c r="F1065" s="6">
        <v>97</v>
      </c>
    </row>
    <row r="1066" spans="1:6" ht="15.75" customHeight="1" x14ac:dyDescent="0.35">
      <c r="A1066" s="1">
        <v>1065</v>
      </c>
      <c r="B1066" s="4" t="s">
        <v>13</v>
      </c>
      <c r="C1066" s="5">
        <v>44551</v>
      </c>
      <c r="D1066" s="6" t="s">
        <v>9</v>
      </c>
      <c r="E1066" s="6">
        <v>1</v>
      </c>
      <c r="F1066" s="6">
        <v>101</v>
      </c>
    </row>
    <row r="1067" spans="1:6" ht="15.75" customHeight="1" x14ac:dyDescent="0.35">
      <c r="A1067" s="1">
        <v>1066</v>
      </c>
      <c r="B1067" s="4" t="s">
        <v>14</v>
      </c>
      <c r="C1067" s="5">
        <v>44552</v>
      </c>
      <c r="D1067" s="6" t="s">
        <v>7</v>
      </c>
      <c r="E1067" s="6">
        <v>4</v>
      </c>
      <c r="F1067" s="6">
        <v>100</v>
      </c>
    </row>
    <row r="1068" spans="1:6" ht="15.75" customHeight="1" x14ac:dyDescent="0.35">
      <c r="A1068" s="1">
        <v>1067</v>
      </c>
      <c r="B1068" s="4" t="s">
        <v>14</v>
      </c>
      <c r="C1068" s="5">
        <v>44552</v>
      </c>
      <c r="D1068" s="6" t="s">
        <v>8</v>
      </c>
      <c r="E1068" s="6">
        <v>2</v>
      </c>
      <c r="F1068" s="6">
        <v>102</v>
      </c>
    </row>
    <row r="1069" spans="1:6" ht="15.75" customHeight="1" x14ac:dyDescent="0.35">
      <c r="A1069" s="1">
        <v>1068</v>
      </c>
      <c r="B1069" s="4" t="s">
        <v>14</v>
      </c>
      <c r="C1069" s="5">
        <v>44552</v>
      </c>
      <c r="D1069" s="6" t="s">
        <v>9</v>
      </c>
      <c r="E1069" s="6">
        <v>2</v>
      </c>
      <c r="F1069" s="6">
        <v>105</v>
      </c>
    </row>
    <row r="1070" spans="1:6" ht="15.75" customHeight="1" x14ac:dyDescent="0.35">
      <c r="A1070" s="1">
        <v>1069</v>
      </c>
      <c r="B1070" s="4" t="s">
        <v>15</v>
      </c>
      <c r="C1070" s="5">
        <v>44553</v>
      </c>
      <c r="D1070" s="6" t="s">
        <v>7</v>
      </c>
      <c r="E1070" s="6">
        <v>3</v>
      </c>
      <c r="F1070" s="6">
        <v>109</v>
      </c>
    </row>
    <row r="1071" spans="1:6" ht="15.75" customHeight="1" x14ac:dyDescent="0.35">
      <c r="A1071" s="1">
        <v>1070</v>
      </c>
      <c r="B1071" s="4" t="s">
        <v>15</v>
      </c>
      <c r="C1071" s="5">
        <v>44553</v>
      </c>
      <c r="D1071" s="6" t="s">
        <v>8</v>
      </c>
      <c r="E1071" s="6">
        <v>4</v>
      </c>
      <c r="F1071" s="6">
        <v>96</v>
      </c>
    </row>
    <row r="1072" spans="1:6" ht="15.75" customHeight="1" x14ac:dyDescent="0.35">
      <c r="A1072" s="1">
        <v>1071</v>
      </c>
      <c r="B1072" s="4" t="s">
        <v>15</v>
      </c>
      <c r="C1072" s="5">
        <v>44553</v>
      </c>
      <c r="D1072" s="6" t="s">
        <v>9</v>
      </c>
      <c r="E1072" s="6">
        <v>1</v>
      </c>
      <c r="F1072" s="6">
        <v>108</v>
      </c>
    </row>
    <row r="1073" spans="1:6" ht="15.75" customHeight="1" x14ac:dyDescent="0.35">
      <c r="A1073" s="1">
        <v>1072</v>
      </c>
      <c r="B1073" s="4" t="s">
        <v>6</v>
      </c>
      <c r="C1073" s="5">
        <v>44554</v>
      </c>
      <c r="D1073" s="6" t="s">
        <v>7</v>
      </c>
      <c r="E1073" s="6">
        <v>0</v>
      </c>
      <c r="F1073" s="6">
        <v>104</v>
      </c>
    </row>
    <row r="1074" spans="1:6" ht="15.75" customHeight="1" x14ac:dyDescent="0.35">
      <c r="A1074" s="1">
        <v>1073</v>
      </c>
      <c r="B1074" s="4" t="s">
        <v>6</v>
      </c>
      <c r="C1074" s="5">
        <v>44554</v>
      </c>
      <c r="D1074" s="6" t="s">
        <v>8</v>
      </c>
      <c r="E1074" s="6">
        <v>3</v>
      </c>
      <c r="F1074" s="6">
        <v>101</v>
      </c>
    </row>
    <row r="1075" spans="1:6" ht="15.75" customHeight="1" x14ac:dyDescent="0.35">
      <c r="A1075" s="1">
        <v>1074</v>
      </c>
      <c r="B1075" s="4" t="s">
        <v>6</v>
      </c>
      <c r="C1075" s="5">
        <v>44554</v>
      </c>
      <c r="D1075" s="6" t="s">
        <v>9</v>
      </c>
      <c r="E1075" s="6">
        <v>0</v>
      </c>
      <c r="F1075" s="6">
        <v>107</v>
      </c>
    </row>
    <row r="1076" spans="1:6" ht="15.75" customHeight="1" x14ac:dyDescent="0.35">
      <c r="A1076" s="1">
        <v>1075</v>
      </c>
      <c r="B1076" s="4" t="s">
        <v>11</v>
      </c>
      <c r="C1076" s="5">
        <v>44556</v>
      </c>
      <c r="D1076" s="6" t="s">
        <v>7</v>
      </c>
      <c r="E1076" s="6">
        <v>4</v>
      </c>
      <c r="F1076" s="6">
        <v>99</v>
      </c>
    </row>
    <row r="1077" spans="1:6" ht="15.75" customHeight="1" x14ac:dyDescent="0.35">
      <c r="A1077" s="1">
        <v>1076</v>
      </c>
      <c r="B1077" s="4" t="s">
        <v>11</v>
      </c>
      <c r="C1077" s="5">
        <v>44556</v>
      </c>
      <c r="D1077" s="6" t="s">
        <v>8</v>
      </c>
      <c r="E1077" s="6">
        <v>2</v>
      </c>
      <c r="F1077" s="6">
        <v>109</v>
      </c>
    </row>
    <row r="1078" spans="1:6" ht="15.75" customHeight="1" x14ac:dyDescent="0.35">
      <c r="A1078" s="1">
        <v>1077</v>
      </c>
      <c r="B1078" s="4" t="s">
        <v>11</v>
      </c>
      <c r="C1078" s="5">
        <v>44556</v>
      </c>
      <c r="D1078" s="6" t="s">
        <v>9</v>
      </c>
      <c r="E1078" s="6">
        <v>0</v>
      </c>
      <c r="F1078" s="6">
        <v>106</v>
      </c>
    </row>
    <row r="1079" spans="1:6" ht="15.75" customHeight="1" x14ac:dyDescent="0.35">
      <c r="A1079" s="1">
        <v>1078</v>
      </c>
      <c r="B1079" s="4" t="s">
        <v>12</v>
      </c>
      <c r="C1079" s="5">
        <v>44557</v>
      </c>
      <c r="D1079" s="6" t="s">
        <v>7</v>
      </c>
      <c r="E1079" s="6">
        <v>2</v>
      </c>
      <c r="F1079" s="6">
        <v>103</v>
      </c>
    </row>
    <row r="1080" spans="1:6" ht="15.75" customHeight="1" x14ac:dyDescent="0.35">
      <c r="A1080" s="1">
        <v>1079</v>
      </c>
      <c r="B1080" s="4" t="s">
        <v>12</v>
      </c>
      <c r="C1080" s="5">
        <v>44557</v>
      </c>
      <c r="D1080" s="6" t="s">
        <v>8</v>
      </c>
      <c r="E1080" s="6">
        <v>5</v>
      </c>
      <c r="F1080" s="6">
        <v>104</v>
      </c>
    </row>
    <row r="1081" spans="1:6" ht="15.75" customHeight="1" x14ac:dyDescent="0.35">
      <c r="A1081" s="1">
        <v>1080</v>
      </c>
      <c r="B1081" s="4" t="s">
        <v>12</v>
      </c>
      <c r="C1081" s="5">
        <v>44557</v>
      </c>
      <c r="D1081" s="6" t="s">
        <v>9</v>
      </c>
      <c r="E1081" s="6">
        <v>0</v>
      </c>
      <c r="F1081" s="6">
        <v>115</v>
      </c>
    </row>
    <row r="1082" spans="1:6" ht="15.75" customHeight="1" x14ac:dyDescent="0.35">
      <c r="A1082" s="1">
        <v>1081</v>
      </c>
      <c r="B1082" s="4" t="s">
        <v>13</v>
      </c>
      <c r="C1082" s="5">
        <v>44558</v>
      </c>
      <c r="D1082" s="6" t="s">
        <v>7</v>
      </c>
      <c r="E1082" s="6">
        <v>2</v>
      </c>
      <c r="F1082" s="6">
        <v>105</v>
      </c>
    </row>
    <row r="1083" spans="1:6" ht="15.75" customHeight="1" x14ac:dyDescent="0.35">
      <c r="A1083" s="1">
        <v>1082</v>
      </c>
      <c r="B1083" s="4" t="s">
        <v>13</v>
      </c>
      <c r="C1083" s="5">
        <v>44558</v>
      </c>
      <c r="D1083" s="6" t="s">
        <v>8</v>
      </c>
      <c r="E1083" s="6">
        <v>4</v>
      </c>
      <c r="F1083" s="6">
        <v>103</v>
      </c>
    </row>
    <row r="1084" spans="1:6" ht="15.75" customHeight="1" x14ac:dyDescent="0.35">
      <c r="A1084" s="1">
        <v>1083</v>
      </c>
      <c r="B1084" s="4" t="s">
        <v>13</v>
      </c>
      <c r="C1084" s="5">
        <v>44558</v>
      </c>
      <c r="D1084" s="6" t="s">
        <v>9</v>
      </c>
      <c r="E1084" s="6">
        <v>2</v>
      </c>
      <c r="F1084" s="6">
        <v>100</v>
      </c>
    </row>
    <row r="1085" spans="1:6" ht="15.75" customHeight="1" x14ac:dyDescent="0.35">
      <c r="A1085" s="1">
        <v>1084</v>
      </c>
      <c r="B1085" s="4" t="s">
        <v>14</v>
      </c>
      <c r="C1085" s="5">
        <v>44559</v>
      </c>
      <c r="D1085" s="6" t="s">
        <v>7</v>
      </c>
      <c r="E1085" s="6">
        <v>2</v>
      </c>
      <c r="F1085" s="6">
        <v>99</v>
      </c>
    </row>
    <row r="1086" spans="1:6" ht="15.75" customHeight="1" x14ac:dyDescent="0.35">
      <c r="A1086" s="1">
        <v>1085</v>
      </c>
      <c r="B1086" s="4" t="s">
        <v>14</v>
      </c>
      <c r="C1086" s="5">
        <v>44559</v>
      </c>
      <c r="D1086" s="6" t="s">
        <v>8</v>
      </c>
      <c r="E1086" s="6">
        <v>4</v>
      </c>
      <c r="F1086" s="6">
        <v>104</v>
      </c>
    </row>
    <row r="1087" spans="1:6" ht="15.75" customHeight="1" x14ac:dyDescent="0.35">
      <c r="A1087" s="1">
        <v>1086</v>
      </c>
      <c r="B1087" s="4" t="s">
        <v>14</v>
      </c>
      <c r="C1087" s="5">
        <v>44559</v>
      </c>
      <c r="D1087" s="6" t="s">
        <v>9</v>
      </c>
      <c r="E1087" s="6">
        <v>0</v>
      </c>
      <c r="F1087" s="6">
        <v>101</v>
      </c>
    </row>
    <row r="1088" spans="1:6" ht="15.75" customHeight="1" x14ac:dyDescent="0.35">
      <c r="A1088" s="1">
        <v>1087</v>
      </c>
      <c r="B1088" s="4" t="s">
        <v>15</v>
      </c>
      <c r="C1088" s="5">
        <v>44560</v>
      </c>
      <c r="D1088" s="6" t="s">
        <v>7</v>
      </c>
      <c r="E1088" s="6">
        <v>2</v>
      </c>
      <c r="F1088" s="6">
        <v>105</v>
      </c>
    </row>
    <row r="1089" spans="1:6" ht="15.75" customHeight="1" x14ac:dyDescent="0.35">
      <c r="A1089" s="1">
        <v>1088</v>
      </c>
      <c r="B1089" s="4" t="s">
        <v>15</v>
      </c>
      <c r="C1089" s="5">
        <v>44560</v>
      </c>
      <c r="D1089" s="6" t="s">
        <v>8</v>
      </c>
      <c r="E1089" s="6">
        <v>0</v>
      </c>
      <c r="F1089" s="6">
        <v>108</v>
      </c>
    </row>
    <row r="1090" spans="1:6" ht="15.75" customHeight="1" x14ac:dyDescent="0.35">
      <c r="A1090" s="1">
        <v>1089</v>
      </c>
      <c r="B1090" s="4" t="s">
        <v>15</v>
      </c>
      <c r="C1090" s="5">
        <v>44560</v>
      </c>
      <c r="D1090" s="6" t="s">
        <v>9</v>
      </c>
      <c r="E1090" s="6">
        <v>0</v>
      </c>
      <c r="F1090" s="6">
        <v>99</v>
      </c>
    </row>
    <row r="1091" spans="1:6" ht="15.75" customHeight="1" x14ac:dyDescent="0.35">
      <c r="A1091" s="1">
        <v>1090</v>
      </c>
      <c r="B1091" s="4" t="s">
        <v>6</v>
      </c>
      <c r="C1091" s="5">
        <v>44561</v>
      </c>
      <c r="D1091" s="6" t="s">
        <v>7</v>
      </c>
      <c r="E1091" s="6">
        <v>6</v>
      </c>
      <c r="F1091" s="6">
        <v>98</v>
      </c>
    </row>
    <row r="1092" spans="1:6" ht="15.75" customHeight="1" x14ac:dyDescent="0.35">
      <c r="A1092" s="1">
        <v>1091</v>
      </c>
      <c r="B1092" s="4" t="s">
        <v>6</v>
      </c>
      <c r="C1092" s="5">
        <v>44561</v>
      </c>
      <c r="D1092" s="6" t="s">
        <v>8</v>
      </c>
      <c r="E1092" s="6">
        <v>5</v>
      </c>
      <c r="F1092" s="6">
        <v>103</v>
      </c>
    </row>
    <row r="1093" spans="1:6" ht="15.75" customHeight="1" x14ac:dyDescent="0.35">
      <c r="A1093" s="1">
        <v>1092</v>
      </c>
      <c r="B1093" s="4" t="s">
        <v>6</v>
      </c>
      <c r="C1093" s="5">
        <v>44561</v>
      </c>
      <c r="D1093" s="6" t="s">
        <v>9</v>
      </c>
      <c r="E1093" s="6">
        <v>2</v>
      </c>
      <c r="F1093" s="6">
        <v>110</v>
      </c>
    </row>
  </sheetData>
  <autoFilter ref="A1:F1093" xr:uid="{00000000-0009-0000-0000-000001000000}"/>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318"/>
  <sheetViews>
    <sheetView workbookViewId="0">
      <selection activeCell="E1" sqref="E1:G1"/>
    </sheetView>
  </sheetViews>
  <sheetFormatPr defaultColWidth="14.453125" defaultRowHeight="15" customHeight="1" x14ac:dyDescent="0.35"/>
  <cols>
    <col min="1" max="1" width="20.7265625" customWidth="1"/>
    <col min="2" max="2" width="23.453125" customWidth="1"/>
    <col min="5" max="5" width="18" customWidth="1"/>
    <col min="6" max="6" width="19.54296875" customWidth="1"/>
    <col min="7" max="7" width="20.08984375" customWidth="1"/>
  </cols>
  <sheetData>
    <row r="1" spans="1:7" x14ac:dyDescent="0.35">
      <c r="A1" s="22" t="s">
        <v>16</v>
      </c>
      <c r="B1" s="22" t="s">
        <v>17</v>
      </c>
      <c r="E1" s="24" t="s">
        <v>18</v>
      </c>
      <c r="F1" s="25"/>
      <c r="G1" s="26"/>
    </row>
    <row r="2" spans="1:7" x14ac:dyDescent="0.35">
      <c r="A2" s="23">
        <v>1</v>
      </c>
      <c r="B2" s="19">
        <v>5</v>
      </c>
      <c r="E2" s="7" t="s">
        <v>19</v>
      </c>
      <c r="F2" s="7" t="s">
        <v>20</v>
      </c>
      <c r="G2" s="7" t="s">
        <v>21</v>
      </c>
    </row>
    <row r="3" spans="1:7" x14ac:dyDescent="0.35">
      <c r="A3" s="23">
        <v>2</v>
      </c>
      <c r="B3" s="20">
        <v>4</v>
      </c>
      <c r="E3" s="8">
        <v>0</v>
      </c>
      <c r="F3" s="8">
        <f>COUNTIF(B2:B318,0)</f>
        <v>36</v>
      </c>
      <c r="G3" s="9">
        <f>F3/F12</f>
        <v>0.11428571428571428</v>
      </c>
    </row>
    <row r="4" spans="1:7" x14ac:dyDescent="0.35">
      <c r="A4" s="23">
        <v>17</v>
      </c>
      <c r="B4" s="20">
        <v>2</v>
      </c>
      <c r="E4" s="8">
        <v>1</v>
      </c>
      <c r="F4" s="8">
        <f>COUNTIF(B2:B318,1)</f>
        <v>72</v>
      </c>
      <c r="G4" s="9">
        <f>F4/F12</f>
        <v>0.22857142857142856</v>
      </c>
    </row>
    <row r="5" spans="1:7" x14ac:dyDescent="0.35">
      <c r="A5" s="23">
        <v>18</v>
      </c>
      <c r="B5" s="20">
        <v>2</v>
      </c>
      <c r="E5" s="8">
        <v>2</v>
      </c>
      <c r="F5" s="8">
        <f>COUNTIF(B2:B318,2)</f>
        <v>60</v>
      </c>
      <c r="G5" s="9">
        <f>F5/F12</f>
        <v>0.19047619047619047</v>
      </c>
    </row>
    <row r="6" spans="1:7" x14ac:dyDescent="0.35">
      <c r="A6" s="23">
        <v>19</v>
      </c>
      <c r="B6" s="20">
        <v>4</v>
      </c>
      <c r="E6" s="8">
        <v>3</v>
      </c>
      <c r="F6" s="8">
        <f>COUNTIF(B3:B319,3)</f>
        <v>58</v>
      </c>
      <c r="G6" s="9">
        <f>F6/F12</f>
        <v>0.18412698412698414</v>
      </c>
    </row>
    <row r="7" spans="1:7" x14ac:dyDescent="0.35">
      <c r="A7" s="23">
        <v>22</v>
      </c>
      <c r="B7" s="20">
        <v>4</v>
      </c>
      <c r="E7" s="8">
        <v>4</v>
      </c>
      <c r="F7" s="8">
        <f>COUNTIF(B4:B320,4)</f>
        <v>45</v>
      </c>
      <c r="G7" s="9">
        <f>F7/F12</f>
        <v>0.14285714285714285</v>
      </c>
    </row>
    <row r="8" spans="1:7" x14ac:dyDescent="0.35">
      <c r="A8" s="23">
        <v>25</v>
      </c>
      <c r="B8" s="20">
        <v>3</v>
      </c>
      <c r="E8" s="8">
        <v>5</v>
      </c>
      <c r="F8" s="8">
        <f>COUNTIF(B5:B321,5)</f>
        <v>23</v>
      </c>
      <c r="G8" s="9">
        <f>F8/F12</f>
        <v>7.301587301587302E-2</v>
      </c>
    </row>
    <row r="9" spans="1:7" x14ac:dyDescent="0.35">
      <c r="A9" s="23">
        <v>31</v>
      </c>
      <c r="B9" s="20">
        <v>4</v>
      </c>
      <c r="E9" s="8">
        <v>6</v>
      </c>
      <c r="F9" s="8">
        <f>COUNTIF(B6:B322,6)</f>
        <v>12</v>
      </c>
      <c r="G9" s="9">
        <f>F9/F12</f>
        <v>3.8095238095238099E-2</v>
      </c>
    </row>
    <row r="10" spans="1:7" x14ac:dyDescent="0.35">
      <c r="A10" s="23">
        <v>32</v>
      </c>
      <c r="B10" s="20">
        <v>2</v>
      </c>
      <c r="E10" s="8">
        <v>7</v>
      </c>
      <c r="F10" s="8">
        <f>COUNTIF(B7:B323,7)</f>
        <v>5</v>
      </c>
      <c r="G10" s="9">
        <f>F10/F12</f>
        <v>1.5873015873015872E-2</v>
      </c>
    </row>
    <row r="11" spans="1:7" x14ac:dyDescent="0.35">
      <c r="A11" s="23">
        <v>33</v>
      </c>
      <c r="B11" s="20">
        <v>0</v>
      </c>
      <c r="E11" s="8">
        <v>8</v>
      </c>
      <c r="F11" s="8">
        <f>COUNTIF(B8:B324,8)</f>
        <v>4</v>
      </c>
      <c r="G11" s="9">
        <f>F11/F12</f>
        <v>1.2698412698412698E-2</v>
      </c>
    </row>
    <row r="12" spans="1:7" x14ac:dyDescent="0.35">
      <c r="A12" s="23">
        <v>34</v>
      </c>
      <c r="B12" s="20">
        <v>1</v>
      </c>
      <c r="E12" s="7" t="s">
        <v>22</v>
      </c>
      <c r="F12" s="7">
        <f t="shared" ref="F12:G12" si="0">SUM(F3:F11)</f>
        <v>315</v>
      </c>
      <c r="G12" s="10">
        <f t="shared" si="0"/>
        <v>1</v>
      </c>
    </row>
    <row r="13" spans="1:7" x14ac:dyDescent="0.35">
      <c r="A13" s="23">
        <v>35</v>
      </c>
      <c r="B13" s="20">
        <v>2</v>
      </c>
    </row>
    <row r="14" spans="1:7" x14ac:dyDescent="0.35">
      <c r="A14" s="23">
        <v>36</v>
      </c>
      <c r="B14" s="20">
        <v>0</v>
      </c>
    </row>
    <row r="15" spans="1:7" x14ac:dyDescent="0.35">
      <c r="A15" s="23">
        <v>38</v>
      </c>
      <c r="B15" s="20">
        <v>2</v>
      </c>
      <c r="E15" s="24" t="s">
        <v>23</v>
      </c>
      <c r="F15" s="26"/>
    </row>
    <row r="16" spans="1:7" x14ac:dyDescent="0.35">
      <c r="A16" s="23">
        <v>49</v>
      </c>
      <c r="B16" s="20">
        <v>2</v>
      </c>
      <c r="E16" s="7" t="s">
        <v>19</v>
      </c>
      <c r="F16" s="7" t="s">
        <v>21</v>
      </c>
    </row>
    <row r="17" spans="1:6" x14ac:dyDescent="0.35">
      <c r="A17" s="23">
        <v>52</v>
      </c>
      <c r="B17" s="20">
        <v>5</v>
      </c>
      <c r="E17" s="8" t="s">
        <v>24</v>
      </c>
      <c r="F17" s="8">
        <v>0</v>
      </c>
    </row>
    <row r="18" spans="1:6" x14ac:dyDescent="0.35">
      <c r="A18" s="23">
        <v>54</v>
      </c>
      <c r="B18" s="20">
        <v>2</v>
      </c>
      <c r="E18" s="8" t="s">
        <v>25</v>
      </c>
      <c r="F18" s="9">
        <f>G3</f>
        <v>0.11428571428571428</v>
      </c>
    </row>
    <row r="19" spans="1:6" x14ac:dyDescent="0.35">
      <c r="A19" s="23">
        <v>55</v>
      </c>
      <c r="B19" s="20">
        <v>2</v>
      </c>
      <c r="E19" s="8" t="s">
        <v>26</v>
      </c>
      <c r="F19" s="9">
        <f t="shared" ref="F19:F25" si="1">F18+G4</f>
        <v>0.34285714285714286</v>
      </c>
    </row>
    <row r="20" spans="1:6" x14ac:dyDescent="0.35">
      <c r="A20" s="23">
        <v>56</v>
      </c>
      <c r="B20" s="20">
        <v>3</v>
      </c>
      <c r="E20" s="8" t="s">
        <v>27</v>
      </c>
      <c r="F20" s="9">
        <f t="shared" si="1"/>
        <v>0.53333333333333333</v>
      </c>
    </row>
    <row r="21" spans="1:6" x14ac:dyDescent="0.35">
      <c r="A21" s="23">
        <v>58</v>
      </c>
      <c r="B21" s="20">
        <v>4</v>
      </c>
      <c r="E21" s="8" t="s">
        <v>28</v>
      </c>
      <c r="F21" s="9">
        <f t="shared" si="1"/>
        <v>0.71746031746031746</v>
      </c>
    </row>
    <row r="22" spans="1:6" x14ac:dyDescent="0.35">
      <c r="A22" s="23">
        <v>64</v>
      </c>
      <c r="B22" s="20">
        <v>3</v>
      </c>
      <c r="E22" s="8" t="s">
        <v>29</v>
      </c>
      <c r="F22" s="9">
        <f t="shared" si="1"/>
        <v>0.86031746031746037</v>
      </c>
    </row>
    <row r="23" spans="1:6" x14ac:dyDescent="0.35">
      <c r="A23" s="23">
        <v>69</v>
      </c>
      <c r="B23" s="20">
        <v>3</v>
      </c>
      <c r="E23" s="8" t="s">
        <v>30</v>
      </c>
      <c r="F23" s="9">
        <f t="shared" si="1"/>
        <v>0.93333333333333335</v>
      </c>
    </row>
    <row r="24" spans="1:6" x14ac:dyDescent="0.35">
      <c r="A24" s="23">
        <v>70</v>
      </c>
      <c r="B24" s="20">
        <v>3</v>
      </c>
      <c r="E24" s="8" t="s">
        <v>31</v>
      </c>
      <c r="F24" s="9">
        <f t="shared" si="1"/>
        <v>0.97142857142857142</v>
      </c>
    </row>
    <row r="25" spans="1:6" x14ac:dyDescent="0.35">
      <c r="A25" s="23">
        <v>71</v>
      </c>
      <c r="B25" s="20">
        <v>3</v>
      </c>
      <c r="E25" s="8" t="s">
        <v>32</v>
      </c>
      <c r="F25" s="9">
        <f t="shared" si="1"/>
        <v>0.98730158730158735</v>
      </c>
    </row>
    <row r="26" spans="1:6" x14ac:dyDescent="0.35">
      <c r="A26" s="23">
        <v>73</v>
      </c>
      <c r="B26" s="20">
        <v>5</v>
      </c>
    </row>
    <row r="27" spans="1:6" x14ac:dyDescent="0.35">
      <c r="A27" s="23">
        <v>79</v>
      </c>
      <c r="B27" s="20">
        <v>5</v>
      </c>
    </row>
    <row r="28" spans="1:6" x14ac:dyDescent="0.35">
      <c r="A28" s="23">
        <v>80</v>
      </c>
      <c r="B28" s="20">
        <v>3</v>
      </c>
      <c r="E28" s="24" t="s">
        <v>33</v>
      </c>
      <c r="F28" s="26"/>
    </row>
    <row r="29" spans="1:6" x14ac:dyDescent="0.35">
      <c r="A29" s="23">
        <v>97</v>
      </c>
      <c r="B29" s="20">
        <v>1</v>
      </c>
      <c r="E29" s="8" t="s">
        <v>19</v>
      </c>
      <c r="F29" s="8" t="s">
        <v>21</v>
      </c>
    </row>
    <row r="30" spans="1:6" x14ac:dyDescent="0.35">
      <c r="A30" s="23">
        <v>100</v>
      </c>
      <c r="B30" s="20">
        <v>3</v>
      </c>
      <c r="E30" s="8">
        <f t="shared" ref="E30:E38" si="2">F17</f>
        <v>0</v>
      </c>
      <c r="F30" s="8">
        <v>0</v>
      </c>
    </row>
    <row r="31" spans="1:6" x14ac:dyDescent="0.35">
      <c r="A31" s="23">
        <v>106</v>
      </c>
      <c r="B31" s="20">
        <v>3</v>
      </c>
      <c r="E31" s="9">
        <f t="shared" si="2"/>
        <v>0.11428571428571428</v>
      </c>
      <c r="F31" s="8">
        <v>1</v>
      </c>
    </row>
    <row r="32" spans="1:6" x14ac:dyDescent="0.35">
      <c r="A32" s="23">
        <v>107</v>
      </c>
      <c r="B32" s="20">
        <v>2</v>
      </c>
      <c r="E32" s="9">
        <f t="shared" si="2"/>
        <v>0.34285714285714286</v>
      </c>
      <c r="F32" s="8">
        <v>2</v>
      </c>
    </row>
    <row r="33" spans="1:6" x14ac:dyDescent="0.35">
      <c r="A33" s="23">
        <v>112</v>
      </c>
      <c r="B33" s="20">
        <v>4</v>
      </c>
      <c r="E33" s="9">
        <f t="shared" si="2"/>
        <v>0.53333333333333333</v>
      </c>
      <c r="F33" s="8">
        <v>3</v>
      </c>
    </row>
    <row r="34" spans="1:6" x14ac:dyDescent="0.35">
      <c r="A34" s="23">
        <v>113</v>
      </c>
      <c r="B34" s="20">
        <v>3</v>
      </c>
      <c r="E34" s="9">
        <f t="shared" si="2"/>
        <v>0.71746031746031746</v>
      </c>
      <c r="F34" s="8">
        <v>4</v>
      </c>
    </row>
    <row r="35" spans="1:6" x14ac:dyDescent="0.35">
      <c r="A35" s="23">
        <v>115</v>
      </c>
      <c r="B35" s="20">
        <v>3</v>
      </c>
      <c r="E35" s="9">
        <f t="shared" si="2"/>
        <v>0.86031746031746037</v>
      </c>
      <c r="F35" s="8">
        <v>5</v>
      </c>
    </row>
    <row r="36" spans="1:6" x14ac:dyDescent="0.35">
      <c r="A36" s="23">
        <v>118</v>
      </c>
      <c r="B36" s="20">
        <v>1</v>
      </c>
      <c r="E36" s="9">
        <f t="shared" si="2"/>
        <v>0.93333333333333335</v>
      </c>
      <c r="F36" s="8">
        <v>6</v>
      </c>
    </row>
    <row r="37" spans="1:6" x14ac:dyDescent="0.35">
      <c r="A37" s="23">
        <v>119</v>
      </c>
      <c r="B37" s="20">
        <v>0</v>
      </c>
      <c r="E37" s="9">
        <f t="shared" si="2"/>
        <v>0.97142857142857142</v>
      </c>
      <c r="F37" s="8">
        <v>7</v>
      </c>
    </row>
    <row r="38" spans="1:6" x14ac:dyDescent="0.35">
      <c r="A38" s="23">
        <v>121</v>
      </c>
      <c r="B38" s="20">
        <v>5</v>
      </c>
      <c r="E38" s="9">
        <f t="shared" si="2"/>
        <v>0.98730158730158735</v>
      </c>
      <c r="F38" s="8">
        <v>8</v>
      </c>
    </row>
    <row r="39" spans="1:6" x14ac:dyDescent="0.35">
      <c r="A39" s="23">
        <v>122</v>
      </c>
      <c r="B39" s="20">
        <v>3</v>
      </c>
    </row>
    <row r="40" spans="1:6" x14ac:dyDescent="0.35">
      <c r="A40" s="23">
        <v>123</v>
      </c>
      <c r="B40" s="20">
        <v>0</v>
      </c>
    </row>
    <row r="41" spans="1:6" x14ac:dyDescent="0.35">
      <c r="A41" s="23">
        <v>149</v>
      </c>
      <c r="B41" s="20">
        <v>2</v>
      </c>
    </row>
    <row r="42" spans="1:6" x14ac:dyDescent="0.35">
      <c r="A42" s="23">
        <v>154</v>
      </c>
      <c r="B42" s="20">
        <v>5</v>
      </c>
    </row>
    <row r="43" spans="1:6" x14ac:dyDescent="0.35">
      <c r="A43" s="23">
        <v>157</v>
      </c>
      <c r="B43" s="20">
        <v>3</v>
      </c>
    </row>
    <row r="44" spans="1:6" x14ac:dyDescent="0.35">
      <c r="A44" s="23">
        <v>160</v>
      </c>
      <c r="B44" s="20">
        <v>2</v>
      </c>
    </row>
    <row r="45" spans="1:6" x14ac:dyDescent="0.35">
      <c r="A45" s="23">
        <v>164</v>
      </c>
      <c r="B45" s="20">
        <v>4</v>
      </c>
    </row>
    <row r="46" spans="1:6" x14ac:dyDescent="0.35">
      <c r="A46" s="23">
        <v>165</v>
      </c>
      <c r="B46" s="20">
        <v>2</v>
      </c>
    </row>
    <row r="47" spans="1:6" x14ac:dyDescent="0.35">
      <c r="A47" s="23">
        <v>168</v>
      </c>
      <c r="B47" s="20">
        <v>0</v>
      </c>
    </row>
    <row r="48" spans="1:6" x14ac:dyDescent="0.35">
      <c r="A48" s="23">
        <v>169</v>
      </c>
      <c r="B48" s="20">
        <v>4</v>
      </c>
    </row>
    <row r="49" spans="1:2" x14ac:dyDescent="0.35">
      <c r="A49" s="23">
        <v>178</v>
      </c>
      <c r="B49" s="20">
        <v>6</v>
      </c>
    </row>
    <row r="50" spans="1:2" x14ac:dyDescent="0.35">
      <c r="A50" s="23">
        <v>181</v>
      </c>
      <c r="B50" s="20">
        <v>4</v>
      </c>
    </row>
    <row r="51" spans="1:2" x14ac:dyDescent="0.35">
      <c r="A51" s="23">
        <v>182</v>
      </c>
      <c r="B51" s="20">
        <v>3</v>
      </c>
    </row>
    <row r="52" spans="1:2" x14ac:dyDescent="0.35">
      <c r="A52" s="23">
        <v>183</v>
      </c>
      <c r="B52" s="20">
        <v>1</v>
      </c>
    </row>
    <row r="53" spans="1:2" x14ac:dyDescent="0.35">
      <c r="A53" s="23">
        <v>184</v>
      </c>
      <c r="B53" s="20">
        <v>2</v>
      </c>
    </row>
    <row r="54" spans="1:2" x14ac:dyDescent="0.35">
      <c r="A54" s="23">
        <v>187</v>
      </c>
      <c r="B54" s="20">
        <v>6</v>
      </c>
    </row>
    <row r="55" spans="1:2" x14ac:dyDescent="0.35">
      <c r="A55" s="23">
        <v>188</v>
      </c>
      <c r="B55" s="20">
        <v>6</v>
      </c>
    </row>
    <row r="56" spans="1:2" x14ac:dyDescent="0.35">
      <c r="A56" s="23">
        <v>199</v>
      </c>
      <c r="B56" s="20">
        <v>2</v>
      </c>
    </row>
    <row r="57" spans="1:2" x14ac:dyDescent="0.35">
      <c r="A57" s="23">
        <v>202</v>
      </c>
      <c r="B57" s="20">
        <v>1</v>
      </c>
    </row>
    <row r="58" spans="1:2" x14ac:dyDescent="0.35">
      <c r="A58" s="23">
        <v>203</v>
      </c>
      <c r="B58" s="20">
        <v>0</v>
      </c>
    </row>
    <row r="59" spans="1:2" x14ac:dyDescent="0.35">
      <c r="A59" s="23">
        <v>205</v>
      </c>
      <c r="B59" s="20">
        <v>3</v>
      </c>
    </row>
    <row r="60" spans="1:2" x14ac:dyDescent="0.35">
      <c r="A60" s="23">
        <v>208</v>
      </c>
      <c r="B60" s="20">
        <v>1</v>
      </c>
    </row>
    <row r="61" spans="1:2" x14ac:dyDescent="0.35">
      <c r="A61" s="23">
        <v>210</v>
      </c>
      <c r="B61" s="20">
        <v>1</v>
      </c>
    </row>
    <row r="62" spans="1:2" x14ac:dyDescent="0.35">
      <c r="A62" s="23">
        <v>220</v>
      </c>
      <c r="B62" s="20">
        <v>1</v>
      </c>
    </row>
    <row r="63" spans="1:2" x14ac:dyDescent="0.35">
      <c r="A63" s="23">
        <v>224</v>
      </c>
      <c r="B63" s="20">
        <v>3</v>
      </c>
    </row>
    <row r="64" spans="1:2" x14ac:dyDescent="0.35">
      <c r="A64" s="23">
        <v>226</v>
      </c>
      <c r="B64" s="20">
        <v>4</v>
      </c>
    </row>
    <row r="65" spans="1:2" x14ac:dyDescent="0.35">
      <c r="A65" s="23">
        <v>229</v>
      </c>
      <c r="B65" s="20">
        <v>2</v>
      </c>
    </row>
    <row r="66" spans="1:2" x14ac:dyDescent="0.35">
      <c r="A66" s="23">
        <v>230</v>
      </c>
      <c r="B66" s="20">
        <v>1</v>
      </c>
    </row>
    <row r="67" spans="1:2" x14ac:dyDescent="0.35">
      <c r="A67" s="23">
        <v>233</v>
      </c>
      <c r="B67" s="20">
        <v>6</v>
      </c>
    </row>
    <row r="68" spans="1:2" x14ac:dyDescent="0.35">
      <c r="A68" s="23">
        <v>236</v>
      </c>
      <c r="B68" s="20">
        <v>2</v>
      </c>
    </row>
    <row r="69" spans="1:2" x14ac:dyDescent="0.35">
      <c r="A69" s="23">
        <v>242</v>
      </c>
      <c r="B69" s="20">
        <v>1</v>
      </c>
    </row>
    <row r="70" spans="1:2" x14ac:dyDescent="0.35">
      <c r="A70" s="23">
        <v>245</v>
      </c>
      <c r="B70" s="20">
        <v>1</v>
      </c>
    </row>
    <row r="71" spans="1:2" x14ac:dyDescent="0.35">
      <c r="A71" s="23">
        <v>253</v>
      </c>
      <c r="B71" s="20">
        <v>1</v>
      </c>
    </row>
    <row r="72" spans="1:2" x14ac:dyDescent="0.35">
      <c r="A72" s="23">
        <v>255</v>
      </c>
      <c r="B72" s="20">
        <v>0</v>
      </c>
    </row>
    <row r="73" spans="1:2" x14ac:dyDescent="0.35">
      <c r="A73" s="23">
        <v>258</v>
      </c>
      <c r="B73" s="20">
        <v>0</v>
      </c>
    </row>
    <row r="74" spans="1:2" x14ac:dyDescent="0.35">
      <c r="A74" s="23">
        <v>259</v>
      </c>
      <c r="B74" s="20">
        <v>3</v>
      </c>
    </row>
    <row r="75" spans="1:2" x14ac:dyDescent="0.35">
      <c r="A75" s="23">
        <v>260</v>
      </c>
      <c r="B75" s="20">
        <v>4</v>
      </c>
    </row>
    <row r="76" spans="1:2" x14ac:dyDescent="0.35">
      <c r="A76" s="23">
        <v>263</v>
      </c>
      <c r="B76" s="20">
        <v>3</v>
      </c>
    </row>
    <row r="77" spans="1:2" x14ac:dyDescent="0.35">
      <c r="A77" s="23">
        <v>265</v>
      </c>
      <c r="B77" s="20">
        <v>1</v>
      </c>
    </row>
    <row r="78" spans="1:2" x14ac:dyDescent="0.35">
      <c r="A78" s="23">
        <v>270</v>
      </c>
      <c r="B78" s="20">
        <v>0</v>
      </c>
    </row>
    <row r="79" spans="1:2" x14ac:dyDescent="0.35">
      <c r="A79" s="23">
        <v>279</v>
      </c>
      <c r="B79" s="20">
        <v>1</v>
      </c>
    </row>
    <row r="80" spans="1:2" x14ac:dyDescent="0.35">
      <c r="A80" s="23">
        <v>280</v>
      </c>
      <c r="B80" s="20">
        <v>3</v>
      </c>
    </row>
    <row r="81" spans="1:2" x14ac:dyDescent="0.35">
      <c r="A81" s="23">
        <v>283</v>
      </c>
      <c r="B81" s="20">
        <v>3</v>
      </c>
    </row>
    <row r="82" spans="1:2" x14ac:dyDescent="0.35">
      <c r="A82" s="23">
        <v>284</v>
      </c>
      <c r="B82" s="20">
        <v>2</v>
      </c>
    </row>
    <row r="83" spans="1:2" x14ac:dyDescent="0.35">
      <c r="A83" s="23">
        <v>286</v>
      </c>
      <c r="B83" s="20">
        <v>3</v>
      </c>
    </row>
    <row r="84" spans="1:2" x14ac:dyDescent="0.35">
      <c r="A84" s="23">
        <v>290</v>
      </c>
      <c r="B84" s="20">
        <v>0</v>
      </c>
    </row>
    <row r="85" spans="1:2" x14ac:dyDescent="0.35">
      <c r="A85" s="23">
        <v>292</v>
      </c>
      <c r="B85" s="20">
        <v>6</v>
      </c>
    </row>
    <row r="86" spans="1:2" x14ac:dyDescent="0.35">
      <c r="A86" s="23">
        <v>293</v>
      </c>
      <c r="B86" s="20">
        <v>1</v>
      </c>
    </row>
    <row r="87" spans="1:2" x14ac:dyDescent="0.35">
      <c r="A87" s="23">
        <v>299</v>
      </c>
      <c r="B87" s="20">
        <v>0</v>
      </c>
    </row>
    <row r="88" spans="1:2" x14ac:dyDescent="0.35">
      <c r="A88" s="23">
        <v>304</v>
      </c>
      <c r="B88" s="20">
        <v>4</v>
      </c>
    </row>
    <row r="89" spans="1:2" x14ac:dyDescent="0.35">
      <c r="A89" s="23">
        <v>305</v>
      </c>
      <c r="B89" s="20">
        <v>2</v>
      </c>
    </row>
    <row r="90" spans="1:2" x14ac:dyDescent="0.35">
      <c r="A90" s="23">
        <v>306</v>
      </c>
      <c r="B90" s="20">
        <v>0</v>
      </c>
    </row>
    <row r="91" spans="1:2" x14ac:dyDescent="0.35">
      <c r="A91" s="23">
        <v>308</v>
      </c>
      <c r="B91" s="20">
        <v>2</v>
      </c>
    </row>
    <row r="92" spans="1:2" x14ac:dyDescent="0.35">
      <c r="A92" s="23">
        <v>310</v>
      </c>
      <c r="B92" s="20">
        <v>4</v>
      </c>
    </row>
    <row r="93" spans="1:2" x14ac:dyDescent="0.35">
      <c r="A93" s="23">
        <v>311</v>
      </c>
      <c r="B93" s="20">
        <v>2</v>
      </c>
    </row>
    <row r="94" spans="1:2" x14ac:dyDescent="0.35">
      <c r="A94" s="23">
        <v>314</v>
      </c>
      <c r="B94" s="20">
        <v>2</v>
      </c>
    </row>
    <row r="95" spans="1:2" x14ac:dyDescent="0.35">
      <c r="A95" s="23">
        <v>315</v>
      </c>
      <c r="B95" s="20">
        <v>0</v>
      </c>
    </row>
    <row r="96" spans="1:2" x14ac:dyDescent="0.35">
      <c r="A96" s="23">
        <v>317</v>
      </c>
      <c r="B96" s="20">
        <v>5</v>
      </c>
    </row>
    <row r="97" spans="1:2" x14ac:dyDescent="0.35">
      <c r="A97" s="23">
        <v>318</v>
      </c>
      <c r="B97" s="20">
        <v>1</v>
      </c>
    </row>
    <row r="98" spans="1:2" x14ac:dyDescent="0.35">
      <c r="A98" s="23">
        <v>328</v>
      </c>
      <c r="B98" s="20">
        <v>1</v>
      </c>
    </row>
    <row r="99" spans="1:2" x14ac:dyDescent="0.35">
      <c r="A99" s="23">
        <v>332</v>
      </c>
      <c r="B99" s="20">
        <v>5</v>
      </c>
    </row>
    <row r="100" spans="1:2" x14ac:dyDescent="0.35">
      <c r="A100" s="23">
        <v>333</v>
      </c>
      <c r="B100" s="20">
        <v>3</v>
      </c>
    </row>
    <row r="101" spans="1:2" x14ac:dyDescent="0.35">
      <c r="A101" s="23">
        <v>346</v>
      </c>
      <c r="B101" s="20">
        <v>3</v>
      </c>
    </row>
    <row r="102" spans="1:2" x14ac:dyDescent="0.35">
      <c r="A102" s="23">
        <v>349</v>
      </c>
      <c r="B102" s="20">
        <v>4</v>
      </c>
    </row>
    <row r="103" spans="1:2" x14ac:dyDescent="0.35">
      <c r="A103" s="23">
        <v>350</v>
      </c>
      <c r="B103" s="20">
        <v>1</v>
      </c>
    </row>
    <row r="104" spans="1:2" x14ac:dyDescent="0.35">
      <c r="A104" s="23">
        <v>353</v>
      </c>
      <c r="B104" s="20">
        <v>1</v>
      </c>
    </row>
    <row r="105" spans="1:2" x14ac:dyDescent="0.35">
      <c r="A105" s="23">
        <v>355</v>
      </c>
      <c r="B105" s="20">
        <v>4</v>
      </c>
    </row>
    <row r="106" spans="1:2" x14ac:dyDescent="0.35">
      <c r="A106" s="23">
        <v>361</v>
      </c>
      <c r="B106" s="20">
        <v>7</v>
      </c>
    </row>
    <row r="107" spans="1:2" x14ac:dyDescent="0.35">
      <c r="A107" s="23">
        <v>362</v>
      </c>
      <c r="B107" s="20">
        <v>1</v>
      </c>
    </row>
    <row r="108" spans="1:2" x14ac:dyDescent="0.35">
      <c r="A108" s="23">
        <v>364</v>
      </c>
      <c r="B108" s="20">
        <v>2</v>
      </c>
    </row>
    <row r="109" spans="1:2" x14ac:dyDescent="0.35">
      <c r="A109" s="23">
        <v>365</v>
      </c>
      <c r="B109" s="20">
        <v>2</v>
      </c>
    </row>
    <row r="110" spans="1:2" x14ac:dyDescent="0.35">
      <c r="A110" s="23">
        <v>366</v>
      </c>
      <c r="B110" s="20">
        <v>2</v>
      </c>
    </row>
    <row r="111" spans="1:2" x14ac:dyDescent="0.35">
      <c r="A111" s="23">
        <v>367</v>
      </c>
      <c r="B111" s="20">
        <v>4</v>
      </c>
    </row>
    <row r="112" spans="1:2" x14ac:dyDescent="0.35">
      <c r="A112" s="23">
        <v>371</v>
      </c>
      <c r="B112" s="20">
        <v>1</v>
      </c>
    </row>
    <row r="113" spans="1:2" x14ac:dyDescent="0.35">
      <c r="A113" s="23">
        <v>373</v>
      </c>
      <c r="B113" s="20">
        <v>8</v>
      </c>
    </row>
    <row r="114" spans="1:2" x14ac:dyDescent="0.35">
      <c r="A114" s="23">
        <v>374</v>
      </c>
      <c r="B114" s="20">
        <v>4</v>
      </c>
    </row>
    <row r="115" spans="1:2" x14ac:dyDescent="0.35">
      <c r="A115" s="23">
        <v>376</v>
      </c>
      <c r="B115" s="20">
        <v>3</v>
      </c>
    </row>
    <row r="116" spans="1:2" x14ac:dyDescent="0.35">
      <c r="A116" s="23">
        <v>380</v>
      </c>
      <c r="B116" s="20">
        <v>3</v>
      </c>
    </row>
    <row r="117" spans="1:2" x14ac:dyDescent="0.35">
      <c r="A117" s="23">
        <v>382</v>
      </c>
      <c r="B117" s="20">
        <v>4</v>
      </c>
    </row>
    <row r="118" spans="1:2" x14ac:dyDescent="0.35">
      <c r="A118" s="23">
        <v>391</v>
      </c>
      <c r="B118" s="20">
        <v>2</v>
      </c>
    </row>
    <row r="119" spans="1:2" x14ac:dyDescent="0.35">
      <c r="A119" s="23">
        <v>392</v>
      </c>
      <c r="B119" s="20">
        <v>7</v>
      </c>
    </row>
    <row r="120" spans="1:2" x14ac:dyDescent="0.35">
      <c r="A120" s="23">
        <v>394</v>
      </c>
      <c r="B120" s="20">
        <v>5</v>
      </c>
    </row>
    <row r="121" spans="1:2" x14ac:dyDescent="0.35">
      <c r="A121" s="23">
        <v>397</v>
      </c>
      <c r="B121" s="20">
        <v>0</v>
      </c>
    </row>
    <row r="122" spans="1:2" x14ac:dyDescent="0.35">
      <c r="A122" s="23">
        <v>398</v>
      </c>
      <c r="B122" s="20">
        <v>3</v>
      </c>
    </row>
    <row r="123" spans="1:2" x14ac:dyDescent="0.35">
      <c r="A123" s="23">
        <v>399</v>
      </c>
      <c r="B123" s="20">
        <v>0</v>
      </c>
    </row>
    <row r="124" spans="1:2" x14ac:dyDescent="0.35">
      <c r="A124" s="23">
        <v>403</v>
      </c>
      <c r="B124" s="20">
        <v>6</v>
      </c>
    </row>
    <row r="125" spans="1:2" x14ac:dyDescent="0.35">
      <c r="A125" s="23">
        <v>404</v>
      </c>
      <c r="B125" s="20">
        <v>1</v>
      </c>
    </row>
    <row r="126" spans="1:2" x14ac:dyDescent="0.35">
      <c r="A126" s="23">
        <v>409</v>
      </c>
      <c r="B126" s="20">
        <v>2</v>
      </c>
    </row>
    <row r="127" spans="1:2" x14ac:dyDescent="0.35">
      <c r="A127" s="23">
        <v>415</v>
      </c>
      <c r="B127" s="20">
        <v>4</v>
      </c>
    </row>
    <row r="128" spans="1:2" x14ac:dyDescent="0.35">
      <c r="A128" s="23">
        <v>416</v>
      </c>
      <c r="B128" s="20">
        <v>1</v>
      </c>
    </row>
    <row r="129" spans="1:2" x14ac:dyDescent="0.35">
      <c r="A129" s="23">
        <v>417</v>
      </c>
      <c r="B129" s="20">
        <v>1</v>
      </c>
    </row>
    <row r="130" spans="1:2" x14ac:dyDescent="0.35">
      <c r="A130" s="23">
        <v>427</v>
      </c>
      <c r="B130" s="20">
        <v>4</v>
      </c>
    </row>
    <row r="131" spans="1:2" x14ac:dyDescent="0.35">
      <c r="A131" s="23">
        <v>431</v>
      </c>
      <c r="B131" s="20">
        <v>3</v>
      </c>
    </row>
    <row r="132" spans="1:2" x14ac:dyDescent="0.35">
      <c r="A132" s="23">
        <v>435</v>
      </c>
      <c r="B132" s="20">
        <v>0</v>
      </c>
    </row>
    <row r="133" spans="1:2" x14ac:dyDescent="0.35">
      <c r="A133" s="23">
        <v>436</v>
      </c>
      <c r="B133" s="20">
        <v>3</v>
      </c>
    </row>
    <row r="134" spans="1:2" x14ac:dyDescent="0.35">
      <c r="A134" s="23">
        <v>438</v>
      </c>
      <c r="B134" s="20">
        <v>1</v>
      </c>
    </row>
    <row r="135" spans="1:2" x14ac:dyDescent="0.35">
      <c r="A135" s="23">
        <v>439</v>
      </c>
      <c r="B135" s="20">
        <v>5</v>
      </c>
    </row>
    <row r="136" spans="1:2" x14ac:dyDescent="0.35">
      <c r="A136" s="23">
        <v>440</v>
      </c>
      <c r="B136" s="20">
        <v>4</v>
      </c>
    </row>
    <row r="137" spans="1:2" x14ac:dyDescent="0.35">
      <c r="A137" s="23">
        <v>457</v>
      </c>
      <c r="B137" s="20">
        <v>3</v>
      </c>
    </row>
    <row r="138" spans="1:2" x14ac:dyDescent="0.35">
      <c r="A138" s="23">
        <v>459</v>
      </c>
      <c r="B138" s="20">
        <v>0</v>
      </c>
    </row>
    <row r="139" spans="1:2" x14ac:dyDescent="0.35">
      <c r="A139" s="23">
        <v>460</v>
      </c>
      <c r="B139" s="20">
        <v>6</v>
      </c>
    </row>
    <row r="140" spans="1:2" x14ac:dyDescent="0.35">
      <c r="A140" s="23">
        <v>465</v>
      </c>
      <c r="B140" s="20">
        <v>0</v>
      </c>
    </row>
    <row r="141" spans="1:2" x14ac:dyDescent="0.35">
      <c r="A141" s="23">
        <v>470</v>
      </c>
      <c r="B141" s="20">
        <v>3</v>
      </c>
    </row>
    <row r="142" spans="1:2" x14ac:dyDescent="0.35">
      <c r="A142" s="23">
        <v>473</v>
      </c>
      <c r="B142" s="20">
        <v>3</v>
      </c>
    </row>
    <row r="143" spans="1:2" x14ac:dyDescent="0.35">
      <c r="A143" s="23">
        <v>475</v>
      </c>
      <c r="B143" s="20">
        <v>0</v>
      </c>
    </row>
    <row r="144" spans="1:2" x14ac:dyDescent="0.35">
      <c r="A144" s="23">
        <v>477</v>
      </c>
      <c r="B144" s="20">
        <v>2</v>
      </c>
    </row>
    <row r="145" spans="1:2" x14ac:dyDescent="0.35">
      <c r="A145" s="23">
        <v>478</v>
      </c>
      <c r="B145" s="20">
        <v>4</v>
      </c>
    </row>
    <row r="146" spans="1:2" x14ac:dyDescent="0.35">
      <c r="A146" s="23">
        <v>479</v>
      </c>
      <c r="B146" s="20">
        <v>4</v>
      </c>
    </row>
    <row r="147" spans="1:2" x14ac:dyDescent="0.35">
      <c r="A147" s="23">
        <v>494</v>
      </c>
      <c r="B147" s="20">
        <v>2</v>
      </c>
    </row>
    <row r="148" spans="1:2" x14ac:dyDescent="0.35">
      <c r="A148" s="23">
        <v>495</v>
      </c>
      <c r="B148" s="20">
        <v>1</v>
      </c>
    </row>
    <row r="149" spans="1:2" x14ac:dyDescent="0.35">
      <c r="A149" s="23">
        <v>497</v>
      </c>
      <c r="B149" s="20">
        <v>1</v>
      </c>
    </row>
    <row r="150" spans="1:2" x14ac:dyDescent="0.35">
      <c r="A150" s="23">
        <v>498</v>
      </c>
      <c r="B150" s="20">
        <v>1</v>
      </c>
    </row>
    <row r="151" spans="1:2" x14ac:dyDescent="0.35">
      <c r="A151" s="23">
        <v>500</v>
      </c>
      <c r="B151" s="20">
        <v>4</v>
      </c>
    </row>
    <row r="152" spans="1:2" x14ac:dyDescent="0.35">
      <c r="A152" s="23">
        <v>502</v>
      </c>
      <c r="B152" s="20">
        <v>6</v>
      </c>
    </row>
    <row r="153" spans="1:2" x14ac:dyDescent="0.35">
      <c r="A153" s="23">
        <v>511</v>
      </c>
      <c r="B153" s="20">
        <v>1</v>
      </c>
    </row>
    <row r="154" spans="1:2" x14ac:dyDescent="0.35">
      <c r="A154" s="23">
        <v>516</v>
      </c>
      <c r="B154" s="20">
        <v>2</v>
      </c>
    </row>
    <row r="155" spans="1:2" x14ac:dyDescent="0.35">
      <c r="A155" s="23">
        <v>517</v>
      </c>
      <c r="B155" s="20">
        <v>1</v>
      </c>
    </row>
    <row r="156" spans="1:2" x14ac:dyDescent="0.35">
      <c r="A156" s="23">
        <v>519</v>
      </c>
      <c r="B156" s="20">
        <v>2</v>
      </c>
    </row>
    <row r="157" spans="1:2" x14ac:dyDescent="0.35">
      <c r="A157" s="23">
        <v>522</v>
      </c>
      <c r="B157" s="20">
        <v>2</v>
      </c>
    </row>
    <row r="158" spans="1:2" x14ac:dyDescent="0.35">
      <c r="A158" s="23">
        <v>523</v>
      </c>
      <c r="B158" s="20">
        <v>8</v>
      </c>
    </row>
    <row r="159" spans="1:2" x14ac:dyDescent="0.35">
      <c r="A159" s="23">
        <v>526</v>
      </c>
      <c r="B159" s="20">
        <v>5</v>
      </c>
    </row>
    <row r="160" spans="1:2" x14ac:dyDescent="0.35">
      <c r="A160" s="23">
        <v>539</v>
      </c>
      <c r="B160" s="20">
        <v>5</v>
      </c>
    </row>
    <row r="161" spans="1:2" x14ac:dyDescent="0.35">
      <c r="A161" s="23">
        <v>540</v>
      </c>
      <c r="B161" s="20">
        <v>1</v>
      </c>
    </row>
    <row r="162" spans="1:2" x14ac:dyDescent="0.35">
      <c r="A162" s="23">
        <v>541</v>
      </c>
      <c r="B162" s="20">
        <v>1</v>
      </c>
    </row>
    <row r="163" spans="1:2" x14ac:dyDescent="0.35">
      <c r="A163" s="23">
        <v>549</v>
      </c>
      <c r="B163" s="20">
        <v>1</v>
      </c>
    </row>
    <row r="164" spans="1:2" x14ac:dyDescent="0.35">
      <c r="A164" s="23">
        <v>560</v>
      </c>
      <c r="B164" s="20">
        <v>2</v>
      </c>
    </row>
    <row r="165" spans="1:2" x14ac:dyDescent="0.35">
      <c r="A165" s="23">
        <v>562</v>
      </c>
      <c r="B165" s="20">
        <v>0</v>
      </c>
    </row>
    <row r="166" spans="1:2" x14ac:dyDescent="0.35">
      <c r="A166" s="23">
        <v>571</v>
      </c>
      <c r="B166" s="20">
        <v>6</v>
      </c>
    </row>
    <row r="167" spans="1:2" x14ac:dyDescent="0.35">
      <c r="A167" s="23">
        <v>572</v>
      </c>
      <c r="B167" s="20">
        <v>3</v>
      </c>
    </row>
    <row r="168" spans="1:2" x14ac:dyDescent="0.35">
      <c r="A168" s="23">
        <v>577</v>
      </c>
      <c r="B168" s="20">
        <v>1</v>
      </c>
    </row>
    <row r="169" spans="1:2" x14ac:dyDescent="0.35">
      <c r="A169" s="23">
        <v>582</v>
      </c>
      <c r="B169" s="20">
        <v>0</v>
      </c>
    </row>
    <row r="170" spans="1:2" x14ac:dyDescent="0.35">
      <c r="A170" s="23">
        <v>585</v>
      </c>
      <c r="B170" s="20">
        <v>2</v>
      </c>
    </row>
    <row r="171" spans="1:2" x14ac:dyDescent="0.35">
      <c r="A171" s="23">
        <v>590</v>
      </c>
      <c r="B171" s="20">
        <v>1</v>
      </c>
    </row>
    <row r="172" spans="1:2" x14ac:dyDescent="0.35">
      <c r="A172" s="23">
        <v>595</v>
      </c>
      <c r="B172" s="20">
        <v>1</v>
      </c>
    </row>
    <row r="173" spans="1:2" x14ac:dyDescent="0.35">
      <c r="A173" s="23">
        <v>598</v>
      </c>
      <c r="B173" s="20">
        <v>4</v>
      </c>
    </row>
    <row r="174" spans="1:2" x14ac:dyDescent="0.35">
      <c r="A174" s="23">
        <v>599</v>
      </c>
      <c r="B174" s="20">
        <v>2</v>
      </c>
    </row>
    <row r="175" spans="1:2" x14ac:dyDescent="0.35">
      <c r="A175" s="23">
        <v>601</v>
      </c>
      <c r="B175" s="20">
        <v>4</v>
      </c>
    </row>
    <row r="176" spans="1:2" x14ac:dyDescent="0.35">
      <c r="A176" s="23">
        <v>602</v>
      </c>
      <c r="B176" s="20">
        <v>3</v>
      </c>
    </row>
    <row r="177" spans="1:2" x14ac:dyDescent="0.35">
      <c r="A177" s="23">
        <v>603</v>
      </c>
      <c r="B177" s="20">
        <v>1</v>
      </c>
    </row>
    <row r="178" spans="1:2" x14ac:dyDescent="0.35">
      <c r="A178" s="23">
        <v>604</v>
      </c>
      <c r="B178" s="20">
        <v>7</v>
      </c>
    </row>
    <row r="179" spans="1:2" x14ac:dyDescent="0.35">
      <c r="A179" s="23">
        <v>607</v>
      </c>
      <c r="B179" s="20">
        <v>3</v>
      </c>
    </row>
    <row r="180" spans="1:2" x14ac:dyDescent="0.35">
      <c r="A180" s="23">
        <v>620</v>
      </c>
      <c r="B180" s="20">
        <v>1</v>
      </c>
    </row>
    <row r="181" spans="1:2" x14ac:dyDescent="0.35">
      <c r="A181" s="23">
        <v>622</v>
      </c>
      <c r="B181" s="20">
        <v>2</v>
      </c>
    </row>
    <row r="182" spans="1:2" x14ac:dyDescent="0.35">
      <c r="A182" s="23">
        <v>625</v>
      </c>
      <c r="B182" s="20">
        <v>5</v>
      </c>
    </row>
    <row r="183" spans="1:2" x14ac:dyDescent="0.35">
      <c r="A183" s="23">
        <v>638</v>
      </c>
      <c r="B183" s="20">
        <v>3</v>
      </c>
    </row>
    <row r="184" spans="1:2" x14ac:dyDescent="0.35">
      <c r="A184" s="23">
        <v>643</v>
      </c>
      <c r="B184" s="20">
        <v>3</v>
      </c>
    </row>
    <row r="185" spans="1:2" x14ac:dyDescent="0.35">
      <c r="A185" s="23">
        <v>644</v>
      </c>
      <c r="B185" s="20">
        <v>2</v>
      </c>
    </row>
    <row r="186" spans="1:2" x14ac:dyDescent="0.35">
      <c r="A186" s="23">
        <v>645</v>
      </c>
      <c r="B186" s="20">
        <v>1</v>
      </c>
    </row>
    <row r="187" spans="1:2" x14ac:dyDescent="0.35">
      <c r="A187" s="23">
        <v>661</v>
      </c>
      <c r="B187" s="20">
        <v>3</v>
      </c>
    </row>
    <row r="188" spans="1:2" x14ac:dyDescent="0.35">
      <c r="A188" s="23">
        <v>663</v>
      </c>
      <c r="B188" s="20">
        <v>2</v>
      </c>
    </row>
    <row r="189" spans="1:2" x14ac:dyDescent="0.35">
      <c r="A189" s="23">
        <v>664</v>
      </c>
      <c r="B189" s="20">
        <v>0</v>
      </c>
    </row>
    <row r="190" spans="1:2" x14ac:dyDescent="0.35">
      <c r="A190" s="23">
        <v>667</v>
      </c>
      <c r="B190" s="20">
        <v>1</v>
      </c>
    </row>
    <row r="191" spans="1:2" x14ac:dyDescent="0.35">
      <c r="A191" s="23">
        <v>672</v>
      </c>
      <c r="B191" s="20">
        <v>2</v>
      </c>
    </row>
    <row r="192" spans="1:2" x14ac:dyDescent="0.35">
      <c r="A192" s="23">
        <v>680</v>
      </c>
      <c r="B192" s="20">
        <v>4</v>
      </c>
    </row>
    <row r="193" spans="1:2" x14ac:dyDescent="0.35">
      <c r="A193" s="23">
        <v>682</v>
      </c>
      <c r="B193" s="20">
        <v>4</v>
      </c>
    </row>
    <row r="194" spans="1:2" x14ac:dyDescent="0.35">
      <c r="A194" s="23">
        <v>685</v>
      </c>
      <c r="B194" s="20">
        <v>3</v>
      </c>
    </row>
    <row r="195" spans="1:2" x14ac:dyDescent="0.35">
      <c r="A195" s="23">
        <v>686</v>
      </c>
      <c r="B195" s="20">
        <v>1</v>
      </c>
    </row>
    <row r="196" spans="1:2" x14ac:dyDescent="0.35">
      <c r="A196" s="23">
        <v>687</v>
      </c>
      <c r="B196" s="20">
        <v>2</v>
      </c>
    </row>
    <row r="197" spans="1:2" x14ac:dyDescent="0.35">
      <c r="A197" s="23">
        <v>691</v>
      </c>
      <c r="B197" s="20">
        <v>1</v>
      </c>
    </row>
    <row r="198" spans="1:2" x14ac:dyDescent="0.35">
      <c r="A198" s="23">
        <v>694</v>
      </c>
      <c r="B198" s="20">
        <v>4</v>
      </c>
    </row>
    <row r="199" spans="1:2" x14ac:dyDescent="0.35">
      <c r="A199" s="23">
        <v>696</v>
      </c>
      <c r="B199" s="20">
        <v>1</v>
      </c>
    </row>
    <row r="200" spans="1:2" x14ac:dyDescent="0.35">
      <c r="A200" s="23">
        <v>703</v>
      </c>
      <c r="B200" s="20">
        <v>5</v>
      </c>
    </row>
    <row r="201" spans="1:2" x14ac:dyDescent="0.35">
      <c r="A201" s="23">
        <v>707</v>
      </c>
      <c r="B201" s="20">
        <v>2</v>
      </c>
    </row>
    <row r="202" spans="1:2" x14ac:dyDescent="0.35">
      <c r="A202" s="23">
        <v>709</v>
      </c>
      <c r="B202" s="20">
        <v>4</v>
      </c>
    </row>
    <row r="203" spans="1:2" x14ac:dyDescent="0.35">
      <c r="A203" s="23">
        <v>711</v>
      </c>
      <c r="B203" s="20">
        <v>1</v>
      </c>
    </row>
    <row r="204" spans="1:2" x14ac:dyDescent="0.35">
      <c r="A204" s="23">
        <v>712</v>
      </c>
      <c r="B204" s="20">
        <v>1</v>
      </c>
    </row>
    <row r="205" spans="1:2" x14ac:dyDescent="0.35">
      <c r="A205" s="23">
        <v>715</v>
      </c>
      <c r="B205" s="20">
        <v>2</v>
      </c>
    </row>
    <row r="206" spans="1:2" x14ac:dyDescent="0.35">
      <c r="A206" s="23">
        <v>716</v>
      </c>
      <c r="B206" s="20">
        <v>1</v>
      </c>
    </row>
    <row r="207" spans="1:2" x14ac:dyDescent="0.35">
      <c r="A207" s="23">
        <v>719</v>
      </c>
      <c r="B207" s="20">
        <v>3</v>
      </c>
    </row>
    <row r="208" spans="1:2" x14ac:dyDescent="0.35">
      <c r="A208" s="23">
        <v>724</v>
      </c>
      <c r="B208" s="20">
        <v>4</v>
      </c>
    </row>
    <row r="209" spans="1:2" x14ac:dyDescent="0.35">
      <c r="A209" s="23">
        <v>725</v>
      </c>
      <c r="B209" s="20">
        <v>3</v>
      </c>
    </row>
    <row r="210" spans="1:2" x14ac:dyDescent="0.35">
      <c r="A210" s="23">
        <v>728</v>
      </c>
      <c r="B210" s="20">
        <v>1</v>
      </c>
    </row>
    <row r="211" spans="1:2" x14ac:dyDescent="0.35">
      <c r="A211" s="23">
        <v>729</v>
      </c>
      <c r="B211" s="20">
        <v>1</v>
      </c>
    </row>
    <row r="212" spans="1:2" x14ac:dyDescent="0.35">
      <c r="A212" s="23">
        <v>733</v>
      </c>
      <c r="B212" s="20">
        <v>1</v>
      </c>
    </row>
    <row r="213" spans="1:2" x14ac:dyDescent="0.35">
      <c r="A213" s="23">
        <v>741</v>
      </c>
      <c r="B213" s="20">
        <v>0</v>
      </c>
    </row>
    <row r="214" spans="1:2" x14ac:dyDescent="0.35">
      <c r="A214" s="23">
        <v>746</v>
      </c>
      <c r="B214" s="20">
        <v>1</v>
      </c>
    </row>
    <row r="215" spans="1:2" x14ac:dyDescent="0.35">
      <c r="A215" s="23">
        <v>747</v>
      </c>
      <c r="B215" s="20">
        <v>3</v>
      </c>
    </row>
    <row r="216" spans="1:2" x14ac:dyDescent="0.35">
      <c r="A216" s="23">
        <v>749</v>
      </c>
      <c r="B216" s="20">
        <v>1</v>
      </c>
    </row>
    <row r="217" spans="1:2" x14ac:dyDescent="0.35">
      <c r="A217" s="23">
        <v>750</v>
      </c>
      <c r="B217" s="20">
        <v>0</v>
      </c>
    </row>
    <row r="218" spans="1:2" x14ac:dyDescent="0.35">
      <c r="A218" s="23">
        <v>755</v>
      </c>
      <c r="B218" s="20">
        <v>3</v>
      </c>
    </row>
    <row r="219" spans="1:2" x14ac:dyDescent="0.35">
      <c r="A219" s="23">
        <v>758</v>
      </c>
      <c r="B219" s="20">
        <v>3</v>
      </c>
    </row>
    <row r="220" spans="1:2" x14ac:dyDescent="0.35">
      <c r="A220" s="23">
        <v>760</v>
      </c>
      <c r="B220" s="20">
        <v>2</v>
      </c>
    </row>
    <row r="221" spans="1:2" x14ac:dyDescent="0.35">
      <c r="A221" s="23">
        <v>765</v>
      </c>
      <c r="B221" s="20">
        <v>3</v>
      </c>
    </row>
    <row r="222" spans="1:2" x14ac:dyDescent="0.35">
      <c r="A222" s="23">
        <v>766</v>
      </c>
      <c r="B222" s="20">
        <v>1</v>
      </c>
    </row>
    <row r="223" spans="1:2" x14ac:dyDescent="0.35">
      <c r="A223" s="23">
        <v>769</v>
      </c>
      <c r="B223" s="20">
        <v>4</v>
      </c>
    </row>
    <row r="224" spans="1:2" x14ac:dyDescent="0.35">
      <c r="A224" s="23">
        <v>770</v>
      </c>
      <c r="B224" s="20">
        <v>1</v>
      </c>
    </row>
    <row r="225" spans="1:2" x14ac:dyDescent="0.35">
      <c r="A225" s="23">
        <v>772</v>
      </c>
      <c r="B225" s="20">
        <v>3</v>
      </c>
    </row>
    <row r="226" spans="1:2" x14ac:dyDescent="0.35">
      <c r="A226" s="23">
        <v>778</v>
      </c>
      <c r="B226" s="20">
        <v>3</v>
      </c>
    </row>
    <row r="227" spans="1:2" x14ac:dyDescent="0.35">
      <c r="A227" s="23">
        <v>789</v>
      </c>
      <c r="B227" s="20">
        <v>1</v>
      </c>
    </row>
    <row r="228" spans="1:2" x14ac:dyDescent="0.35">
      <c r="A228" s="23">
        <v>790</v>
      </c>
      <c r="B228" s="20">
        <v>2</v>
      </c>
    </row>
    <row r="229" spans="1:2" x14ac:dyDescent="0.35">
      <c r="A229" s="23">
        <v>791</v>
      </c>
      <c r="B229" s="20">
        <v>1</v>
      </c>
    </row>
    <row r="230" spans="1:2" x14ac:dyDescent="0.35">
      <c r="A230" s="23">
        <v>792</v>
      </c>
      <c r="B230" s="20">
        <v>1</v>
      </c>
    </row>
    <row r="231" spans="1:2" x14ac:dyDescent="0.35">
      <c r="A231" s="23">
        <v>793</v>
      </c>
      <c r="B231" s="20">
        <v>5</v>
      </c>
    </row>
    <row r="232" spans="1:2" x14ac:dyDescent="0.35">
      <c r="A232" s="23">
        <v>794</v>
      </c>
      <c r="B232" s="20">
        <v>2</v>
      </c>
    </row>
    <row r="233" spans="1:2" x14ac:dyDescent="0.35">
      <c r="A233" s="23">
        <v>798</v>
      </c>
      <c r="B233" s="20">
        <v>1</v>
      </c>
    </row>
    <row r="234" spans="1:2" x14ac:dyDescent="0.35">
      <c r="A234" s="23">
        <v>799</v>
      </c>
      <c r="B234" s="20">
        <v>2</v>
      </c>
    </row>
    <row r="235" spans="1:2" x14ac:dyDescent="0.35">
      <c r="A235" s="23">
        <v>800</v>
      </c>
      <c r="B235" s="20">
        <v>0</v>
      </c>
    </row>
    <row r="236" spans="1:2" x14ac:dyDescent="0.35">
      <c r="A236" s="23">
        <v>802</v>
      </c>
      <c r="B236" s="20">
        <v>0</v>
      </c>
    </row>
    <row r="237" spans="1:2" x14ac:dyDescent="0.35">
      <c r="A237" s="23">
        <v>803</v>
      </c>
      <c r="B237" s="20">
        <v>1</v>
      </c>
    </row>
    <row r="238" spans="1:2" x14ac:dyDescent="0.35">
      <c r="A238" s="23">
        <v>810</v>
      </c>
      <c r="B238" s="20">
        <v>0</v>
      </c>
    </row>
    <row r="239" spans="1:2" x14ac:dyDescent="0.35">
      <c r="A239" s="23">
        <v>814</v>
      </c>
      <c r="B239" s="20">
        <v>3</v>
      </c>
    </row>
    <row r="240" spans="1:2" x14ac:dyDescent="0.35">
      <c r="A240" s="23">
        <v>817</v>
      </c>
      <c r="B240" s="20">
        <v>3</v>
      </c>
    </row>
    <row r="241" spans="1:2" x14ac:dyDescent="0.35">
      <c r="A241" s="23">
        <v>820</v>
      </c>
      <c r="B241" s="20">
        <v>5</v>
      </c>
    </row>
    <row r="242" spans="1:2" x14ac:dyDescent="0.35">
      <c r="A242" s="23">
        <v>829</v>
      </c>
      <c r="B242" s="20">
        <v>1</v>
      </c>
    </row>
    <row r="243" spans="1:2" x14ac:dyDescent="0.35">
      <c r="A243" s="23">
        <v>830</v>
      </c>
      <c r="B243" s="20">
        <v>4</v>
      </c>
    </row>
    <row r="244" spans="1:2" x14ac:dyDescent="0.35">
      <c r="A244" s="23">
        <v>834</v>
      </c>
      <c r="B244" s="20">
        <v>0</v>
      </c>
    </row>
    <row r="245" spans="1:2" x14ac:dyDescent="0.35">
      <c r="A245" s="23">
        <v>837</v>
      </c>
      <c r="B245" s="20">
        <v>1</v>
      </c>
    </row>
    <row r="246" spans="1:2" x14ac:dyDescent="0.35">
      <c r="A246" s="23">
        <v>838</v>
      </c>
      <c r="B246" s="20">
        <v>5</v>
      </c>
    </row>
    <row r="247" spans="1:2" x14ac:dyDescent="0.35">
      <c r="A247" s="23">
        <v>839</v>
      </c>
      <c r="B247" s="20">
        <v>3</v>
      </c>
    </row>
    <row r="248" spans="1:2" x14ac:dyDescent="0.35">
      <c r="A248" s="23">
        <v>841</v>
      </c>
      <c r="B248" s="20">
        <v>4</v>
      </c>
    </row>
    <row r="249" spans="1:2" x14ac:dyDescent="0.35">
      <c r="A249" s="23">
        <v>845</v>
      </c>
      <c r="B249" s="20">
        <v>5</v>
      </c>
    </row>
    <row r="250" spans="1:2" x14ac:dyDescent="0.35">
      <c r="A250" s="23">
        <v>847</v>
      </c>
      <c r="B250" s="20">
        <v>3</v>
      </c>
    </row>
    <row r="251" spans="1:2" x14ac:dyDescent="0.35">
      <c r="A251" s="23">
        <v>850</v>
      </c>
      <c r="B251" s="20">
        <v>5</v>
      </c>
    </row>
    <row r="252" spans="1:2" x14ac:dyDescent="0.35">
      <c r="A252" s="23">
        <v>855</v>
      </c>
      <c r="B252" s="20">
        <v>1</v>
      </c>
    </row>
    <row r="253" spans="1:2" x14ac:dyDescent="0.35">
      <c r="A253" s="23">
        <v>868</v>
      </c>
      <c r="B253" s="20">
        <v>4</v>
      </c>
    </row>
    <row r="254" spans="1:2" x14ac:dyDescent="0.35">
      <c r="A254" s="23">
        <v>872</v>
      </c>
      <c r="B254" s="20">
        <v>3</v>
      </c>
    </row>
    <row r="255" spans="1:2" x14ac:dyDescent="0.35">
      <c r="A255" s="23">
        <v>873</v>
      </c>
      <c r="B255" s="20">
        <v>2</v>
      </c>
    </row>
    <row r="256" spans="1:2" x14ac:dyDescent="0.35">
      <c r="A256" s="23">
        <v>874</v>
      </c>
      <c r="B256" s="20">
        <v>6</v>
      </c>
    </row>
    <row r="257" spans="1:2" x14ac:dyDescent="0.35">
      <c r="A257" s="23">
        <v>875</v>
      </c>
      <c r="B257" s="20">
        <v>4</v>
      </c>
    </row>
    <row r="258" spans="1:2" x14ac:dyDescent="0.35">
      <c r="A258" s="23">
        <v>876</v>
      </c>
      <c r="B258" s="20">
        <v>1</v>
      </c>
    </row>
    <row r="259" spans="1:2" x14ac:dyDescent="0.35">
      <c r="A259" s="23">
        <v>877</v>
      </c>
      <c r="B259" s="20">
        <v>8</v>
      </c>
    </row>
    <row r="260" spans="1:2" x14ac:dyDescent="0.35">
      <c r="A260" s="23">
        <v>882</v>
      </c>
      <c r="B260" s="20">
        <v>1</v>
      </c>
    </row>
    <row r="261" spans="1:2" x14ac:dyDescent="0.35">
      <c r="A261" s="23">
        <v>887</v>
      </c>
      <c r="B261" s="20">
        <v>4</v>
      </c>
    </row>
    <row r="262" spans="1:2" x14ac:dyDescent="0.35">
      <c r="A262" s="23">
        <v>893</v>
      </c>
      <c r="B262" s="20">
        <v>2</v>
      </c>
    </row>
    <row r="263" spans="1:2" x14ac:dyDescent="0.35">
      <c r="A263" s="23">
        <v>899</v>
      </c>
      <c r="B263" s="20">
        <v>3</v>
      </c>
    </row>
    <row r="264" spans="1:2" x14ac:dyDescent="0.35">
      <c r="A264" s="23">
        <v>913</v>
      </c>
      <c r="B264" s="20">
        <v>2</v>
      </c>
    </row>
    <row r="265" spans="1:2" x14ac:dyDescent="0.35">
      <c r="A265" s="23">
        <v>914</v>
      </c>
      <c r="B265" s="20">
        <v>2</v>
      </c>
    </row>
    <row r="266" spans="1:2" x14ac:dyDescent="0.35">
      <c r="A266" s="23">
        <v>915</v>
      </c>
      <c r="B266" s="20">
        <v>1</v>
      </c>
    </row>
    <row r="267" spans="1:2" x14ac:dyDescent="0.35">
      <c r="A267" s="23">
        <v>917</v>
      </c>
      <c r="B267" s="20">
        <v>3</v>
      </c>
    </row>
    <row r="268" spans="1:2" x14ac:dyDescent="0.35">
      <c r="A268" s="23">
        <v>918</v>
      </c>
      <c r="B268" s="20">
        <v>0</v>
      </c>
    </row>
    <row r="269" spans="1:2" x14ac:dyDescent="0.35">
      <c r="A269" s="23">
        <v>920</v>
      </c>
      <c r="B269" s="20">
        <v>2</v>
      </c>
    </row>
    <row r="270" spans="1:2" x14ac:dyDescent="0.35">
      <c r="A270" s="23">
        <v>921</v>
      </c>
      <c r="B270" s="20">
        <v>0</v>
      </c>
    </row>
    <row r="271" spans="1:2" x14ac:dyDescent="0.35">
      <c r="A271" s="23">
        <v>923</v>
      </c>
      <c r="B271" s="20">
        <v>4</v>
      </c>
    </row>
    <row r="272" spans="1:2" x14ac:dyDescent="0.35">
      <c r="A272" s="23">
        <v>924</v>
      </c>
      <c r="B272" s="20">
        <v>1</v>
      </c>
    </row>
    <row r="273" spans="1:2" x14ac:dyDescent="0.35">
      <c r="A273" s="23">
        <v>931</v>
      </c>
      <c r="B273" s="20">
        <v>5</v>
      </c>
    </row>
    <row r="274" spans="1:2" x14ac:dyDescent="0.35">
      <c r="A274" s="23">
        <v>934</v>
      </c>
      <c r="B274" s="20">
        <v>3</v>
      </c>
    </row>
    <row r="275" spans="1:2" x14ac:dyDescent="0.35">
      <c r="A275" s="23">
        <v>938</v>
      </c>
      <c r="B275" s="20">
        <v>2</v>
      </c>
    </row>
    <row r="276" spans="1:2" x14ac:dyDescent="0.35">
      <c r="A276" s="23">
        <v>939</v>
      </c>
      <c r="B276" s="20">
        <v>1</v>
      </c>
    </row>
    <row r="277" spans="1:2" x14ac:dyDescent="0.35">
      <c r="A277" s="23">
        <v>940</v>
      </c>
      <c r="B277" s="20">
        <v>3</v>
      </c>
    </row>
    <row r="278" spans="1:2" x14ac:dyDescent="0.35">
      <c r="A278" s="23">
        <v>942</v>
      </c>
      <c r="B278" s="20">
        <v>1</v>
      </c>
    </row>
    <row r="279" spans="1:2" x14ac:dyDescent="0.35">
      <c r="A279" s="23">
        <v>943</v>
      </c>
      <c r="B279" s="20">
        <v>6</v>
      </c>
    </row>
    <row r="280" spans="1:2" x14ac:dyDescent="0.35">
      <c r="A280" s="23">
        <v>946</v>
      </c>
      <c r="B280" s="20">
        <v>7</v>
      </c>
    </row>
    <row r="281" spans="1:2" x14ac:dyDescent="0.35">
      <c r="A281" s="23">
        <v>950</v>
      </c>
      <c r="B281" s="20">
        <v>3</v>
      </c>
    </row>
    <row r="282" spans="1:2" x14ac:dyDescent="0.35">
      <c r="A282" s="23">
        <v>955</v>
      </c>
      <c r="B282" s="20">
        <v>4</v>
      </c>
    </row>
    <row r="283" spans="1:2" x14ac:dyDescent="0.35">
      <c r="A283" s="23">
        <v>958</v>
      </c>
      <c r="B283" s="20">
        <v>2</v>
      </c>
    </row>
    <row r="284" spans="1:2" x14ac:dyDescent="0.35">
      <c r="A284" s="23">
        <v>959</v>
      </c>
      <c r="B284" s="20">
        <v>0</v>
      </c>
    </row>
    <row r="285" spans="1:2" x14ac:dyDescent="0.35">
      <c r="A285" s="23">
        <v>961</v>
      </c>
      <c r="B285" s="20">
        <v>5</v>
      </c>
    </row>
    <row r="286" spans="1:2" x14ac:dyDescent="0.35">
      <c r="A286" s="23">
        <v>975</v>
      </c>
      <c r="B286" s="20">
        <v>1</v>
      </c>
    </row>
    <row r="287" spans="1:2" x14ac:dyDescent="0.35">
      <c r="A287" s="23">
        <v>980</v>
      </c>
      <c r="B287" s="20">
        <v>0</v>
      </c>
    </row>
    <row r="288" spans="1:2" x14ac:dyDescent="0.35">
      <c r="A288" s="23">
        <v>981</v>
      </c>
      <c r="B288" s="20">
        <v>0</v>
      </c>
    </row>
    <row r="289" spans="1:2" x14ac:dyDescent="0.35">
      <c r="A289" s="23">
        <v>985</v>
      </c>
      <c r="B289" s="20">
        <v>0</v>
      </c>
    </row>
    <row r="290" spans="1:2" x14ac:dyDescent="0.35">
      <c r="A290" s="23">
        <v>987</v>
      </c>
      <c r="B290" s="20">
        <v>2</v>
      </c>
    </row>
    <row r="291" spans="1:2" x14ac:dyDescent="0.35">
      <c r="A291" s="23">
        <v>997</v>
      </c>
      <c r="B291" s="20">
        <v>8</v>
      </c>
    </row>
    <row r="292" spans="1:2" x14ac:dyDescent="0.35">
      <c r="A292" s="23">
        <v>1000</v>
      </c>
      <c r="B292" s="20">
        <v>1</v>
      </c>
    </row>
    <row r="293" spans="1:2" x14ac:dyDescent="0.35">
      <c r="A293" s="23">
        <v>1003</v>
      </c>
      <c r="B293" s="20">
        <v>2</v>
      </c>
    </row>
    <row r="294" spans="1:2" x14ac:dyDescent="0.35">
      <c r="A294" s="23">
        <v>1005</v>
      </c>
      <c r="B294" s="20">
        <v>1</v>
      </c>
    </row>
    <row r="295" spans="1:2" x14ac:dyDescent="0.35">
      <c r="A295" s="23">
        <v>1006</v>
      </c>
      <c r="B295" s="20">
        <v>2</v>
      </c>
    </row>
    <row r="296" spans="1:2" x14ac:dyDescent="0.35">
      <c r="A296" s="23">
        <v>1015</v>
      </c>
      <c r="B296" s="20">
        <v>4</v>
      </c>
    </row>
    <row r="297" spans="1:2" x14ac:dyDescent="0.35">
      <c r="A297" s="23">
        <v>1021</v>
      </c>
      <c r="B297" s="20">
        <v>4</v>
      </c>
    </row>
    <row r="298" spans="1:2" x14ac:dyDescent="0.35">
      <c r="A298" s="23">
        <v>1025</v>
      </c>
      <c r="B298" s="20">
        <v>5</v>
      </c>
    </row>
    <row r="299" spans="1:2" x14ac:dyDescent="0.35">
      <c r="A299" s="23">
        <v>1029</v>
      </c>
      <c r="B299" s="20">
        <v>0</v>
      </c>
    </row>
    <row r="300" spans="1:2" x14ac:dyDescent="0.35">
      <c r="A300" s="23">
        <v>1030</v>
      </c>
      <c r="B300" s="20">
        <v>1</v>
      </c>
    </row>
    <row r="301" spans="1:2" x14ac:dyDescent="0.35">
      <c r="A301" s="23">
        <v>1032</v>
      </c>
      <c r="B301" s="20">
        <v>2</v>
      </c>
    </row>
    <row r="302" spans="1:2" x14ac:dyDescent="0.35">
      <c r="A302" s="23">
        <v>1040</v>
      </c>
      <c r="B302" s="20">
        <v>3</v>
      </c>
    </row>
    <row r="303" spans="1:2" x14ac:dyDescent="0.35">
      <c r="A303" s="23">
        <v>1045</v>
      </c>
      <c r="B303" s="20">
        <v>5</v>
      </c>
    </row>
    <row r="304" spans="1:2" x14ac:dyDescent="0.35">
      <c r="A304" s="23">
        <v>1046</v>
      </c>
      <c r="B304" s="20">
        <v>7</v>
      </c>
    </row>
    <row r="305" spans="1:2" x14ac:dyDescent="0.35">
      <c r="A305" s="23">
        <v>1048</v>
      </c>
      <c r="B305" s="20">
        <v>2</v>
      </c>
    </row>
    <row r="306" spans="1:2" x14ac:dyDescent="0.35">
      <c r="A306" s="23">
        <v>1051</v>
      </c>
      <c r="B306" s="20">
        <v>5</v>
      </c>
    </row>
    <row r="307" spans="1:2" x14ac:dyDescent="0.35">
      <c r="A307" s="23">
        <v>1052</v>
      </c>
      <c r="B307" s="20">
        <v>3</v>
      </c>
    </row>
    <row r="308" spans="1:2" x14ac:dyDescent="0.35">
      <c r="A308" s="23">
        <v>1053</v>
      </c>
      <c r="B308" s="20">
        <v>1</v>
      </c>
    </row>
    <row r="309" spans="1:2" x14ac:dyDescent="0.35">
      <c r="A309" s="23">
        <v>1057</v>
      </c>
      <c r="B309" s="20">
        <v>4</v>
      </c>
    </row>
    <row r="310" spans="1:2" x14ac:dyDescent="0.35">
      <c r="A310" s="23">
        <v>1060</v>
      </c>
      <c r="B310" s="20">
        <v>4</v>
      </c>
    </row>
    <row r="311" spans="1:2" x14ac:dyDescent="0.35">
      <c r="A311" s="23">
        <v>1064</v>
      </c>
      <c r="B311" s="20">
        <v>2</v>
      </c>
    </row>
    <row r="312" spans="1:2" x14ac:dyDescent="0.35">
      <c r="A312" s="23">
        <v>1066</v>
      </c>
      <c r="B312" s="20">
        <v>4</v>
      </c>
    </row>
    <row r="313" spans="1:2" x14ac:dyDescent="0.35">
      <c r="A313" s="23">
        <v>1070</v>
      </c>
      <c r="B313" s="20">
        <v>4</v>
      </c>
    </row>
    <row r="314" spans="1:2" x14ac:dyDescent="0.35">
      <c r="A314" s="23">
        <v>1075</v>
      </c>
      <c r="B314" s="20">
        <v>4</v>
      </c>
    </row>
    <row r="315" spans="1:2" x14ac:dyDescent="0.35">
      <c r="A315" s="23">
        <v>1083</v>
      </c>
      <c r="B315" s="20">
        <v>2</v>
      </c>
    </row>
    <row r="316" spans="1:2" x14ac:dyDescent="0.35">
      <c r="A316" s="23">
        <v>1084</v>
      </c>
      <c r="B316" s="20">
        <v>2</v>
      </c>
    </row>
    <row r="317" spans="1:2" x14ac:dyDescent="0.35">
      <c r="A317" s="23">
        <v>1089</v>
      </c>
      <c r="B317" s="20">
        <v>0</v>
      </c>
    </row>
    <row r="318" spans="1:2" x14ac:dyDescent="0.35">
      <c r="A318" s="23">
        <v>1090</v>
      </c>
      <c r="B318" s="21">
        <v>6</v>
      </c>
    </row>
  </sheetData>
  <mergeCells count="3">
    <mergeCell ref="E1:G1"/>
    <mergeCell ref="E15:F15"/>
    <mergeCell ref="E28:F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1093"/>
  <sheetViews>
    <sheetView workbookViewId="0"/>
  </sheetViews>
  <sheetFormatPr defaultColWidth="14.453125" defaultRowHeight="15" customHeight="1" x14ac:dyDescent="0.35"/>
  <sheetData>
    <row r="1" spans="1:14" x14ac:dyDescent="0.35">
      <c r="A1" s="27" t="s">
        <v>16</v>
      </c>
      <c r="B1" s="28" t="s">
        <v>34</v>
      </c>
      <c r="C1" s="28" t="s">
        <v>35</v>
      </c>
      <c r="D1" s="28" t="s">
        <v>36</v>
      </c>
      <c r="E1" s="29" t="s">
        <v>37</v>
      </c>
      <c r="G1" s="46" t="s">
        <v>62</v>
      </c>
      <c r="H1" s="28" t="s">
        <v>63</v>
      </c>
      <c r="I1" s="28" t="s">
        <v>65</v>
      </c>
      <c r="J1" s="28" t="s">
        <v>64</v>
      </c>
      <c r="K1" s="28" t="s">
        <v>66</v>
      </c>
      <c r="L1" s="28" t="s">
        <v>69</v>
      </c>
      <c r="M1" s="28" t="s">
        <v>70</v>
      </c>
      <c r="N1" s="29" t="s">
        <v>71</v>
      </c>
    </row>
    <row r="2" spans="1:14" x14ac:dyDescent="0.35">
      <c r="A2" s="30">
        <v>1</v>
      </c>
      <c r="B2" s="31">
        <v>5</v>
      </c>
      <c r="C2" s="32">
        <f>(IO!$B$4+IO!$B$8)</f>
        <v>102</v>
      </c>
      <c r="D2" s="32">
        <f>IF(B2&gt;IO!$B$8,0,IO!$B$8-Model!B2)</f>
        <v>0</v>
      </c>
      <c r="E2" s="33">
        <f>IO!$B$5*C2-IO!$B$6*D2</f>
        <v>4080</v>
      </c>
      <c r="G2" s="47">
        <v>1</v>
      </c>
      <c r="H2" s="38" t="s">
        <v>7</v>
      </c>
      <c r="I2" s="38">
        <v>5</v>
      </c>
      <c r="J2" s="39">
        <v>0.59763419415387509</v>
      </c>
      <c r="K2" s="40">
        <f>ROUND(NORMINV(J2,IO!$B$10,IO!$B$11),0)</f>
        <v>104</v>
      </c>
      <c r="L2" s="40">
        <f>MIN(K2,IO!$B$4+IO!$B$8)</f>
        <v>102</v>
      </c>
      <c r="M2" s="40">
        <f>IF(L2-I2&gt;IO!$B$4,Model!L2-Model!I2-IO!$B$4,0)</f>
        <v>0</v>
      </c>
      <c r="N2" s="41">
        <f>IO!$B$5*Model!L2-IO!$B$6*Model!M2</f>
        <v>4080</v>
      </c>
    </row>
    <row r="3" spans="1:14" x14ac:dyDescent="0.35">
      <c r="A3" s="30">
        <v>2</v>
      </c>
      <c r="B3" s="31">
        <v>4</v>
      </c>
      <c r="C3" s="32">
        <f>(IO!$B$4+IO!$B$8)</f>
        <v>102</v>
      </c>
      <c r="D3" s="32">
        <f>IF(B3&gt;IO!$B$8,0,IO!$B$8-Model!B3)</f>
        <v>0</v>
      </c>
      <c r="E3" s="33">
        <f>IO!$B$5*C3-IO!$B$6*D3</f>
        <v>4080</v>
      </c>
      <c r="G3" s="47">
        <v>2</v>
      </c>
      <c r="H3" s="38" t="s">
        <v>8</v>
      </c>
      <c r="I3" s="38">
        <v>4</v>
      </c>
      <c r="J3" s="39">
        <v>0.35297749365424558</v>
      </c>
      <c r="K3" s="40">
        <f>ROUND(NORMINV(J3,IO!$B$10,IO!$B$11),0)</f>
        <v>101</v>
      </c>
      <c r="L3" s="40">
        <f>MIN(K3,IO!$B$4+IO!$B$8)</f>
        <v>101</v>
      </c>
      <c r="M3" s="40">
        <f>IF(L3-I3&gt;IO!$B$4,Model!L3-Model!I3-IO!$B$4,0)</f>
        <v>0</v>
      </c>
      <c r="N3" s="41">
        <f>IO!$B$5*Model!L3-IO!$B$6*Model!M3</f>
        <v>4040</v>
      </c>
    </row>
    <row r="4" spans="1:14" x14ac:dyDescent="0.35">
      <c r="A4" s="30">
        <v>3</v>
      </c>
      <c r="B4" s="31">
        <v>0</v>
      </c>
      <c r="C4" s="32">
        <f>(IO!$B$4+IO!$B$8)</f>
        <v>102</v>
      </c>
      <c r="D4" s="32">
        <f>IF(B4&gt;IO!$B$8,0,IO!$B$8-Model!B4)</f>
        <v>2</v>
      </c>
      <c r="E4" s="33">
        <f>IO!$B$5*C4-IO!$B$6*D4</f>
        <v>3880</v>
      </c>
      <c r="G4" s="47">
        <v>3</v>
      </c>
      <c r="H4" s="38" t="s">
        <v>9</v>
      </c>
      <c r="I4" s="38">
        <v>0</v>
      </c>
      <c r="J4" s="39">
        <v>0.75898599949978773</v>
      </c>
      <c r="K4" s="40">
        <f>ROUND(NORMINV(J4,IO!$B$10,IO!$B$11),0)</f>
        <v>107</v>
      </c>
      <c r="L4" s="40">
        <f>MIN(K4,IO!$B$4+IO!$B$8)</f>
        <v>102</v>
      </c>
      <c r="M4" s="40">
        <f>IF(L4-I4&gt;IO!$B$4,Model!L4-Model!I4-IO!$B$4,0)</f>
        <v>2</v>
      </c>
      <c r="N4" s="41">
        <f>IO!$B$5*Model!L4-IO!$B$6*Model!M4</f>
        <v>3880</v>
      </c>
    </row>
    <row r="5" spans="1:14" x14ac:dyDescent="0.35">
      <c r="A5" s="30">
        <v>4</v>
      </c>
      <c r="B5" s="31">
        <v>3</v>
      </c>
      <c r="C5" s="32">
        <f>(IO!$B$4+IO!$B$8)</f>
        <v>102</v>
      </c>
      <c r="D5" s="32">
        <f>IF(B5&gt;IO!$B$8,0,IO!$B$8-Model!B5)</f>
        <v>0</v>
      </c>
      <c r="E5" s="33">
        <f>IO!$B$5*C5-IO!$B$6*D5</f>
        <v>4080</v>
      </c>
      <c r="G5" s="47">
        <v>4</v>
      </c>
      <c r="H5" s="38" t="s">
        <v>7</v>
      </c>
      <c r="I5" s="38">
        <v>3</v>
      </c>
      <c r="J5" s="39">
        <v>0.57294662737470048</v>
      </c>
      <c r="K5" s="40">
        <f>ROUND(NORMINV(J5,IO!$B$10,IO!$B$11),0)</f>
        <v>104</v>
      </c>
      <c r="L5" s="40">
        <f>MIN(K5,IO!$B$4+IO!$B$8)</f>
        <v>102</v>
      </c>
      <c r="M5" s="40">
        <f>IF(L5-I5&gt;IO!$B$4,Model!L5-Model!I5-IO!$B$4,0)</f>
        <v>0</v>
      </c>
      <c r="N5" s="41">
        <f>IO!$B$5*Model!L5-IO!$B$6*Model!M5</f>
        <v>4080</v>
      </c>
    </row>
    <row r="6" spans="1:14" x14ac:dyDescent="0.35">
      <c r="A6" s="30">
        <v>5</v>
      </c>
      <c r="B6" s="31">
        <v>2</v>
      </c>
      <c r="C6" s="32">
        <f>(IO!$B$4+IO!$B$8)</f>
        <v>102</v>
      </c>
      <c r="D6" s="32">
        <f>IF(B6&gt;IO!$B$8,0,IO!$B$8-Model!B6)</f>
        <v>0</v>
      </c>
      <c r="E6" s="33">
        <f>IO!$B$5*C6-IO!$B$6*D6</f>
        <v>4080</v>
      </c>
      <c r="G6" s="47">
        <v>5</v>
      </c>
      <c r="H6" s="38" t="s">
        <v>8</v>
      </c>
      <c r="I6" s="38">
        <v>2</v>
      </c>
      <c r="J6" s="39">
        <v>0.74099491117785909</v>
      </c>
      <c r="K6" s="40">
        <f>ROUND(NORMINV(J6,IO!$B$10,IO!$B$11),0)</f>
        <v>106</v>
      </c>
      <c r="L6" s="40">
        <f>MIN(K6,IO!$B$4+IO!$B$8)</f>
        <v>102</v>
      </c>
      <c r="M6" s="40">
        <f>IF(L6-I6&gt;IO!$B$4,Model!L6-Model!I6-IO!$B$4,0)</f>
        <v>0</v>
      </c>
      <c r="N6" s="41">
        <f>IO!$B$5*Model!L6-IO!$B$6*Model!M6</f>
        <v>4080</v>
      </c>
    </row>
    <row r="7" spans="1:14" x14ac:dyDescent="0.35">
      <c r="A7" s="30">
        <v>6</v>
      </c>
      <c r="B7" s="31">
        <v>2</v>
      </c>
      <c r="C7" s="32">
        <f>(IO!$B$4+IO!$B$8)</f>
        <v>102</v>
      </c>
      <c r="D7" s="32">
        <f>IF(B7&gt;IO!$B$8,0,IO!$B$8-Model!B7)</f>
        <v>0</v>
      </c>
      <c r="E7" s="33">
        <f>IO!$B$5*C7-IO!$B$6*D7</f>
        <v>4080</v>
      </c>
      <c r="G7" s="47">
        <v>6</v>
      </c>
      <c r="H7" s="38" t="s">
        <v>9</v>
      </c>
      <c r="I7" s="38">
        <v>2</v>
      </c>
      <c r="J7" s="39">
        <v>0.33283065671120693</v>
      </c>
      <c r="K7" s="40">
        <f>ROUND(NORMINV(J7,IO!$B$10,IO!$B$11),0)</f>
        <v>101</v>
      </c>
      <c r="L7" s="40">
        <f>MIN(K7,IO!$B$4+IO!$B$8)</f>
        <v>101</v>
      </c>
      <c r="M7" s="40">
        <f>IF(L7-I7&gt;IO!$B$4,Model!L7-Model!I7-IO!$B$4,0)</f>
        <v>0</v>
      </c>
      <c r="N7" s="41">
        <f>IO!$B$5*Model!L7-IO!$B$6*Model!M7</f>
        <v>4040</v>
      </c>
    </row>
    <row r="8" spans="1:14" x14ac:dyDescent="0.35">
      <c r="A8" s="30">
        <v>7</v>
      </c>
      <c r="B8" s="31">
        <v>7</v>
      </c>
      <c r="C8" s="32">
        <f>(IO!$B$4+IO!$B$8)</f>
        <v>102</v>
      </c>
      <c r="D8" s="32">
        <f>IF(B8&gt;IO!$B$8,0,IO!$B$8-Model!B8)</f>
        <v>0</v>
      </c>
      <c r="E8" s="33">
        <f>IO!$B$5*C8-IO!$B$6*D8</f>
        <v>4080</v>
      </c>
      <c r="G8" s="47">
        <v>7</v>
      </c>
      <c r="H8" s="38" t="s">
        <v>7</v>
      </c>
      <c r="I8" s="38">
        <v>7</v>
      </c>
      <c r="J8" s="39">
        <v>0.72787882604930365</v>
      </c>
      <c r="K8" s="40">
        <f>ROUND(NORMINV(J8,IO!$B$10,IO!$B$11),0)</f>
        <v>106</v>
      </c>
      <c r="L8" s="40">
        <f>MIN(K8,IO!$B$4+IO!$B$8)</f>
        <v>102</v>
      </c>
      <c r="M8" s="40">
        <f>IF(L8-I8&gt;IO!$B$4,Model!L8-Model!I8-IO!$B$4,0)</f>
        <v>0</v>
      </c>
      <c r="N8" s="41">
        <f>IO!$B$5*Model!L8-IO!$B$6*Model!M8</f>
        <v>4080</v>
      </c>
    </row>
    <row r="9" spans="1:14" x14ac:dyDescent="0.35">
      <c r="A9" s="30">
        <v>8</v>
      </c>
      <c r="B9" s="31">
        <v>3</v>
      </c>
      <c r="C9" s="32">
        <f>(IO!$B$4+IO!$B$8)</f>
        <v>102</v>
      </c>
      <c r="D9" s="32">
        <f>IF(B9&gt;IO!$B$8,0,IO!$B$8-Model!B9)</f>
        <v>0</v>
      </c>
      <c r="E9" s="33">
        <f>IO!$B$5*C9-IO!$B$6*D9</f>
        <v>4080</v>
      </c>
      <c r="G9" s="47">
        <v>8</v>
      </c>
      <c r="H9" s="38" t="s">
        <v>8</v>
      </c>
      <c r="I9" s="38">
        <v>3</v>
      </c>
      <c r="J9" s="39">
        <v>0.7152126985462065</v>
      </c>
      <c r="K9" s="40">
        <f>ROUND(NORMINV(J9,IO!$B$10,IO!$B$11),0)</f>
        <v>106</v>
      </c>
      <c r="L9" s="40">
        <f>MIN(K9,IO!$B$4+IO!$B$8)</f>
        <v>102</v>
      </c>
      <c r="M9" s="40">
        <f>IF(L9-I9&gt;IO!$B$4,Model!L9-Model!I9-IO!$B$4,0)</f>
        <v>0</v>
      </c>
      <c r="N9" s="41">
        <f>IO!$B$5*Model!L9-IO!$B$6*Model!M9</f>
        <v>4080</v>
      </c>
    </row>
    <row r="10" spans="1:14" x14ac:dyDescent="0.35">
      <c r="A10" s="30">
        <v>9</v>
      </c>
      <c r="B10" s="31">
        <v>1</v>
      </c>
      <c r="C10" s="32">
        <f>(IO!$B$4+IO!$B$8)</f>
        <v>102</v>
      </c>
      <c r="D10" s="32">
        <f>IF(B10&gt;IO!$B$8,0,IO!$B$8-Model!B10)</f>
        <v>1</v>
      </c>
      <c r="E10" s="33">
        <f>IO!$B$5*C10-IO!$B$6*D10</f>
        <v>3980</v>
      </c>
      <c r="G10" s="47">
        <v>9</v>
      </c>
      <c r="H10" s="38" t="s">
        <v>9</v>
      </c>
      <c r="I10" s="38">
        <v>1</v>
      </c>
      <c r="J10" s="39">
        <v>0.38334238208567106</v>
      </c>
      <c r="K10" s="40">
        <f>ROUND(NORMINV(J10,IO!$B$10,IO!$B$11),0)</f>
        <v>102</v>
      </c>
      <c r="L10" s="40">
        <f>MIN(K10,IO!$B$4+IO!$B$8)</f>
        <v>102</v>
      </c>
      <c r="M10" s="40">
        <f>IF(L10-I10&gt;IO!$B$4,Model!L10-Model!I10-IO!$B$4,0)</f>
        <v>1</v>
      </c>
      <c r="N10" s="41">
        <f>IO!$B$5*Model!L10-IO!$B$6*Model!M10</f>
        <v>3980</v>
      </c>
    </row>
    <row r="11" spans="1:14" x14ac:dyDescent="0.35">
      <c r="A11" s="30">
        <v>10</v>
      </c>
      <c r="B11" s="31">
        <v>2</v>
      </c>
      <c r="C11" s="32">
        <f>(IO!$B$4+IO!$B$8)</f>
        <v>102</v>
      </c>
      <c r="D11" s="32">
        <f>IF(B11&gt;IO!$B$8,0,IO!$B$8-Model!B11)</f>
        <v>0</v>
      </c>
      <c r="E11" s="33">
        <f>IO!$B$5*C11-IO!$B$6*D11</f>
        <v>4080</v>
      </c>
      <c r="G11" s="47">
        <v>10</v>
      </c>
      <c r="H11" s="38" t="s">
        <v>7</v>
      </c>
      <c r="I11" s="38">
        <v>2</v>
      </c>
      <c r="J11" s="39">
        <v>1.0316865423993793E-3</v>
      </c>
      <c r="K11" s="40">
        <f>ROUND(NORMINV(J11,IO!$B$10,IO!$B$11),0)</f>
        <v>88</v>
      </c>
      <c r="L11" s="40">
        <f>MIN(K11,IO!$B$4+IO!$B$8)</f>
        <v>88</v>
      </c>
      <c r="M11" s="40">
        <f>IF(L11-I11&gt;IO!$B$4,Model!L11-Model!I11-IO!$B$4,0)</f>
        <v>0</v>
      </c>
      <c r="N11" s="41">
        <f>IO!$B$5*Model!L11-IO!$B$6*Model!M11</f>
        <v>3520</v>
      </c>
    </row>
    <row r="12" spans="1:14" x14ac:dyDescent="0.35">
      <c r="A12" s="30">
        <v>11</v>
      </c>
      <c r="B12" s="31">
        <v>4</v>
      </c>
      <c r="C12" s="32">
        <f>(IO!$B$4+IO!$B$8)</f>
        <v>102</v>
      </c>
      <c r="D12" s="32">
        <f>IF(B12&gt;IO!$B$8,0,IO!$B$8-Model!B12)</f>
        <v>0</v>
      </c>
      <c r="E12" s="33">
        <f>IO!$B$5*C12-IO!$B$6*D12</f>
        <v>4080</v>
      </c>
      <c r="G12" s="47">
        <v>11</v>
      </c>
      <c r="H12" s="38" t="s">
        <v>8</v>
      </c>
      <c r="I12" s="38">
        <v>4</v>
      </c>
      <c r="J12" s="39">
        <v>0.6745005657759654</v>
      </c>
      <c r="K12" s="40">
        <f>ROUND(NORMINV(J12,IO!$B$10,IO!$B$11),0)</f>
        <v>105</v>
      </c>
      <c r="L12" s="40">
        <f>MIN(K12,IO!$B$4+IO!$B$8)</f>
        <v>102</v>
      </c>
      <c r="M12" s="40">
        <f>IF(L12-I12&gt;IO!$B$4,Model!L12-Model!I12-IO!$B$4,0)</f>
        <v>0</v>
      </c>
      <c r="N12" s="41">
        <f>IO!$B$5*Model!L12-IO!$B$6*Model!M12</f>
        <v>4080</v>
      </c>
    </row>
    <row r="13" spans="1:14" x14ac:dyDescent="0.35">
      <c r="A13" s="30">
        <v>12</v>
      </c>
      <c r="B13" s="31">
        <v>0</v>
      </c>
      <c r="C13" s="32">
        <f>(IO!$B$4+IO!$B$8)</f>
        <v>102</v>
      </c>
      <c r="D13" s="32">
        <f>IF(B13&gt;IO!$B$8,0,IO!$B$8-Model!B13)</f>
        <v>2</v>
      </c>
      <c r="E13" s="33">
        <f>IO!$B$5*C13-IO!$B$6*D13</f>
        <v>3880</v>
      </c>
      <c r="G13" s="47">
        <v>12</v>
      </c>
      <c r="H13" s="38" t="s">
        <v>9</v>
      </c>
      <c r="I13" s="38">
        <v>0</v>
      </c>
      <c r="J13" s="39">
        <v>0.34528198615626149</v>
      </c>
      <c r="K13" s="40">
        <f>ROUND(NORMINV(J13,IO!$B$10,IO!$B$11),0)</f>
        <v>101</v>
      </c>
      <c r="L13" s="40">
        <f>MIN(K13,IO!$B$4+IO!$B$8)</f>
        <v>101</v>
      </c>
      <c r="M13" s="40">
        <f>IF(L13-I13&gt;IO!$B$4,Model!L13-Model!I13-IO!$B$4,0)</f>
        <v>1</v>
      </c>
      <c r="N13" s="41">
        <f>IO!$B$5*Model!L13-IO!$B$6*Model!M13</f>
        <v>3940</v>
      </c>
    </row>
    <row r="14" spans="1:14" x14ac:dyDescent="0.35">
      <c r="A14" s="30">
        <v>13</v>
      </c>
      <c r="B14" s="31">
        <v>4</v>
      </c>
      <c r="C14" s="32">
        <f>(IO!$B$4+IO!$B$8)</f>
        <v>102</v>
      </c>
      <c r="D14" s="32">
        <f>IF(B14&gt;IO!$B$8,0,IO!$B$8-Model!B14)</f>
        <v>0</v>
      </c>
      <c r="E14" s="33">
        <f>IO!$B$5*C14-IO!$B$6*D14</f>
        <v>4080</v>
      </c>
      <c r="G14" s="47">
        <v>13</v>
      </c>
      <c r="H14" s="38" t="s">
        <v>7</v>
      </c>
      <c r="I14" s="38">
        <v>4</v>
      </c>
      <c r="J14" s="39">
        <v>0.15289774291016567</v>
      </c>
      <c r="K14" s="40">
        <f>ROUND(NORMINV(J14,IO!$B$10,IO!$B$11),0)</f>
        <v>98</v>
      </c>
      <c r="L14" s="40">
        <f>MIN(K14,IO!$B$4+IO!$B$8)</f>
        <v>98</v>
      </c>
      <c r="M14" s="40">
        <f>IF(L14-I14&gt;IO!$B$4,Model!L14-Model!I14-IO!$B$4,0)</f>
        <v>0</v>
      </c>
      <c r="N14" s="41">
        <f>IO!$B$5*Model!L14-IO!$B$6*Model!M14</f>
        <v>3920</v>
      </c>
    </row>
    <row r="15" spans="1:14" x14ac:dyDescent="0.35">
      <c r="A15" s="30">
        <v>14</v>
      </c>
      <c r="B15" s="31">
        <v>2</v>
      </c>
      <c r="C15" s="32">
        <f>(IO!$B$4+IO!$B$8)</f>
        <v>102</v>
      </c>
      <c r="D15" s="32">
        <f>IF(B15&gt;IO!$B$8,0,IO!$B$8-Model!B15)</f>
        <v>0</v>
      </c>
      <c r="E15" s="33">
        <f>IO!$B$5*C15-IO!$B$6*D15</f>
        <v>4080</v>
      </c>
      <c r="G15" s="47">
        <v>14</v>
      </c>
      <c r="H15" s="38" t="s">
        <v>8</v>
      </c>
      <c r="I15" s="38">
        <v>2</v>
      </c>
      <c r="J15" s="39">
        <v>0.37472628623656679</v>
      </c>
      <c r="K15" s="40">
        <f>ROUND(NORMINV(J15,IO!$B$10,IO!$B$11),0)</f>
        <v>101</v>
      </c>
      <c r="L15" s="40">
        <f>MIN(K15,IO!$B$4+IO!$B$8)</f>
        <v>101</v>
      </c>
      <c r="M15" s="40">
        <f>IF(L15-I15&gt;IO!$B$4,Model!L15-Model!I15-IO!$B$4,0)</f>
        <v>0</v>
      </c>
      <c r="N15" s="41">
        <f>IO!$B$5*Model!L15-IO!$B$6*Model!M15</f>
        <v>4040</v>
      </c>
    </row>
    <row r="16" spans="1:14" x14ac:dyDescent="0.35">
      <c r="A16" s="30">
        <v>15</v>
      </c>
      <c r="B16" s="31">
        <v>1</v>
      </c>
      <c r="C16" s="32">
        <f>(IO!$B$4+IO!$B$8)</f>
        <v>102</v>
      </c>
      <c r="D16" s="32">
        <f>IF(B16&gt;IO!$B$8,0,IO!$B$8-Model!B16)</f>
        <v>1</v>
      </c>
      <c r="E16" s="33">
        <f>IO!$B$5*C16-IO!$B$6*D16</f>
        <v>3980</v>
      </c>
      <c r="G16" s="47">
        <v>15</v>
      </c>
      <c r="H16" s="38" t="s">
        <v>9</v>
      </c>
      <c r="I16" s="38">
        <v>1</v>
      </c>
      <c r="J16" s="39">
        <v>0.41957348909822467</v>
      </c>
      <c r="K16" s="40">
        <f>ROUND(NORMINV(J16,IO!$B$10,IO!$B$11),0)</f>
        <v>102</v>
      </c>
      <c r="L16" s="40">
        <f>MIN(K16,IO!$B$4+IO!$B$8)</f>
        <v>102</v>
      </c>
      <c r="M16" s="40">
        <f>IF(L16-I16&gt;IO!$B$4,Model!L16-Model!I16-IO!$B$4,0)</f>
        <v>1</v>
      </c>
      <c r="N16" s="41">
        <f>IO!$B$5*Model!L16-IO!$B$6*Model!M16</f>
        <v>3980</v>
      </c>
    </row>
    <row r="17" spans="1:14" x14ac:dyDescent="0.35">
      <c r="A17" s="30">
        <v>16</v>
      </c>
      <c r="B17" s="31">
        <v>3</v>
      </c>
      <c r="C17" s="32">
        <f>(IO!$B$4+IO!$B$8)</f>
        <v>102</v>
      </c>
      <c r="D17" s="32">
        <f>IF(B17&gt;IO!$B$8,0,IO!$B$8-Model!B17)</f>
        <v>0</v>
      </c>
      <c r="E17" s="33">
        <f>IO!$B$5*C17-IO!$B$6*D17</f>
        <v>4080</v>
      </c>
      <c r="G17" s="47">
        <v>16</v>
      </c>
      <c r="H17" s="38" t="s">
        <v>7</v>
      </c>
      <c r="I17" s="38">
        <v>3</v>
      </c>
      <c r="J17" s="39">
        <v>3.7732737842875341E-2</v>
      </c>
      <c r="K17" s="40">
        <f>ROUND(NORMINV(J17,IO!$B$10,IO!$B$11),0)</f>
        <v>94</v>
      </c>
      <c r="L17" s="40">
        <f>MIN(K17,IO!$B$4+IO!$B$8)</f>
        <v>94</v>
      </c>
      <c r="M17" s="40">
        <f>IF(L17-I17&gt;IO!$B$4,Model!L17-Model!I17-IO!$B$4,0)</f>
        <v>0</v>
      </c>
      <c r="N17" s="41">
        <f>IO!$B$5*Model!L17-IO!$B$6*Model!M17</f>
        <v>3760</v>
      </c>
    </row>
    <row r="18" spans="1:14" x14ac:dyDescent="0.35">
      <c r="A18" s="30">
        <v>17</v>
      </c>
      <c r="B18" s="31">
        <v>2</v>
      </c>
      <c r="C18" s="32">
        <f>(IO!$B$4+IO!$B$8)</f>
        <v>102</v>
      </c>
      <c r="D18" s="32">
        <f>IF(B18&gt;IO!$B$8,0,IO!$B$8-Model!B18)</f>
        <v>0</v>
      </c>
      <c r="E18" s="33">
        <f>IO!$B$5*C18-IO!$B$6*D18</f>
        <v>4080</v>
      </c>
      <c r="G18" s="47">
        <v>17</v>
      </c>
      <c r="H18" s="38" t="s">
        <v>8</v>
      </c>
      <c r="I18" s="38">
        <v>2</v>
      </c>
      <c r="J18" s="39">
        <v>0.68786929426924126</v>
      </c>
      <c r="K18" s="40">
        <f>ROUND(NORMINV(J18,IO!$B$10,IO!$B$11),0)</f>
        <v>105</v>
      </c>
      <c r="L18" s="40">
        <f>MIN(K18,IO!$B$4+IO!$B$8)</f>
        <v>102</v>
      </c>
      <c r="M18" s="40">
        <f>IF(L18-I18&gt;IO!$B$4,Model!L18-Model!I18-IO!$B$4,0)</f>
        <v>0</v>
      </c>
      <c r="N18" s="41">
        <f>IO!$B$5*Model!L18-IO!$B$6*Model!M18</f>
        <v>4080</v>
      </c>
    </row>
    <row r="19" spans="1:14" x14ac:dyDescent="0.35">
      <c r="A19" s="30">
        <v>18</v>
      </c>
      <c r="B19" s="31">
        <v>2</v>
      </c>
      <c r="C19" s="32">
        <f>(IO!$B$4+IO!$B$8)</f>
        <v>102</v>
      </c>
      <c r="D19" s="32">
        <f>IF(B19&gt;IO!$B$8,0,IO!$B$8-Model!B19)</f>
        <v>0</v>
      </c>
      <c r="E19" s="33">
        <f>IO!$B$5*C19-IO!$B$6*D19</f>
        <v>4080</v>
      </c>
      <c r="G19" s="47">
        <v>18</v>
      </c>
      <c r="H19" s="38" t="s">
        <v>9</v>
      </c>
      <c r="I19" s="38">
        <v>2</v>
      </c>
      <c r="J19" s="39">
        <v>0.21242999888259606</v>
      </c>
      <c r="K19" s="40">
        <f>ROUND(NORMINV(J19,IO!$B$10,IO!$B$11),0)</f>
        <v>99</v>
      </c>
      <c r="L19" s="40">
        <f>MIN(K19,IO!$B$4+IO!$B$8)</f>
        <v>99</v>
      </c>
      <c r="M19" s="40">
        <f>IF(L19-I19&gt;IO!$B$4,Model!L19-Model!I19-IO!$B$4,0)</f>
        <v>0</v>
      </c>
      <c r="N19" s="41">
        <f>IO!$B$5*Model!L19-IO!$B$6*Model!M19</f>
        <v>3960</v>
      </c>
    </row>
    <row r="20" spans="1:14" x14ac:dyDescent="0.35">
      <c r="A20" s="30">
        <v>19</v>
      </c>
      <c r="B20" s="31">
        <v>4</v>
      </c>
      <c r="C20" s="32">
        <f>(IO!$B$4+IO!$B$8)</f>
        <v>102</v>
      </c>
      <c r="D20" s="32">
        <f>IF(B20&gt;IO!$B$8,0,IO!$B$8-Model!B20)</f>
        <v>0</v>
      </c>
      <c r="E20" s="33">
        <f>IO!$B$5*C20-IO!$B$6*D20</f>
        <v>4080</v>
      </c>
      <c r="G20" s="47">
        <v>19</v>
      </c>
      <c r="H20" s="38" t="s">
        <v>7</v>
      </c>
      <c r="I20" s="38">
        <v>4</v>
      </c>
      <c r="J20" s="39">
        <v>0.87948356025814856</v>
      </c>
      <c r="K20" s="40">
        <f>ROUND(NORMINV(J20,IO!$B$10,IO!$B$11),0)</f>
        <v>109</v>
      </c>
      <c r="L20" s="40">
        <f>MIN(K20,IO!$B$4+IO!$B$8)</f>
        <v>102</v>
      </c>
      <c r="M20" s="40">
        <f>IF(L20-I20&gt;IO!$B$4,Model!L20-Model!I20-IO!$B$4,0)</f>
        <v>0</v>
      </c>
      <c r="N20" s="41">
        <f>IO!$B$5*Model!L20-IO!$B$6*Model!M20</f>
        <v>4080</v>
      </c>
    </row>
    <row r="21" spans="1:14" x14ac:dyDescent="0.35">
      <c r="A21" s="30">
        <v>20</v>
      </c>
      <c r="B21" s="31">
        <v>3</v>
      </c>
      <c r="C21" s="32">
        <f>(IO!$B$4+IO!$B$8)</f>
        <v>102</v>
      </c>
      <c r="D21" s="32">
        <f>IF(B21&gt;IO!$B$8,0,IO!$B$8-Model!B21)</f>
        <v>0</v>
      </c>
      <c r="E21" s="33">
        <f>IO!$B$5*C21-IO!$B$6*D21</f>
        <v>4080</v>
      </c>
      <c r="G21" s="47">
        <v>20</v>
      </c>
      <c r="H21" s="38" t="s">
        <v>8</v>
      </c>
      <c r="I21" s="38">
        <v>3</v>
      </c>
      <c r="J21" s="39">
        <v>0.39819641658309624</v>
      </c>
      <c r="K21" s="40">
        <f>ROUND(NORMINV(J21,IO!$B$10,IO!$B$11),0)</f>
        <v>102</v>
      </c>
      <c r="L21" s="40">
        <f>MIN(K21,IO!$B$4+IO!$B$8)</f>
        <v>102</v>
      </c>
      <c r="M21" s="40">
        <f>IF(L21-I21&gt;IO!$B$4,Model!L21-Model!I21-IO!$B$4,0)</f>
        <v>0</v>
      </c>
      <c r="N21" s="41">
        <f>IO!$B$5*Model!L21-IO!$B$6*Model!M21</f>
        <v>4080</v>
      </c>
    </row>
    <row r="22" spans="1:14" x14ac:dyDescent="0.35">
      <c r="A22" s="30">
        <v>21</v>
      </c>
      <c r="B22" s="31">
        <v>1</v>
      </c>
      <c r="C22" s="32">
        <f>(IO!$B$4+IO!$B$8)</f>
        <v>102</v>
      </c>
      <c r="D22" s="32">
        <f>IF(B22&gt;IO!$B$8,0,IO!$B$8-Model!B22)</f>
        <v>1</v>
      </c>
      <c r="E22" s="33">
        <f>IO!$B$5*C22-IO!$B$6*D22</f>
        <v>3980</v>
      </c>
      <c r="G22" s="47">
        <v>21</v>
      </c>
      <c r="H22" s="38" t="s">
        <v>9</v>
      </c>
      <c r="I22" s="38">
        <v>1</v>
      </c>
      <c r="J22" s="39">
        <v>0.945219691995134</v>
      </c>
      <c r="K22" s="40">
        <f>ROUND(NORMINV(J22,IO!$B$10,IO!$B$11),0)</f>
        <v>111</v>
      </c>
      <c r="L22" s="40">
        <f>MIN(K22,IO!$B$4+IO!$B$8)</f>
        <v>102</v>
      </c>
      <c r="M22" s="40">
        <f>IF(L22-I22&gt;IO!$B$4,Model!L22-Model!I22-IO!$B$4,0)</f>
        <v>1</v>
      </c>
      <c r="N22" s="41">
        <f>IO!$B$5*Model!L22-IO!$B$6*Model!M22</f>
        <v>3980</v>
      </c>
    </row>
    <row r="23" spans="1:14" x14ac:dyDescent="0.35">
      <c r="A23" s="30">
        <v>22</v>
      </c>
      <c r="B23" s="31">
        <v>4</v>
      </c>
      <c r="C23" s="32">
        <f>(IO!$B$4+IO!$B$8)</f>
        <v>102</v>
      </c>
      <c r="D23" s="32">
        <f>IF(B23&gt;IO!$B$8,0,IO!$B$8-Model!B23)</f>
        <v>0</v>
      </c>
      <c r="E23" s="33">
        <f>IO!$B$5*C23-IO!$B$6*D23</f>
        <v>4080</v>
      </c>
      <c r="G23" s="47">
        <v>22</v>
      </c>
      <c r="H23" s="38" t="s">
        <v>7</v>
      </c>
      <c r="I23" s="38">
        <v>4</v>
      </c>
      <c r="J23" s="39">
        <v>0.68199950672432907</v>
      </c>
      <c r="K23" s="40">
        <f>ROUND(NORMINV(J23,IO!$B$10,IO!$B$11),0)</f>
        <v>105</v>
      </c>
      <c r="L23" s="40">
        <f>MIN(K23,IO!$B$4+IO!$B$8)</f>
        <v>102</v>
      </c>
      <c r="M23" s="40">
        <f>IF(L23-I23&gt;IO!$B$4,Model!L23-Model!I23-IO!$B$4,0)</f>
        <v>0</v>
      </c>
      <c r="N23" s="41">
        <f>IO!$B$5*Model!L23-IO!$B$6*Model!M23</f>
        <v>4080</v>
      </c>
    </row>
    <row r="24" spans="1:14" x14ac:dyDescent="0.35">
      <c r="A24" s="30">
        <v>23</v>
      </c>
      <c r="B24" s="31">
        <v>1</v>
      </c>
      <c r="C24" s="32">
        <f>(IO!$B$4+IO!$B$8)</f>
        <v>102</v>
      </c>
      <c r="D24" s="32">
        <f>IF(B24&gt;IO!$B$8,0,IO!$B$8-Model!B24)</f>
        <v>1</v>
      </c>
      <c r="E24" s="33">
        <f>IO!$B$5*C24-IO!$B$6*D24</f>
        <v>3980</v>
      </c>
      <c r="G24" s="47">
        <v>23</v>
      </c>
      <c r="H24" s="38" t="s">
        <v>8</v>
      </c>
      <c r="I24" s="38">
        <v>1</v>
      </c>
      <c r="J24" s="39">
        <v>0.91515719781259186</v>
      </c>
      <c r="K24" s="40">
        <f>ROUND(NORMINV(J24,IO!$B$10,IO!$B$11),0)</f>
        <v>110</v>
      </c>
      <c r="L24" s="40">
        <f>MIN(K24,IO!$B$4+IO!$B$8)</f>
        <v>102</v>
      </c>
      <c r="M24" s="40">
        <f>IF(L24-I24&gt;IO!$B$4,Model!L24-Model!I24-IO!$B$4,0)</f>
        <v>1</v>
      </c>
      <c r="N24" s="41">
        <f>IO!$B$5*Model!L24-IO!$B$6*Model!M24</f>
        <v>3980</v>
      </c>
    </row>
    <row r="25" spans="1:14" x14ac:dyDescent="0.35">
      <c r="A25" s="30">
        <v>24</v>
      </c>
      <c r="B25" s="31">
        <v>0</v>
      </c>
      <c r="C25" s="32">
        <f>(IO!$B$4+IO!$B$8)</f>
        <v>102</v>
      </c>
      <c r="D25" s="32">
        <f>IF(B25&gt;IO!$B$8,0,IO!$B$8-Model!B25)</f>
        <v>2</v>
      </c>
      <c r="E25" s="33">
        <f>IO!$B$5*C25-IO!$B$6*D25</f>
        <v>3880</v>
      </c>
      <c r="G25" s="47">
        <v>24</v>
      </c>
      <c r="H25" s="38" t="s">
        <v>9</v>
      </c>
      <c r="I25" s="38">
        <v>0</v>
      </c>
      <c r="J25" s="39">
        <v>0.67145746254214711</v>
      </c>
      <c r="K25" s="40">
        <f>ROUND(NORMINV(J25,IO!$B$10,IO!$B$11),0)</f>
        <v>105</v>
      </c>
      <c r="L25" s="40">
        <f>MIN(K25,IO!$B$4+IO!$B$8)</f>
        <v>102</v>
      </c>
      <c r="M25" s="40">
        <f>IF(L25-I25&gt;IO!$B$4,Model!L25-Model!I25-IO!$B$4,0)</f>
        <v>2</v>
      </c>
      <c r="N25" s="41">
        <f>IO!$B$5*Model!L25-IO!$B$6*Model!M25</f>
        <v>3880</v>
      </c>
    </row>
    <row r="26" spans="1:14" x14ac:dyDescent="0.35">
      <c r="A26" s="30">
        <v>25</v>
      </c>
      <c r="B26" s="31">
        <v>3</v>
      </c>
      <c r="C26" s="32">
        <f>(IO!$B$4+IO!$B$8)</f>
        <v>102</v>
      </c>
      <c r="D26" s="32">
        <f>IF(B26&gt;IO!$B$8,0,IO!$B$8-Model!B26)</f>
        <v>0</v>
      </c>
      <c r="E26" s="33">
        <f>IO!$B$5*C26-IO!$B$6*D26</f>
        <v>4080</v>
      </c>
      <c r="G26" s="47">
        <v>25</v>
      </c>
      <c r="H26" s="38" t="s">
        <v>7</v>
      </c>
      <c r="I26" s="38">
        <v>3</v>
      </c>
      <c r="J26" s="39">
        <v>0.62565852517401477</v>
      </c>
      <c r="K26" s="40">
        <f>ROUND(NORMINV(J26,IO!$B$10,IO!$B$11),0)</f>
        <v>105</v>
      </c>
      <c r="L26" s="40">
        <f>MIN(K26,IO!$B$4+IO!$B$8)</f>
        <v>102</v>
      </c>
      <c r="M26" s="40">
        <f>IF(L26-I26&gt;IO!$B$4,Model!L26-Model!I26-IO!$B$4,0)</f>
        <v>0</v>
      </c>
      <c r="N26" s="41">
        <f>IO!$B$5*Model!L26-IO!$B$6*Model!M26</f>
        <v>4080</v>
      </c>
    </row>
    <row r="27" spans="1:14" x14ac:dyDescent="0.35">
      <c r="A27" s="30">
        <v>26</v>
      </c>
      <c r="B27" s="31">
        <v>1</v>
      </c>
      <c r="C27" s="32">
        <f>(IO!$B$4+IO!$B$8)</f>
        <v>102</v>
      </c>
      <c r="D27" s="32">
        <f>IF(B27&gt;IO!$B$8,0,IO!$B$8-Model!B27)</f>
        <v>1</v>
      </c>
      <c r="E27" s="33">
        <f>IO!$B$5*C27-IO!$B$6*D27</f>
        <v>3980</v>
      </c>
      <c r="G27" s="47">
        <v>26</v>
      </c>
      <c r="H27" s="38" t="s">
        <v>8</v>
      </c>
      <c r="I27" s="38">
        <v>1</v>
      </c>
      <c r="J27" s="39">
        <v>0.94990834690673276</v>
      </c>
      <c r="K27" s="40">
        <f>ROUND(NORMINV(J27,IO!$B$10,IO!$B$11),0)</f>
        <v>111</v>
      </c>
      <c r="L27" s="40">
        <f>MIN(K27,IO!$B$4+IO!$B$8)</f>
        <v>102</v>
      </c>
      <c r="M27" s="40">
        <f>IF(L27-I27&gt;IO!$B$4,Model!L27-Model!I27-IO!$B$4,0)</f>
        <v>1</v>
      </c>
      <c r="N27" s="41">
        <f>IO!$B$5*Model!L27-IO!$B$6*Model!M27</f>
        <v>3980</v>
      </c>
    </row>
    <row r="28" spans="1:14" x14ac:dyDescent="0.35">
      <c r="A28" s="30">
        <v>27</v>
      </c>
      <c r="B28" s="31">
        <v>2</v>
      </c>
      <c r="C28" s="32">
        <f>(IO!$B$4+IO!$B$8)</f>
        <v>102</v>
      </c>
      <c r="D28" s="32">
        <f>IF(B28&gt;IO!$B$8,0,IO!$B$8-Model!B28)</f>
        <v>0</v>
      </c>
      <c r="E28" s="33">
        <f>IO!$B$5*C28-IO!$B$6*D28</f>
        <v>4080</v>
      </c>
      <c r="G28" s="47">
        <v>27</v>
      </c>
      <c r="H28" s="38" t="s">
        <v>9</v>
      </c>
      <c r="I28" s="38">
        <v>2</v>
      </c>
      <c r="J28" s="39">
        <v>0.54524362766737144</v>
      </c>
      <c r="K28" s="40">
        <f>ROUND(NORMINV(J28,IO!$B$10,IO!$B$11),0)</f>
        <v>104</v>
      </c>
      <c r="L28" s="40">
        <f>MIN(K28,IO!$B$4+IO!$B$8)</f>
        <v>102</v>
      </c>
      <c r="M28" s="40">
        <f>IF(L28-I28&gt;IO!$B$4,Model!L28-Model!I28-IO!$B$4,0)</f>
        <v>0</v>
      </c>
      <c r="N28" s="41">
        <f>IO!$B$5*Model!L28-IO!$B$6*Model!M28</f>
        <v>4080</v>
      </c>
    </row>
    <row r="29" spans="1:14" x14ac:dyDescent="0.35">
      <c r="A29" s="30">
        <v>28</v>
      </c>
      <c r="B29" s="31">
        <v>6</v>
      </c>
      <c r="C29" s="32">
        <f>(IO!$B$4+IO!$B$8)</f>
        <v>102</v>
      </c>
      <c r="D29" s="32">
        <f>IF(B29&gt;IO!$B$8,0,IO!$B$8-Model!B29)</f>
        <v>0</v>
      </c>
      <c r="E29" s="33">
        <f>IO!$B$5*C29-IO!$B$6*D29</f>
        <v>4080</v>
      </c>
      <c r="G29" s="47">
        <v>28</v>
      </c>
      <c r="H29" s="38" t="s">
        <v>7</v>
      </c>
      <c r="I29" s="38">
        <v>6</v>
      </c>
      <c r="J29" s="39">
        <v>9.2482231572947327E-2</v>
      </c>
      <c r="K29" s="40">
        <f>ROUND(NORMINV(J29,IO!$B$10,IO!$B$11),0)</f>
        <v>96</v>
      </c>
      <c r="L29" s="40">
        <f>MIN(K29,IO!$B$4+IO!$B$8)</f>
        <v>96</v>
      </c>
      <c r="M29" s="40">
        <f>IF(L29-I29&gt;IO!$B$4,Model!L29-Model!I29-IO!$B$4,0)</f>
        <v>0</v>
      </c>
      <c r="N29" s="41">
        <f>IO!$B$5*Model!L29-IO!$B$6*Model!M29</f>
        <v>3840</v>
      </c>
    </row>
    <row r="30" spans="1:14" x14ac:dyDescent="0.35">
      <c r="A30" s="30">
        <v>29</v>
      </c>
      <c r="B30" s="31">
        <v>2</v>
      </c>
      <c r="C30" s="32">
        <f>(IO!$B$4+IO!$B$8)</f>
        <v>102</v>
      </c>
      <c r="D30" s="32">
        <f>IF(B30&gt;IO!$B$8,0,IO!$B$8-Model!B30)</f>
        <v>0</v>
      </c>
      <c r="E30" s="33">
        <f>IO!$B$5*C30-IO!$B$6*D30</f>
        <v>4080</v>
      </c>
      <c r="G30" s="47">
        <v>29</v>
      </c>
      <c r="H30" s="38" t="s">
        <v>8</v>
      </c>
      <c r="I30" s="38">
        <v>2</v>
      </c>
      <c r="J30" s="39">
        <v>8.3504469764341893E-2</v>
      </c>
      <c r="K30" s="40">
        <f>ROUND(NORMINV(J30,IO!$B$10,IO!$B$11),0)</f>
        <v>96</v>
      </c>
      <c r="L30" s="40">
        <f>MIN(K30,IO!$B$4+IO!$B$8)</f>
        <v>96</v>
      </c>
      <c r="M30" s="40">
        <f>IF(L30-I30&gt;IO!$B$4,Model!L30-Model!I30-IO!$B$4,0)</f>
        <v>0</v>
      </c>
      <c r="N30" s="41">
        <f>IO!$B$5*Model!L30-IO!$B$6*Model!M30</f>
        <v>3840</v>
      </c>
    </row>
    <row r="31" spans="1:14" x14ac:dyDescent="0.35">
      <c r="A31" s="30">
        <v>30</v>
      </c>
      <c r="B31" s="31">
        <v>0</v>
      </c>
      <c r="C31" s="32">
        <f>(IO!$B$4+IO!$B$8)</f>
        <v>102</v>
      </c>
      <c r="D31" s="32">
        <f>IF(B31&gt;IO!$B$8,0,IO!$B$8-Model!B31)</f>
        <v>2</v>
      </c>
      <c r="E31" s="33">
        <f>IO!$B$5*C31-IO!$B$6*D31</f>
        <v>3880</v>
      </c>
      <c r="G31" s="47">
        <v>30</v>
      </c>
      <c r="H31" s="38" t="s">
        <v>9</v>
      </c>
      <c r="I31" s="38">
        <v>0</v>
      </c>
      <c r="J31" s="39">
        <v>0.126369487186197</v>
      </c>
      <c r="K31" s="40">
        <f>ROUND(NORMINV(J31,IO!$B$10,IO!$B$11),0)</f>
        <v>97</v>
      </c>
      <c r="L31" s="40">
        <f>MIN(K31,IO!$B$4+IO!$B$8)</f>
        <v>97</v>
      </c>
      <c r="M31" s="40">
        <f>IF(L31-I31&gt;IO!$B$4,Model!L31-Model!I31-IO!$B$4,0)</f>
        <v>0</v>
      </c>
      <c r="N31" s="41">
        <f>IO!$B$5*Model!L31-IO!$B$6*Model!M31</f>
        <v>3880</v>
      </c>
    </row>
    <row r="32" spans="1:14" x14ac:dyDescent="0.35">
      <c r="A32" s="30">
        <v>31</v>
      </c>
      <c r="B32" s="31">
        <v>4</v>
      </c>
      <c r="C32" s="32">
        <f>(IO!$B$4+IO!$B$8)</f>
        <v>102</v>
      </c>
      <c r="D32" s="32">
        <f>IF(B32&gt;IO!$B$8,0,IO!$B$8-Model!B32)</f>
        <v>0</v>
      </c>
      <c r="E32" s="33">
        <f>IO!$B$5*C32-IO!$B$6*D32</f>
        <v>4080</v>
      </c>
      <c r="G32" s="47">
        <v>31</v>
      </c>
      <c r="H32" s="38" t="s">
        <v>7</v>
      </c>
      <c r="I32" s="38">
        <v>4</v>
      </c>
      <c r="J32" s="39">
        <v>0.97585347243142406</v>
      </c>
      <c r="K32" s="40">
        <f>ROUND(NORMINV(J32,IO!$B$10,IO!$B$11),0)</f>
        <v>113</v>
      </c>
      <c r="L32" s="40">
        <f>MIN(K32,IO!$B$4+IO!$B$8)</f>
        <v>102</v>
      </c>
      <c r="M32" s="40">
        <f>IF(L32-I32&gt;IO!$B$4,Model!L32-Model!I32-IO!$B$4,0)</f>
        <v>0</v>
      </c>
      <c r="N32" s="41">
        <f>IO!$B$5*Model!L32-IO!$B$6*Model!M32</f>
        <v>4080</v>
      </c>
    </row>
    <row r="33" spans="1:14" x14ac:dyDescent="0.35">
      <c r="A33" s="30">
        <v>32</v>
      </c>
      <c r="B33" s="31">
        <v>2</v>
      </c>
      <c r="C33" s="32">
        <f>(IO!$B$4+IO!$B$8)</f>
        <v>102</v>
      </c>
      <c r="D33" s="32">
        <f>IF(B33&gt;IO!$B$8,0,IO!$B$8-Model!B33)</f>
        <v>0</v>
      </c>
      <c r="E33" s="33">
        <f>IO!$B$5*C33-IO!$B$6*D33</f>
        <v>4080</v>
      </c>
      <c r="G33" s="47">
        <v>32</v>
      </c>
      <c r="H33" s="38" t="s">
        <v>8</v>
      </c>
      <c r="I33" s="38">
        <v>2</v>
      </c>
      <c r="J33" s="39">
        <v>0.96361222129386814</v>
      </c>
      <c r="K33" s="40">
        <f>ROUND(NORMINV(J33,IO!$B$10,IO!$B$11),0)</f>
        <v>112</v>
      </c>
      <c r="L33" s="40">
        <f>MIN(K33,IO!$B$4+IO!$B$8)</f>
        <v>102</v>
      </c>
      <c r="M33" s="40">
        <f>IF(L33-I33&gt;IO!$B$4,Model!L33-Model!I33-IO!$B$4,0)</f>
        <v>0</v>
      </c>
      <c r="N33" s="41">
        <f>IO!$B$5*Model!L33-IO!$B$6*Model!M33</f>
        <v>4080</v>
      </c>
    </row>
    <row r="34" spans="1:14" x14ac:dyDescent="0.35">
      <c r="A34" s="30">
        <v>33</v>
      </c>
      <c r="B34" s="31">
        <v>0</v>
      </c>
      <c r="C34" s="32">
        <f>(IO!$B$4+IO!$B$8)</f>
        <v>102</v>
      </c>
      <c r="D34" s="32">
        <f>IF(B34&gt;IO!$B$8,0,IO!$B$8-Model!B34)</f>
        <v>2</v>
      </c>
      <c r="E34" s="33">
        <f>IO!$B$5*C34-IO!$B$6*D34</f>
        <v>3880</v>
      </c>
      <c r="G34" s="47">
        <v>33</v>
      </c>
      <c r="H34" s="38" t="s">
        <v>9</v>
      </c>
      <c r="I34" s="38">
        <v>0</v>
      </c>
      <c r="J34" s="39">
        <v>0.5544809212470998</v>
      </c>
      <c r="K34" s="40">
        <f>ROUND(NORMINV(J34,IO!$B$10,IO!$B$11),0)</f>
        <v>104</v>
      </c>
      <c r="L34" s="40">
        <f>MIN(K34,IO!$B$4+IO!$B$8)</f>
        <v>102</v>
      </c>
      <c r="M34" s="40">
        <f>IF(L34-I34&gt;IO!$B$4,Model!L34-Model!I34-IO!$B$4,0)</f>
        <v>2</v>
      </c>
      <c r="N34" s="41">
        <f>IO!$B$5*Model!L34-IO!$B$6*Model!M34</f>
        <v>3880</v>
      </c>
    </row>
    <row r="35" spans="1:14" x14ac:dyDescent="0.35">
      <c r="A35" s="30">
        <v>34</v>
      </c>
      <c r="B35" s="31">
        <v>1</v>
      </c>
      <c r="C35" s="32">
        <f>(IO!$B$4+IO!$B$8)</f>
        <v>102</v>
      </c>
      <c r="D35" s="32">
        <f>IF(B35&gt;IO!$B$8,0,IO!$B$8-Model!B35)</f>
        <v>1</v>
      </c>
      <c r="E35" s="33">
        <f>IO!$B$5*C35-IO!$B$6*D35</f>
        <v>3980</v>
      </c>
      <c r="G35" s="47">
        <v>34</v>
      </c>
      <c r="H35" s="38" t="s">
        <v>7</v>
      </c>
      <c r="I35" s="38">
        <v>1</v>
      </c>
      <c r="J35" s="39">
        <v>0.28646544921453709</v>
      </c>
      <c r="K35" s="40">
        <f>ROUND(NORMINV(J35,IO!$B$10,IO!$B$11),0)</f>
        <v>100</v>
      </c>
      <c r="L35" s="40">
        <f>MIN(K35,IO!$B$4+IO!$B$8)</f>
        <v>100</v>
      </c>
      <c r="M35" s="40">
        <f>IF(L35-I35&gt;IO!$B$4,Model!L35-Model!I35-IO!$B$4,0)</f>
        <v>0</v>
      </c>
      <c r="N35" s="41">
        <f>IO!$B$5*Model!L35-IO!$B$6*Model!M35</f>
        <v>4000</v>
      </c>
    </row>
    <row r="36" spans="1:14" x14ac:dyDescent="0.35">
      <c r="A36" s="30">
        <v>35</v>
      </c>
      <c r="B36" s="31">
        <v>2</v>
      </c>
      <c r="C36" s="32">
        <f>(IO!$B$4+IO!$B$8)</f>
        <v>102</v>
      </c>
      <c r="D36" s="32">
        <f>IF(B36&gt;IO!$B$8,0,IO!$B$8-Model!B36)</f>
        <v>0</v>
      </c>
      <c r="E36" s="33">
        <f>IO!$B$5*C36-IO!$B$6*D36</f>
        <v>4080</v>
      </c>
      <c r="G36" s="47">
        <v>35</v>
      </c>
      <c r="H36" s="38" t="s">
        <v>8</v>
      </c>
      <c r="I36" s="38">
        <v>2</v>
      </c>
      <c r="J36" s="39">
        <v>0.20328966001469506</v>
      </c>
      <c r="K36" s="40">
        <f>ROUND(NORMINV(J36,IO!$B$10,IO!$B$11),0)</f>
        <v>99</v>
      </c>
      <c r="L36" s="40">
        <f>MIN(K36,IO!$B$4+IO!$B$8)</f>
        <v>99</v>
      </c>
      <c r="M36" s="40">
        <f>IF(L36-I36&gt;IO!$B$4,Model!L36-Model!I36-IO!$B$4,0)</f>
        <v>0</v>
      </c>
      <c r="N36" s="41">
        <f>IO!$B$5*Model!L36-IO!$B$6*Model!M36</f>
        <v>3960</v>
      </c>
    </row>
    <row r="37" spans="1:14" x14ac:dyDescent="0.35">
      <c r="A37" s="30">
        <v>36</v>
      </c>
      <c r="B37" s="31">
        <v>0</v>
      </c>
      <c r="C37" s="32">
        <f>(IO!$B$4+IO!$B$8)</f>
        <v>102</v>
      </c>
      <c r="D37" s="32">
        <f>IF(B37&gt;IO!$B$8,0,IO!$B$8-Model!B37)</f>
        <v>2</v>
      </c>
      <c r="E37" s="33">
        <f>IO!$B$5*C37-IO!$B$6*D37</f>
        <v>3880</v>
      </c>
      <c r="G37" s="47">
        <v>36</v>
      </c>
      <c r="H37" s="38" t="s">
        <v>9</v>
      </c>
      <c r="I37" s="38">
        <v>0</v>
      </c>
      <c r="J37" s="39">
        <v>0.71341891818944358</v>
      </c>
      <c r="K37" s="40">
        <f>ROUND(NORMINV(J37,IO!$B$10,IO!$B$11),0)</f>
        <v>106</v>
      </c>
      <c r="L37" s="40">
        <f>MIN(K37,IO!$B$4+IO!$B$8)</f>
        <v>102</v>
      </c>
      <c r="M37" s="40">
        <f>IF(L37-I37&gt;IO!$B$4,Model!L37-Model!I37-IO!$B$4,0)</f>
        <v>2</v>
      </c>
      <c r="N37" s="41">
        <f>IO!$B$5*Model!L37-IO!$B$6*Model!M37</f>
        <v>3880</v>
      </c>
    </row>
    <row r="38" spans="1:14" x14ac:dyDescent="0.35">
      <c r="A38" s="30">
        <v>37</v>
      </c>
      <c r="B38" s="31">
        <v>8</v>
      </c>
      <c r="C38" s="32">
        <f>(IO!$B$4+IO!$B$8)</f>
        <v>102</v>
      </c>
      <c r="D38" s="32">
        <f>IF(B38&gt;IO!$B$8,0,IO!$B$8-Model!B38)</f>
        <v>0</v>
      </c>
      <c r="E38" s="33">
        <f>IO!$B$5*C38-IO!$B$6*D38</f>
        <v>4080</v>
      </c>
      <c r="G38" s="47">
        <v>37</v>
      </c>
      <c r="H38" s="38" t="s">
        <v>7</v>
      </c>
      <c r="I38" s="38">
        <v>8</v>
      </c>
      <c r="J38" s="39">
        <v>0.76255676191690591</v>
      </c>
      <c r="K38" s="40">
        <f>ROUND(NORMINV(J38,IO!$B$10,IO!$B$11),0)</f>
        <v>107</v>
      </c>
      <c r="L38" s="40">
        <f>MIN(K38,IO!$B$4+IO!$B$8)</f>
        <v>102</v>
      </c>
      <c r="M38" s="40">
        <f>IF(L38-I38&gt;IO!$B$4,Model!L38-Model!I38-IO!$B$4,0)</f>
        <v>0</v>
      </c>
      <c r="N38" s="41">
        <f>IO!$B$5*Model!L38-IO!$B$6*Model!M38</f>
        <v>4080</v>
      </c>
    </row>
    <row r="39" spans="1:14" x14ac:dyDescent="0.35">
      <c r="A39" s="30">
        <v>38</v>
      </c>
      <c r="B39" s="31">
        <v>2</v>
      </c>
      <c r="C39" s="32">
        <f>(IO!$B$4+IO!$B$8)</f>
        <v>102</v>
      </c>
      <c r="D39" s="32">
        <f>IF(B39&gt;IO!$B$8,0,IO!$B$8-Model!B39)</f>
        <v>0</v>
      </c>
      <c r="E39" s="33">
        <f>IO!$B$5*C39-IO!$B$6*D39</f>
        <v>4080</v>
      </c>
      <c r="G39" s="47">
        <v>38</v>
      </c>
      <c r="H39" s="38" t="s">
        <v>8</v>
      </c>
      <c r="I39" s="38">
        <v>2</v>
      </c>
      <c r="J39" s="39">
        <v>0.12349699681053694</v>
      </c>
      <c r="K39" s="40">
        <f>ROUND(NORMINV(J39,IO!$B$10,IO!$B$11),0)</f>
        <v>97</v>
      </c>
      <c r="L39" s="40">
        <f>MIN(K39,IO!$B$4+IO!$B$8)</f>
        <v>97</v>
      </c>
      <c r="M39" s="40">
        <f>IF(L39-I39&gt;IO!$B$4,Model!L39-Model!I39-IO!$B$4,0)</f>
        <v>0</v>
      </c>
      <c r="N39" s="41">
        <f>IO!$B$5*Model!L39-IO!$B$6*Model!M39</f>
        <v>3880</v>
      </c>
    </row>
    <row r="40" spans="1:14" x14ac:dyDescent="0.35">
      <c r="A40" s="30">
        <v>39</v>
      </c>
      <c r="B40" s="31">
        <v>0</v>
      </c>
      <c r="C40" s="32">
        <f>(IO!$B$4+IO!$B$8)</f>
        <v>102</v>
      </c>
      <c r="D40" s="32">
        <f>IF(B40&gt;IO!$B$8,0,IO!$B$8-Model!B40)</f>
        <v>2</v>
      </c>
      <c r="E40" s="33">
        <f>IO!$B$5*C40-IO!$B$6*D40</f>
        <v>3880</v>
      </c>
      <c r="G40" s="47">
        <v>39</v>
      </c>
      <c r="H40" s="38" t="s">
        <v>9</v>
      </c>
      <c r="I40" s="38">
        <v>0</v>
      </c>
      <c r="J40" s="39">
        <v>0.58420671432752591</v>
      </c>
      <c r="K40" s="40">
        <f>ROUND(NORMINV(J40,IO!$B$10,IO!$B$11),0)</f>
        <v>104</v>
      </c>
      <c r="L40" s="40">
        <f>MIN(K40,IO!$B$4+IO!$B$8)</f>
        <v>102</v>
      </c>
      <c r="M40" s="40">
        <f>IF(L40-I40&gt;IO!$B$4,Model!L40-Model!I40-IO!$B$4,0)</f>
        <v>2</v>
      </c>
      <c r="N40" s="41">
        <f>IO!$B$5*Model!L40-IO!$B$6*Model!M40</f>
        <v>3880</v>
      </c>
    </row>
    <row r="41" spans="1:14" x14ac:dyDescent="0.35">
      <c r="A41" s="30">
        <v>40</v>
      </c>
      <c r="B41" s="31">
        <v>4</v>
      </c>
      <c r="C41" s="32">
        <f>(IO!$B$4+IO!$B$8)</f>
        <v>102</v>
      </c>
      <c r="D41" s="32">
        <f>IF(B41&gt;IO!$B$8,0,IO!$B$8-Model!B41)</f>
        <v>0</v>
      </c>
      <c r="E41" s="33">
        <f>IO!$B$5*C41-IO!$B$6*D41</f>
        <v>4080</v>
      </c>
      <c r="G41" s="47">
        <v>40</v>
      </c>
      <c r="H41" s="38" t="s">
        <v>7</v>
      </c>
      <c r="I41" s="38">
        <v>4</v>
      </c>
      <c r="J41" s="39">
        <v>0.4888530641652663</v>
      </c>
      <c r="K41" s="40">
        <f>ROUND(NORMINV(J41,IO!$B$10,IO!$B$11),0)</f>
        <v>103</v>
      </c>
      <c r="L41" s="40">
        <f>MIN(K41,IO!$B$4+IO!$B$8)</f>
        <v>102</v>
      </c>
      <c r="M41" s="40">
        <f>IF(L41-I41&gt;IO!$B$4,Model!L41-Model!I41-IO!$B$4,0)</f>
        <v>0</v>
      </c>
      <c r="N41" s="41">
        <f>IO!$B$5*Model!L41-IO!$B$6*Model!M41</f>
        <v>4080</v>
      </c>
    </row>
    <row r="42" spans="1:14" x14ac:dyDescent="0.35">
      <c r="A42" s="30">
        <v>41</v>
      </c>
      <c r="B42" s="31">
        <v>1</v>
      </c>
      <c r="C42" s="32">
        <f>(IO!$B$4+IO!$B$8)</f>
        <v>102</v>
      </c>
      <c r="D42" s="32">
        <f>IF(B42&gt;IO!$B$8,0,IO!$B$8-Model!B42)</f>
        <v>1</v>
      </c>
      <c r="E42" s="33">
        <f>IO!$B$5*C42-IO!$B$6*D42</f>
        <v>3980</v>
      </c>
      <c r="G42" s="47">
        <v>41</v>
      </c>
      <c r="H42" s="38" t="s">
        <v>8</v>
      </c>
      <c r="I42" s="38">
        <v>1</v>
      </c>
      <c r="J42" s="39">
        <v>0.68977448315515688</v>
      </c>
      <c r="K42" s="40">
        <f>ROUND(NORMINV(J42,IO!$B$10,IO!$B$11),0)</f>
        <v>105</v>
      </c>
      <c r="L42" s="40">
        <f>MIN(K42,IO!$B$4+IO!$B$8)</f>
        <v>102</v>
      </c>
      <c r="M42" s="40">
        <f>IF(L42-I42&gt;IO!$B$4,Model!L42-Model!I42-IO!$B$4,0)</f>
        <v>1</v>
      </c>
      <c r="N42" s="41">
        <f>IO!$B$5*Model!L42-IO!$B$6*Model!M42</f>
        <v>3980</v>
      </c>
    </row>
    <row r="43" spans="1:14" x14ac:dyDescent="0.35">
      <c r="A43" s="30">
        <v>42</v>
      </c>
      <c r="B43" s="31">
        <v>0</v>
      </c>
      <c r="C43" s="32">
        <f>(IO!$B$4+IO!$B$8)</f>
        <v>102</v>
      </c>
      <c r="D43" s="32">
        <f>IF(B43&gt;IO!$B$8,0,IO!$B$8-Model!B43)</f>
        <v>2</v>
      </c>
      <c r="E43" s="33">
        <f>IO!$B$5*C43-IO!$B$6*D43</f>
        <v>3880</v>
      </c>
      <c r="G43" s="47">
        <v>42</v>
      </c>
      <c r="H43" s="38" t="s">
        <v>9</v>
      </c>
      <c r="I43" s="38">
        <v>0</v>
      </c>
      <c r="J43" s="39">
        <v>0.52006554675079086</v>
      </c>
      <c r="K43" s="40">
        <f>ROUND(NORMINV(J43,IO!$B$10,IO!$B$11),0)</f>
        <v>103</v>
      </c>
      <c r="L43" s="40">
        <f>MIN(K43,IO!$B$4+IO!$B$8)</f>
        <v>102</v>
      </c>
      <c r="M43" s="40">
        <f>IF(L43-I43&gt;IO!$B$4,Model!L43-Model!I43-IO!$B$4,0)</f>
        <v>2</v>
      </c>
      <c r="N43" s="41">
        <f>IO!$B$5*Model!L43-IO!$B$6*Model!M43</f>
        <v>3880</v>
      </c>
    </row>
    <row r="44" spans="1:14" x14ac:dyDescent="0.35">
      <c r="A44" s="30">
        <v>43</v>
      </c>
      <c r="B44" s="31">
        <v>1</v>
      </c>
      <c r="C44" s="32">
        <f>(IO!$B$4+IO!$B$8)</f>
        <v>102</v>
      </c>
      <c r="D44" s="32">
        <f>IF(B44&gt;IO!$B$8,0,IO!$B$8-Model!B44)</f>
        <v>1</v>
      </c>
      <c r="E44" s="33">
        <f>IO!$B$5*C44-IO!$B$6*D44</f>
        <v>3980</v>
      </c>
      <c r="G44" s="47">
        <v>43</v>
      </c>
      <c r="H44" s="38" t="s">
        <v>7</v>
      </c>
      <c r="I44" s="38">
        <v>1</v>
      </c>
      <c r="J44" s="39">
        <v>0.3162327576001791</v>
      </c>
      <c r="K44" s="40">
        <f>ROUND(NORMINV(J44,IO!$B$10,IO!$B$11),0)</f>
        <v>101</v>
      </c>
      <c r="L44" s="40">
        <f>MIN(K44,IO!$B$4+IO!$B$8)</f>
        <v>101</v>
      </c>
      <c r="M44" s="40">
        <f>IF(L44-I44&gt;IO!$B$4,Model!L44-Model!I44-IO!$B$4,0)</f>
        <v>0</v>
      </c>
      <c r="N44" s="41">
        <f>IO!$B$5*Model!L44-IO!$B$6*Model!M44</f>
        <v>4040</v>
      </c>
    </row>
    <row r="45" spans="1:14" x14ac:dyDescent="0.35">
      <c r="A45" s="30">
        <v>44</v>
      </c>
      <c r="B45" s="31">
        <v>2</v>
      </c>
      <c r="C45" s="32">
        <f>(IO!$B$4+IO!$B$8)</f>
        <v>102</v>
      </c>
      <c r="D45" s="32">
        <f>IF(B45&gt;IO!$B$8,0,IO!$B$8-Model!B45)</f>
        <v>0</v>
      </c>
      <c r="E45" s="33">
        <f>IO!$B$5*C45-IO!$B$6*D45</f>
        <v>4080</v>
      </c>
      <c r="G45" s="47">
        <v>44</v>
      </c>
      <c r="H45" s="38" t="s">
        <v>8</v>
      </c>
      <c r="I45" s="38">
        <v>2</v>
      </c>
      <c r="J45" s="39">
        <v>0.66248930405014417</v>
      </c>
      <c r="K45" s="40">
        <f>ROUND(NORMINV(J45,IO!$B$10,IO!$B$11),0)</f>
        <v>105</v>
      </c>
      <c r="L45" s="40">
        <f>MIN(K45,IO!$B$4+IO!$B$8)</f>
        <v>102</v>
      </c>
      <c r="M45" s="40">
        <f>IF(L45-I45&gt;IO!$B$4,Model!L45-Model!I45-IO!$B$4,0)</f>
        <v>0</v>
      </c>
      <c r="N45" s="41">
        <f>IO!$B$5*Model!L45-IO!$B$6*Model!M45</f>
        <v>4080</v>
      </c>
    </row>
    <row r="46" spans="1:14" x14ac:dyDescent="0.35">
      <c r="A46" s="30">
        <v>45</v>
      </c>
      <c r="B46" s="31">
        <v>1</v>
      </c>
      <c r="C46" s="32">
        <f>(IO!$B$4+IO!$B$8)</f>
        <v>102</v>
      </c>
      <c r="D46" s="32">
        <f>IF(B46&gt;IO!$B$8,0,IO!$B$8-Model!B46)</f>
        <v>1</v>
      </c>
      <c r="E46" s="33">
        <f>IO!$B$5*C46-IO!$B$6*D46</f>
        <v>3980</v>
      </c>
      <c r="G46" s="47">
        <v>45</v>
      </c>
      <c r="H46" s="38" t="s">
        <v>9</v>
      </c>
      <c r="I46" s="38">
        <v>1</v>
      </c>
      <c r="J46" s="39">
        <v>0.41856620875479089</v>
      </c>
      <c r="K46" s="40">
        <f>ROUND(NORMINV(J46,IO!$B$10,IO!$B$11),0)</f>
        <v>102</v>
      </c>
      <c r="L46" s="40">
        <f>MIN(K46,IO!$B$4+IO!$B$8)</f>
        <v>102</v>
      </c>
      <c r="M46" s="40">
        <f>IF(L46-I46&gt;IO!$B$4,Model!L46-Model!I46-IO!$B$4,0)</f>
        <v>1</v>
      </c>
      <c r="N46" s="41">
        <f>IO!$B$5*Model!L46-IO!$B$6*Model!M46</f>
        <v>3980</v>
      </c>
    </row>
    <row r="47" spans="1:14" x14ac:dyDescent="0.35">
      <c r="A47" s="30">
        <v>46</v>
      </c>
      <c r="B47" s="31">
        <v>4</v>
      </c>
      <c r="C47" s="32">
        <f>(IO!$B$4+IO!$B$8)</f>
        <v>102</v>
      </c>
      <c r="D47" s="32">
        <f>IF(B47&gt;IO!$B$8,0,IO!$B$8-Model!B47)</f>
        <v>0</v>
      </c>
      <c r="E47" s="33">
        <f>IO!$B$5*C47-IO!$B$6*D47</f>
        <v>4080</v>
      </c>
      <c r="G47" s="47">
        <v>46</v>
      </c>
      <c r="H47" s="38" t="s">
        <v>7</v>
      </c>
      <c r="I47" s="38">
        <v>4</v>
      </c>
      <c r="J47" s="39">
        <v>0.57569350443208012</v>
      </c>
      <c r="K47" s="40">
        <f>ROUND(NORMINV(J47,IO!$B$10,IO!$B$11),0)</f>
        <v>104</v>
      </c>
      <c r="L47" s="40">
        <f>MIN(K47,IO!$B$4+IO!$B$8)</f>
        <v>102</v>
      </c>
      <c r="M47" s="40">
        <f>IF(L47-I47&gt;IO!$B$4,Model!L47-Model!I47-IO!$B$4,0)</f>
        <v>0</v>
      </c>
      <c r="N47" s="41">
        <f>IO!$B$5*Model!L47-IO!$B$6*Model!M47</f>
        <v>4080</v>
      </c>
    </row>
    <row r="48" spans="1:14" x14ac:dyDescent="0.35">
      <c r="A48" s="30">
        <v>47</v>
      </c>
      <c r="B48" s="31">
        <v>2</v>
      </c>
      <c r="C48" s="32">
        <f>(IO!$B$4+IO!$B$8)</f>
        <v>102</v>
      </c>
      <c r="D48" s="32">
        <f>IF(B48&gt;IO!$B$8,0,IO!$B$8-Model!B48)</f>
        <v>0</v>
      </c>
      <c r="E48" s="33">
        <f>IO!$B$5*C48-IO!$B$6*D48</f>
        <v>4080</v>
      </c>
      <c r="G48" s="47">
        <v>47</v>
      </c>
      <c r="H48" s="38" t="s">
        <v>8</v>
      </c>
      <c r="I48" s="38">
        <v>2</v>
      </c>
      <c r="J48" s="39">
        <v>0.33381818703965871</v>
      </c>
      <c r="K48" s="40">
        <f>ROUND(NORMINV(J48,IO!$B$10,IO!$B$11),0)</f>
        <v>101</v>
      </c>
      <c r="L48" s="40">
        <f>MIN(K48,IO!$B$4+IO!$B$8)</f>
        <v>101</v>
      </c>
      <c r="M48" s="40">
        <f>IF(L48-I48&gt;IO!$B$4,Model!L48-Model!I48-IO!$B$4,0)</f>
        <v>0</v>
      </c>
      <c r="N48" s="41">
        <f>IO!$B$5*Model!L48-IO!$B$6*Model!M48</f>
        <v>4040</v>
      </c>
    </row>
    <row r="49" spans="1:14" x14ac:dyDescent="0.35">
      <c r="A49" s="30">
        <v>48</v>
      </c>
      <c r="B49" s="31">
        <v>2</v>
      </c>
      <c r="C49" s="32">
        <f>(IO!$B$4+IO!$B$8)</f>
        <v>102</v>
      </c>
      <c r="D49" s="32">
        <f>IF(B49&gt;IO!$B$8,0,IO!$B$8-Model!B49)</f>
        <v>0</v>
      </c>
      <c r="E49" s="33">
        <f>IO!$B$5*C49-IO!$B$6*D49</f>
        <v>4080</v>
      </c>
      <c r="G49" s="47">
        <v>48</v>
      </c>
      <c r="H49" s="38" t="s">
        <v>9</v>
      </c>
      <c r="I49" s="38">
        <v>2</v>
      </c>
      <c r="J49" s="39">
        <v>0.47231082917561917</v>
      </c>
      <c r="K49" s="40">
        <f>ROUND(NORMINV(J49,IO!$B$10,IO!$B$11),0)</f>
        <v>103</v>
      </c>
      <c r="L49" s="40">
        <f>MIN(K49,IO!$B$4+IO!$B$8)</f>
        <v>102</v>
      </c>
      <c r="M49" s="40">
        <f>IF(L49-I49&gt;IO!$B$4,Model!L49-Model!I49-IO!$B$4,0)</f>
        <v>0</v>
      </c>
      <c r="N49" s="41">
        <f>IO!$B$5*Model!L49-IO!$B$6*Model!M49</f>
        <v>4080</v>
      </c>
    </row>
    <row r="50" spans="1:14" x14ac:dyDescent="0.35">
      <c r="A50" s="30">
        <v>49</v>
      </c>
      <c r="B50" s="31">
        <v>2</v>
      </c>
      <c r="C50" s="32">
        <f>(IO!$B$4+IO!$B$8)</f>
        <v>102</v>
      </c>
      <c r="D50" s="32">
        <f>IF(B50&gt;IO!$B$8,0,IO!$B$8-Model!B50)</f>
        <v>0</v>
      </c>
      <c r="E50" s="33">
        <f>IO!$B$5*C50-IO!$B$6*D50</f>
        <v>4080</v>
      </c>
      <c r="G50" s="47">
        <v>49</v>
      </c>
      <c r="H50" s="38" t="s">
        <v>7</v>
      </c>
      <c r="I50" s="38">
        <v>2</v>
      </c>
      <c r="J50" s="39">
        <v>0.32526285689285839</v>
      </c>
      <c r="K50" s="40">
        <f>ROUND(NORMINV(J50,IO!$B$10,IO!$B$11),0)</f>
        <v>101</v>
      </c>
      <c r="L50" s="40">
        <f>MIN(K50,IO!$B$4+IO!$B$8)</f>
        <v>101</v>
      </c>
      <c r="M50" s="40">
        <f>IF(L50-I50&gt;IO!$B$4,Model!L50-Model!I50-IO!$B$4,0)</f>
        <v>0</v>
      </c>
      <c r="N50" s="41">
        <f>IO!$B$5*Model!L50-IO!$B$6*Model!M50</f>
        <v>4040</v>
      </c>
    </row>
    <row r="51" spans="1:14" x14ac:dyDescent="0.35">
      <c r="A51" s="30">
        <v>50</v>
      </c>
      <c r="B51" s="31">
        <v>6</v>
      </c>
      <c r="C51" s="32">
        <f>(IO!$B$4+IO!$B$8)</f>
        <v>102</v>
      </c>
      <c r="D51" s="32">
        <f>IF(B51&gt;IO!$B$8,0,IO!$B$8-Model!B51)</f>
        <v>0</v>
      </c>
      <c r="E51" s="33">
        <f>IO!$B$5*C51-IO!$B$6*D51</f>
        <v>4080</v>
      </c>
      <c r="G51" s="47">
        <v>50</v>
      </c>
      <c r="H51" s="38" t="s">
        <v>8</v>
      </c>
      <c r="I51" s="38">
        <v>6</v>
      </c>
      <c r="J51" s="39">
        <v>0.49078183844347112</v>
      </c>
      <c r="K51" s="40">
        <f>ROUND(NORMINV(J51,IO!$B$10,IO!$B$11),0)</f>
        <v>103</v>
      </c>
      <c r="L51" s="40">
        <f>MIN(K51,IO!$B$4+IO!$B$8)</f>
        <v>102</v>
      </c>
      <c r="M51" s="40">
        <f>IF(L51-I51&gt;IO!$B$4,Model!L51-Model!I51-IO!$B$4,0)</f>
        <v>0</v>
      </c>
      <c r="N51" s="41">
        <f>IO!$B$5*Model!L51-IO!$B$6*Model!M51</f>
        <v>4080</v>
      </c>
    </row>
    <row r="52" spans="1:14" x14ac:dyDescent="0.35">
      <c r="A52" s="30">
        <v>51</v>
      </c>
      <c r="B52" s="31">
        <v>0</v>
      </c>
      <c r="C52" s="32">
        <f>(IO!$B$4+IO!$B$8)</f>
        <v>102</v>
      </c>
      <c r="D52" s="32">
        <f>IF(B52&gt;IO!$B$8,0,IO!$B$8-Model!B52)</f>
        <v>2</v>
      </c>
      <c r="E52" s="33">
        <f>IO!$B$5*C52-IO!$B$6*D52</f>
        <v>3880</v>
      </c>
      <c r="G52" s="47">
        <v>51</v>
      </c>
      <c r="H52" s="38" t="s">
        <v>9</v>
      </c>
      <c r="I52" s="38">
        <v>0</v>
      </c>
      <c r="J52" s="39">
        <v>0.83357886509341583</v>
      </c>
      <c r="K52" s="40">
        <f>ROUND(NORMINV(J52,IO!$B$10,IO!$B$11),0)</f>
        <v>108</v>
      </c>
      <c r="L52" s="40">
        <f>MIN(K52,IO!$B$4+IO!$B$8)</f>
        <v>102</v>
      </c>
      <c r="M52" s="40">
        <f>IF(L52-I52&gt;IO!$B$4,Model!L52-Model!I52-IO!$B$4,0)</f>
        <v>2</v>
      </c>
      <c r="N52" s="41">
        <f>IO!$B$5*Model!L52-IO!$B$6*Model!M52</f>
        <v>3880</v>
      </c>
    </row>
    <row r="53" spans="1:14" x14ac:dyDescent="0.35">
      <c r="A53" s="30">
        <v>52</v>
      </c>
      <c r="B53" s="31">
        <v>5</v>
      </c>
      <c r="C53" s="32">
        <f>(IO!$B$4+IO!$B$8)</f>
        <v>102</v>
      </c>
      <c r="D53" s="32">
        <f>IF(B53&gt;IO!$B$8,0,IO!$B$8-Model!B53)</f>
        <v>0</v>
      </c>
      <c r="E53" s="33">
        <f>IO!$B$5*C53-IO!$B$6*D53</f>
        <v>4080</v>
      </c>
      <c r="G53" s="47">
        <v>52</v>
      </c>
      <c r="H53" s="38" t="s">
        <v>7</v>
      </c>
      <c r="I53" s="38">
        <v>5</v>
      </c>
      <c r="J53" s="39">
        <v>0.3928217566310519</v>
      </c>
      <c r="K53" s="40">
        <f>ROUND(NORMINV(J53,IO!$B$10,IO!$B$11),0)</f>
        <v>102</v>
      </c>
      <c r="L53" s="40">
        <f>MIN(K53,IO!$B$4+IO!$B$8)</f>
        <v>102</v>
      </c>
      <c r="M53" s="40">
        <f>IF(L53-I53&gt;IO!$B$4,Model!L53-Model!I53-IO!$B$4,0)</f>
        <v>0</v>
      </c>
      <c r="N53" s="41">
        <f>IO!$B$5*Model!L53-IO!$B$6*Model!M53</f>
        <v>4080</v>
      </c>
    </row>
    <row r="54" spans="1:14" x14ac:dyDescent="0.35">
      <c r="A54" s="30">
        <v>53</v>
      </c>
      <c r="B54" s="31">
        <v>3</v>
      </c>
      <c r="C54" s="32">
        <f>(IO!$B$4+IO!$B$8)</f>
        <v>102</v>
      </c>
      <c r="D54" s="32">
        <f>IF(B54&gt;IO!$B$8,0,IO!$B$8-Model!B54)</f>
        <v>0</v>
      </c>
      <c r="E54" s="33">
        <f>IO!$B$5*C54-IO!$B$6*D54</f>
        <v>4080</v>
      </c>
      <c r="G54" s="47">
        <v>53</v>
      </c>
      <c r="H54" s="38" t="s">
        <v>8</v>
      </c>
      <c r="I54" s="38">
        <v>3</v>
      </c>
      <c r="J54" s="39">
        <v>1.479677527098433E-2</v>
      </c>
      <c r="K54" s="40">
        <f>ROUND(NORMINV(J54,IO!$B$10,IO!$B$11),0)</f>
        <v>92</v>
      </c>
      <c r="L54" s="40">
        <f>MIN(K54,IO!$B$4+IO!$B$8)</f>
        <v>92</v>
      </c>
      <c r="M54" s="40">
        <f>IF(L54-I54&gt;IO!$B$4,Model!L54-Model!I54-IO!$B$4,0)</f>
        <v>0</v>
      </c>
      <c r="N54" s="41">
        <f>IO!$B$5*Model!L54-IO!$B$6*Model!M54</f>
        <v>3680</v>
      </c>
    </row>
    <row r="55" spans="1:14" x14ac:dyDescent="0.35">
      <c r="A55" s="30">
        <v>54</v>
      </c>
      <c r="B55" s="31">
        <v>2</v>
      </c>
      <c r="C55" s="32">
        <f>(IO!$B$4+IO!$B$8)</f>
        <v>102</v>
      </c>
      <c r="D55" s="32">
        <f>IF(B55&gt;IO!$B$8,0,IO!$B$8-Model!B55)</f>
        <v>0</v>
      </c>
      <c r="E55" s="33">
        <f>IO!$B$5*C55-IO!$B$6*D55</f>
        <v>4080</v>
      </c>
      <c r="G55" s="47">
        <v>54</v>
      </c>
      <c r="H55" s="38" t="s">
        <v>9</v>
      </c>
      <c r="I55" s="38">
        <v>2</v>
      </c>
      <c r="J55" s="39">
        <v>0.38851967629167028</v>
      </c>
      <c r="K55" s="40">
        <f>ROUND(NORMINV(J55,IO!$B$10,IO!$B$11),0)</f>
        <v>102</v>
      </c>
      <c r="L55" s="40">
        <f>MIN(K55,IO!$B$4+IO!$B$8)</f>
        <v>102</v>
      </c>
      <c r="M55" s="40">
        <f>IF(L55-I55&gt;IO!$B$4,Model!L55-Model!I55-IO!$B$4,0)</f>
        <v>0</v>
      </c>
      <c r="N55" s="41">
        <f>IO!$B$5*Model!L55-IO!$B$6*Model!M55</f>
        <v>4080</v>
      </c>
    </row>
    <row r="56" spans="1:14" x14ac:dyDescent="0.35">
      <c r="A56" s="30">
        <v>55</v>
      </c>
      <c r="B56" s="31">
        <v>2</v>
      </c>
      <c r="C56" s="32">
        <f>(IO!$B$4+IO!$B$8)</f>
        <v>102</v>
      </c>
      <c r="D56" s="32">
        <f>IF(B56&gt;IO!$B$8,0,IO!$B$8-Model!B56)</f>
        <v>0</v>
      </c>
      <c r="E56" s="33">
        <f>IO!$B$5*C56-IO!$B$6*D56</f>
        <v>4080</v>
      </c>
      <c r="G56" s="47">
        <v>55</v>
      </c>
      <c r="H56" s="38" t="s">
        <v>7</v>
      </c>
      <c r="I56" s="38">
        <v>2</v>
      </c>
      <c r="J56" s="39">
        <v>0.53277437601527067</v>
      </c>
      <c r="K56" s="40">
        <f>ROUND(NORMINV(J56,IO!$B$10,IO!$B$11),0)</f>
        <v>103</v>
      </c>
      <c r="L56" s="40">
        <f>MIN(K56,IO!$B$4+IO!$B$8)</f>
        <v>102</v>
      </c>
      <c r="M56" s="40">
        <f>IF(L56-I56&gt;IO!$B$4,Model!L56-Model!I56-IO!$B$4,0)</f>
        <v>0</v>
      </c>
      <c r="N56" s="41">
        <f>IO!$B$5*Model!L56-IO!$B$6*Model!M56</f>
        <v>4080</v>
      </c>
    </row>
    <row r="57" spans="1:14" x14ac:dyDescent="0.35">
      <c r="A57" s="30">
        <v>56</v>
      </c>
      <c r="B57" s="31">
        <v>3</v>
      </c>
      <c r="C57" s="32">
        <f>(IO!$B$4+IO!$B$8)</f>
        <v>102</v>
      </c>
      <c r="D57" s="32">
        <f>IF(B57&gt;IO!$B$8,0,IO!$B$8-Model!B57)</f>
        <v>0</v>
      </c>
      <c r="E57" s="33">
        <f>IO!$B$5*C57-IO!$B$6*D57</f>
        <v>4080</v>
      </c>
      <c r="G57" s="47">
        <v>56</v>
      </c>
      <c r="H57" s="38" t="s">
        <v>8</v>
      </c>
      <c r="I57" s="38">
        <v>3</v>
      </c>
      <c r="J57" s="39">
        <v>0.12723168776584659</v>
      </c>
      <c r="K57" s="40">
        <f>ROUND(NORMINV(J57,IO!$B$10,IO!$B$11),0)</f>
        <v>97</v>
      </c>
      <c r="L57" s="40">
        <f>MIN(K57,IO!$B$4+IO!$B$8)</f>
        <v>97</v>
      </c>
      <c r="M57" s="40">
        <f>IF(L57-I57&gt;IO!$B$4,Model!L57-Model!I57-IO!$B$4,0)</f>
        <v>0</v>
      </c>
      <c r="N57" s="41">
        <f>IO!$B$5*Model!L57-IO!$B$6*Model!M57</f>
        <v>3880</v>
      </c>
    </row>
    <row r="58" spans="1:14" x14ac:dyDescent="0.35">
      <c r="A58" s="30">
        <v>57</v>
      </c>
      <c r="B58" s="31">
        <v>2</v>
      </c>
      <c r="C58" s="32">
        <f>(IO!$B$4+IO!$B$8)</f>
        <v>102</v>
      </c>
      <c r="D58" s="32">
        <f>IF(B58&gt;IO!$B$8,0,IO!$B$8-Model!B58)</f>
        <v>0</v>
      </c>
      <c r="E58" s="33">
        <f>IO!$B$5*C58-IO!$B$6*D58</f>
        <v>4080</v>
      </c>
      <c r="G58" s="47">
        <v>57</v>
      </c>
      <c r="H58" s="38" t="s">
        <v>9</v>
      </c>
      <c r="I58" s="38">
        <v>2</v>
      </c>
      <c r="J58" s="39">
        <v>0.7607756043130669</v>
      </c>
      <c r="K58" s="40">
        <f>ROUND(NORMINV(J58,IO!$B$10,IO!$B$11),0)</f>
        <v>107</v>
      </c>
      <c r="L58" s="40">
        <f>MIN(K58,IO!$B$4+IO!$B$8)</f>
        <v>102</v>
      </c>
      <c r="M58" s="40">
        <f>IF(L58-I58&gt;IO!$B$4,Model!L58-Model!I58-IO!$B$4,0)</f>
        <v>0</v>
      </c>
      <c r="N58" s="41">
        <f>IO!$B$5*Model!L58-IO!$B$6*Model!M58</f>
        <v>4080</v>
      </c>
    </row>
    <row r="59" spans="1:14" x14ac:dyDescent="0.35">
      <c r="A59" s="30">
        <v>58</v>
      </c>
      <c r="B59" s="31">
        <v>4</v>
      </c>
      <c r="C59" s="32">
        <f>(IO!$B$4+IO!$B$8)</f>
        <v>102</v>
      </c>
      <c r="D59" s="32">
        <f>IF(B59&gt;IO!$B$8,0,IO!$B$8-Model!B59)</f>
        <v>0</v>
      </c>
      <c r="E59" s="33">
        <f>IO!$B$5*C59-IO!$B$6*D59</f>
        <v>4080</v>
      </c>
      <c r="G59" s="47">
        <v>58</v>
      </c>
      <c r="H59" s="38" t="s">
        <v>7</v>
      </c>
      <c r="I59" s="38">
        <v>4</v>
      </c>
      <c r="J59" s="39">
        <v>0.21281795298026496</v>
      </c>
      <c r="K59" s="40">
        <f>ROUND(NORMINV(J59,IO!$B$10,IO!$B$11),0)</f>
        <v>99</v>
      </c>
      <c r="L59" s="40">
        <f>MIN(K59,IO!$B$4+IO!$B$8)</f>
        <v>99</v>
      </c>
      <c r="M59" s="40">
        <f>IF(L59-I59&gt;IO!$B$4,Model!L59-Model!I59-IO!$B$4,0)</f>
        <v>0</v>
      </c>
      <c r="N59" s="41">
        <f>IO!$B$5*Model!L59-IO!$B$6*Model!M59</f>
        <v>3960</v>
      </c>
    </row>
    <row r="60" spans="1:14" x14ac:dyDescent="0.35">
      <c r="A60" s="30">
        <v>59</v>
      </c>
      <c r="B60" s="31">
        <v>1</v>
      </c>
      <c r="C60" s="32">
        <f>(IO!$B$4+IO!$B$8)</f>
        <v>102</v>
      </c>
      <c r="D60" s="32">
        <f>IF(B60&gt;IO!$B$8,0,IO!$B$8-Model!B60)</f>
        <v>1</v>
      </c>
      <c r="E60" s="33">
        <f>IO!$B$5*C60-IO!$B$6*D60</f>
        <v>3980</v>
      </c>
      <c r="G60" s="47">
        <v>59</v>
      </c>
      <c r="H60" s="38" t="s">
        <v>8</v>
      </c>
      <c r="I60" s="38">
        <v>1</v>
      </c>
      <c r="J60" s="39">
        <v>0.51716392815510026</v>
      </c>
      <c r="K60" s="40">
        <f>ROUND(NORMINV(J60,IO!$B$10,IO!$B$11),0)</f>
        <v>103</v>
      </c>
      <c r="L60" s="40">
        <f>MIN(K60,IO!$B$4+IO!$B$8)</f>
        <v>102</v>
      </c>
      <c r="M60" s="40">
        <f>IF(L60-I60&gt;IO!$B$4,Model!L60-Model!I60-IO!$B$4,0)</f>
        <v>1</v>
      </c>
      <c r="N60" s="41">
        <f>IO!$B$5*Model!L60-IO!$B$6*Model!M60</f>
        <v>3980</v>
      </c>
    </row>
    <row r="61" spans="1:14" x14ac:dyDescent="0.35">
      <c r="A61" s="30">
        <v>60</v>
      </c>
      <c r="B61" s="31">
        <v>0</v>
      </c>
      <c r="C61" s="32">
        <f>(IO!$B$4+IO!$B$8)</f>
        <v>102</v>
      </c>
      <c r="D61" s="32">
        <f>IF(B61&gt;IO!$B$8,0,IO!$B$8-Model!B61)</f>
        <v>2</v>
      </c>
      <c r="E61" s="33">
        <f>IO!$B$5*C61-IO!$B$6*D61</f>
        <v>3880</v>
      </c>
      <c r="G61" s="47">
        <v>60</v>
      </c>
      <c r="H61" s="38" t="s">
        <v>9</v>
      </c>
      <c r="I61" s="38">
        <v>0</v>
      </c>
      <c r="J61" s="39">
        <v>9.9232614460698754E-2</v>
      </c>
      <c r="K61" s="40">
        <f>ROUND(NORMINV(J61,IO!$B$10,IO!$B$11),0)</f>
        <v>97</v>
      </c>
      <c r="L61" s="40">
        <f>MIN(K61,IO!$B$4+IO!$B$8)</f>
        <v>97</v>
      </c>
      <c r="M61" s="40">
        <f>IF(L61-I61&gt;IO!$B$4,Model!L61-Model!I61-IO!$B$4,0)</f>
        <v>0</v>
      </c>
      <c r="N61" s="41">
        <f>IO!$B$5*Model!L61-IO!$B$6*Model!M61</f>
        <v>3880</v>
      </c>
    </row>
    <row r="62" spans="1:14" x14ac:dyDescent="0.35">
      <c r="A62" s="30">
        <v>61</v>
      </c>
      <c r="B62" s="31">
        <v>5</v>
      </c>
      <c r="C62" s="32">
        <f>(IO!$B$4+IO!$B$8)</f>
        <v>102</v>
      </c>
      <c r="D62" s="32">
        <f>IF(B62&gt;IO!$B$8,0,IO!$B$8-Model!B62)</f>
        <v>0</v>
      </c>
      <c r="E62" s="33">
        <f>IO!$B$5*C62-IO!$B$6*D62</f>
        <v>4080</v>
      </c>
      <c r="G62" s="47">
        <v>61</v>
      </c>
      <c r="H62" s="38" t="s">
        <v>7</v>
      </c>
      <c r="I62" s="38">
        <v>5</v>
      </c>
      <c r="J62" s="39">
        <v>0.97567111913179494</v>
      </c>
      <c r="K62" s="40">
        <f>ROUND(NORMINV(J62,IO!$B$10,IO!$B$11),0)</f>
        <v>113</v>
      </c>
      <c r="L62" s="40">
        <f>MIN(K62,IO!$B$4+IO!$B$8)</f>
        <v>102</v>
      </c>
      <c r="M62" s="40">
        <f>IF(L62-I62&gt;IO!$B$4,Model!L62-Model!I62-IO!$B$4,0)</f>
        <v>0</v>
      </c>
      <c r="N62" s="41">
        <f>IO!$B$5*Model!L62-IO!$B$6*Model!M62</f>
        <v>4080</v>
      </c>
    </row>
    <row r="63" spans="1:14" x14ac:dyDescent="0.35">
      <c r="A63" s="30">
        <v>62</v>
      </c>
      <c r="B63" s="31">
        <v>3</v>
      </c>
      <c r="C63" s="32">
        <f>(IO!$B$4+IO!$B$8)</f>
        <v>102</v>
      </c>
      <c r="D63" s="32">
        <f>IF(B63&gt;IO!$B$8,0,IO!$B$8-Model!B63)</f>
        <v>0</v>
      </c>
      <c r="E63" s="33">
        <f>IO!$B$5*C63-IO!$B$6*D63</f>
        <v>4080</v>
      </c>
      <c r="G63" s="47">
        <v>62</v>
      </c>
      <c r="H63" s="38" t="s">
        <v>8</v>
      </c>
      <c r="I63" s="38">
        <v>3</v>
      </c>
      <c r="J63" s="39">
        <v>0.52143915737919233</v>
      </c>
      <c r="K63" s="40">
        <f>ROUND(NORMINV(J63,IO!$B$10,IO!$B$11),0)</f>
        <v>103</v>
      </c>
      <c r="L63" s="40">
        <f>MIN(K63,IO!$B$4+IO!$B$8)</f>
        <v>102</v>
      </c>
      <c r="M63" s="40">
        <f>IF(L63-I63&gt;IO!$B$4,Model!L63-Model!I63-IO!$B$4,0)</f>
        <v>0</v>
      </c>
      <c r="N63" s="41">
        <f>IO!$B$5*Model!L63-IO!$B$6*Model!M63</f>
        <v>4080</v>
      </c>
    </row>
    <row r="64" spans="1:14" x14ac:dyDescent="0.35">
      <c r="A64" s="30">
        <v>63</v>
      </c>
      <c r="B64" s="31">
        <v>2</v>
      </c>
      <c r="C64" s="32">
        <f>(IO!$B$4+IO!$B$8)</f>
        <v>102</v>
      </c>
      <c r="D64" s="32">
        <f>IF(B64&gt;IO!$B$8,0,IO!$B$8-Model!B64)</f>
        <v>0</v>
      </c>
      <c r="E64" s="33">
        <f>IO!$B$5*C64-IO!$B$6*D64</f>
        <v>4080</v>
      </c>
      <c r="G64" s="47">
        <v>63</v>
      </c>
      <c r="H64" s="38" t="s">
        <v>9</v>
      </c>
      <c r="I64" s="38">
        <v>2</v>
      </c>
      <c r="J64" s="39">
        <v>0.42321494323505471</v>
      </c>
      <c r="K64" s="40">
        <f>ROUND(NORMINV(J64,IO!$B$10,IO!$B$11),0)</f>
        <v>102</v>
      </c>
      <c r="L64" s="40">
        <f>MIN(K64,IO!$B$4+IO!$B$8)</f>
        <v>102</v>
      </c>
      <c r="M64" s="40">
        <f>IF(L64-I64&gt;IO!$B$4,Model!L64-Model!I64-IO!$B$4,0)</f>
        <v>0</v>
      </c>
      <c r="N64" s="41">
        <f>IO!$B$5*Model!L64-IO!$B$6*Model!M64</f>
        <v>4080</v>
      </c>
    </row>
    <row r="65" spans="1:14" x14ac:dyDescent="0.35">
      <c r="A65" s="30">
        <v>64</v>
      </c>
      <c r="B65" s="31">
        <v>3</v>
      </c>
      <c r="C65" s="32">
        <f>(IO!$B$4+IO!$B$8)</f>
        <v>102</v>
      </c>
      <c r="D65" s="32">
        <f>IF(B65&gt;IO!$B$8,0,IO!$B$8-Model!B65)</f>
        <v>0</v>
      </c>
      <c r="E65" s="33">
        <f>IO!$B$5*C65-IO!$B$6*D65</f>
        <v>4080</v>
      </c>
      <c r="G65" s="47">
        <v>64</v>
      </c>
      <c r="H65" s="38" t="s">
        <v>7</v>
      </c>
      <c r="I65" s="38">
        <v>3</v>
      </c>
      <c r="J65" s="39">
        <v>0.59116001251691563</v>
      </c>
      <c r="K65" s="40">
        <f>ROUND(NORMINV(J65,IO!$B$10,IO!$B$11),0)</f>
        <v>104</v>
      </c>
      <c r="L65" s="40">
        <f>MIN(K65,IO!$B$4+IO!$B$8)</f>
        <v>102</v>
      </c>
      <c r="M65" s="40">
        <f>IF(L65-I65&gt;IO!$B$4,Model!L65-Model!I65-IO!$B$4,0)</f>
        <v>0</v>
      </c>
      <c r="N65" s="41">
        <f>IO!$B$5*Model!L65-IO!$B$6*Model!M65</f>
        <v>4080</v>
      </c>
    </row>
    <row r="66" spans="1:14" x14ac:dyDescent="0.35">
      <c r="A66" s="30">
        <v>65</v>
      </c>
      <c r="B66" s="31">
        <v>1</v>
      </c>
      <c r="C66" s="32">
        <f>(IO!$B$4+IO!$B$8)</f>
        <v>102</v>
      </c>
      <c r="D66" s="32">
        <f>IF(B66&gt;IO!$B$8,0,IO!$B$8-Model!B66)</f>
        <v>1</v>
      </c>
      <c r="E66" s="33">
        <f>IO!$B$5*C66-IO!$B$6*D66</f>
        <v>3980</v>
      </c>
      <c r="G66" s="47">
        <v>65</v>
      </c>
      <c r="H66" s="38" t="s">
        <v>8</v>
      </c>
      <c r="I66" s="38">
        <v>1</v>
      </c>
      <c r="J66" s="39">
        <v>1.1871493482811135E-2</v>
      </c>
      <c r="K66" s="40">
        <f>ROUND(NORMINV(J66,IO!$B$10,IO!$B$11),0)</f>
        <v>92</v>
      </c>
      <c r="L66" s="40">
        <f>MIN(K66,IO!$B$4+IO!$B$8)</f>
        <v>92</v>
      </c>
      <c r="M66" s="40">
        <f>IF(L66-I66&gt;IO!$B$4,Model!L66-Model!I66-IO!$B$4,0)</f>
        <v>0</v>
      </c>
      <c r="N66" s="41">
        <f>IO!$B$5*Model!L66-IO!$B$6*Model!M66</f>
        <v>3680</v>
      </c>
    </row>
    <row r="67" spans="1:14" x14ac:dyDescent="0.35">
      <c r="A67" s="30">
        <v>66</v>
      </c>
      <c r="B67" s="31">
        <v>1</v>
      </c>
      <c r="C67" s="32">
        <f>(IO!$B$4+IO!$B$8)</f>
        <v>102</v>
      </c>
      <c r="D67" s="32">
        <f>IF(B67&gt;IO!$B$8,0,IO!$B$8-Model!B67)</f>
        <v>1</v>
      </c>
      <c r="E67" s="33">
        <f>IO!$B$5*C67-IO!$B$6*D67</f>
        <v>3980</v>
      </c>
      <c r="G67" s="47">
        <v>66</v>
      </c>
      <c r="H67" s="38" t="s">
        <v>9</v>
      </c>
      <c r="I67" s="38">
        <v>1</v>
      </c>
      <c r="J67" s="39">
        <v>0.54434709926442026</v>
      </c>
      <c r="K67" s="40">
        <f>ROUND(NORMINV(J67,IO!$B$10,IO!$B$11),0)</f>
        <v>104</v>
      </c>
      <c r="L67" s="40">
        <f>MIN(K67,IO!$B$4+IO!$B$8)</f>
        <v>102</v>
      </c>
      <c r="M67" s="40">
        <f>IF(L67-I67&gt;IO!$B$4,Model!L67-Model!I67-IO!$B$4,0)</f>
        <v>1</v>
      </c>
      <c r="N67" s="41">
        <f>IO!$B$5*Model!L67-IO!$B$6*Model!M67</f>
        <v>3980</v>
      </c>
    </row>
    <row r="68" spans="1:14" x14ac:dyDescent="0.35">
      <c r="A68" s="30">
        <v>67</v>
      </c>
      <c r="B68" s="31">
        <v>2</v>
      </c>
      <c r="C68" s="32">
        <f>(IO!$B$4+IO!$B$8)</f>
        <v>102</v>
      </c>
      <c r="D68" s="32">
        <f>IF(B68&gt;IO!$B$8,0,IO!$B$8-Model!B68)</f>
        <v>0</v>
      </c>
      <c r="E68" s="33">
        <f>IO!$B$5*C68-IO!$B$6*D68</f>
        <v>4080</v>
      </c>
      <c r="G68" s="47">
        <v>67</v>
      </c>
      <c r="H68" s="38" t="s">
        <v>7</v>
      </c>
      <c r="I68" s="38">
        <v>2</v>
      </c>
      <c r="J68" s="39">
        <v>0.27267038901610452</v>
      </c>
      <c r="K68" s="40">
        <f>ROUND(NORMINV(J68,IO!$B$10,IO!$B$11),0)</f>
        <v>100</v>
      </c>
      <c r="L68" s="40">
        <f>MIN(K68,IO!$B$4+IO!$B$8)</f>
        <v>100</v>
      </c>
      <c r="M68" s="40">
        <f>IF(L68-I68&gt;IO!$B$4,Model!L68-Model!I68-IO!$B$4,0)</f>
        <v>0</v>
      </c>
      <c r="N68" s="41">
        <f>IO!$B$5*Model!L68-IO!$B$6*Model!M68</f>
        <v>4000</v>
      </c>
    </row>
    <row r="69" spans="1:14" x14ac:dyDescent="0.35">
      <c r="A69" s="30">
        <v>68</v>
      </c>
      <c r="B69" s="31">
        <v>2</v>
      </c>
      <c r="C69" s="32">
        <f>(IO!$B$4+IO!$B$8)</f>
        <v>102</v>
      </c>
      <c r="D69" s="32">
        <f>IF(B69&gt;IO!$B$8,0,IO!$B$8-Model!B69)</f>
        <v>0</v>
      </c>
      <c r="E69" s="33">
        <f>IO!$B$5*C69-IO!$B$6*D69</f>
        <v>4080</v>
      </c>
      <c r="G69" s="47">
        <v>68</v>
      </c>
      <c r="H69" s="38" t="s">
        <v>8</v>
      </c>
      <c r="I69" s="38">
        <v>2</v>
      </c>
      <c r="J69" s="39">
        <v>0.65232830743747772</v>
      </c>
      <c r="K69" s="40">
        <f>ROUND(NORMINV(J69,IO!$B$10,IO!$B$11),0)</f>
        <v>105</v>
      </c>
      <c r="L69" s="40">
        <f>MIN(K69,IO!$B$4+IO!$B$8)</f>
        <v>102</v>
      </c>
      <c r="M69" s="40">
        <f>IF(L69-I69&gt;IO!$B$4,Model!L69-Model!I69-IO!$B$4,0)</f>
        <v>0</v>
      </c>
      <c r="N69" s="41">
        <f>IO!$B$5*Model!L69-IO!$B$6*Model!M69</f>
        <v>4080</v>
      </c>
    </row>
    <row r="70" spans="1:14" x14ac:dyDescent="0.35">
      <c r="A70" s="30">
        <v>69</v>
      </c>
      <c r="B70" s="31">
        <v>3</v>
      </c>
      <c r="C70" s="32">
        <f>(IO!$B$4+IO!$B$8)</f>
        <v>102</v>
      </c>
      <c r="D70" s="32">
        <f>IF(B70&gt;IO!$B$8,0,IO!$B$8-Model!B70)</f>
        <v>0</v>
      </c>
      <c r="E70" s="33">
        <f>IO!$B$5*C70-IO!$B$6*D70</f>
        <v>4080</v>
      </c>
      <c r="G70" s="47">
        <v>69</v>
      </c>
      <c r="H70" s="38" t="s">
        <v>9</v>
      </c>
      <c r="I70" s="38">
        <v>3</v>
      </c>
      <c r="J70" s="39">
        <v>0.51409078409191944</v>
      </c>
      <c r="K70" s="40">
        <f>ROUND(NORMINV(J70,IO!$B$10,IO!$B$11),0)</f>
        <v>103</v>
      </c>
      <c r="L70" s="40">
        <f>MIN(K70,IO!$B$4+IO!$B$8)</f>
        <v>102</v>
      </c>
      <c r="M70" s="40">
        <f>IF(L70-I70&gt;IO!$B$4,Model!L70-Model!I70-IO!$B$4,0)</f>
        <v>0</v>
      </c>
      <c r="N70" s="41">
        <f>IO!$B$5*Model!L70-IO!$B$6*Model!M70</f>
        <v>4080</v>
      </c>
    </row>
    <row r="71" spans="1:14" x14ac:dyDescent="0.35">
      <c r="A71" s="30">
        <v>70</v>
      </c>
      <c r="B71" s="31">
        <v>3</v>
      </c>
      <c r="C71" s="32">
        <f>(IO!$B$4+IO!$B$8)</f>
        <v>102</v>
      </c>
      <c r="D71" s="32">
        <f>IF(B71&gt;IO!$B$8,0,IO!$B$8-Model!B71)</f>
        <v>0</v>
      </c>
      <c r="E71" s="33">
        <f>IO!$B$5*C71-IO!$B$6*D71</f>
        <v>4080</v>
      </c>
      <c r="G71" s="47">
        <v>70</v>
      </c>
      <c r="H71" s="38" t="s">
        <v>7</v>
      </c>
      <c r="I71" s="38">
        <v>3</v>
      </c>
      <c r="J71" s="39">
        <v>0.34453690300474604</v>
      </c>
      <c r="K71" s="40">
        <f>ROUND(NORMINV(J71,IO!$B$10,IO!$B$11),0)</f>
        <v>101</v>
      </c>
      <c r="L71" s="40">
        <f>MIN(K71,IO!$B$4+IO!$B$8)</f>
        <v>101</v>
      </c>
      <c r="M71" s="40">
        <f>IF(L71-I71&gt;IO!$B$4,Model!L71-Model!I71-IO!$B$4,0)</f>
        <v>0</v>
      </c>
      <c r="N71" s="41">
        <f>IO!$B$5*Model!L71-IO!$B$6*Model!M71</f>
        <v>4040</v>
      </c>
    </row>
    <row r="72" spans="1:14" x14ac:dyDescent="0.35">
      <c r="A72" s="30">
        <v>71</v>
      </c>
      <c r="B72" s="31">
        <v>3</v>
      </c>
      <c r="C72" s="32">
        <f>(IO!$B$4+IO!$B$8)</f>
        <v>102</v>
      </c>
      <c r="D72" s="32">
        <f>IF(B72&gt;IO!$B$8,0,IO!$B$8-Model!B72)</f>
        <v>0</v>
      </c>
      <c r="E72" s="33">
        <f>IO!$B$5*C72-IO!$B$6*D72</f>
        <v>4080</v>
      </c>
      <c r="G72" s="47">
        <v>71</v>
      </c>
      <c r="H72" s="38" t="s">
        <v>8</v>
      </c>
      <c r="I72" s="38">
        <v>3</v>
      </c>
      <c r="J72" s="39">
        <v>0.48365457021387437</v>
      </c>
      <c r="K72" s="40">
        <f>ROUND(NORMINV(J72,IO!$B$10,IO!$B$11),0)</f>
        <v>103</v>
      </c>
      <c r="L72" s="40">
        <f>MIN(K72,IO!$B$4+IO!$B$8)</f>
        <v>102</v>
      </c>
      <c r="M72" s="40">
        <f>IF(L72-I72&gt;IO!$B$4,Model!L72-Model!I72-IO!$B$4,0)</f>
        <v>0</v>
      </c>
      <c r="N72" s="41">
        <f>IO!$B$5*Model!L72-IO!$B$6*Model!M72</f>
        <v>4080</v>
      </c>
    </row>
    <row r="73" spans="1:14" x14ac:dyDescent="0.35">
      <c r="A73" s="30">
        <v>72</v>
      </c>
      <c r="B73" s="31">
        <v>0</v>
      </c>
      <c r="C73" s="32">
        <f>(IO!$B$4+IO!$B$8)</f>
        <v>102</v>
      </c>
      <c r="D73" s="32">
        <f>IF(B73&gt;IO!$B$8,0,IO!$B$8-Model!B73)</f>
        <v>2</v>
      </c>
      <c r="E73" s="33">
        <f>IO!$B$5*C73-IO!$B$6*D73</f>
        <v>3880</v>
      </c>
      <c r="G73" s="47">
        <v>72</v>
      </c>
      <c r="H73" s="38" t="s">
        <v>9</v>
      </c>
      <c r="I73" s="38">
        <v>0</v>
      </c>
      <c r="J73" s="39">
        <v>0.95487220205397172</v>
      </c>
      <c r="K73" s="40">
        <f>ROUND(NORMINV(J73,IO!$B$10,IO!$B$11),0)</f>
        <v>111</v>
      </c>
      <c r="L73" s="40">
        <f>MIN(K73,IO!$B$4+IO!$B$8)</f>
        <v>102</v>
      </c>
      <c r="M73" s="40">
        <f>IF(L73-I73&gt;IO!$B$4,Model!L73-Model!I73-IO!$B$4,0)</f>
        <v>2</v>
      </c>
      <c r="N73" s="41">
        <f>IO!$B$5*Model!L73-IO!$B$6*Model!M73</f>
        <v>3880</v>
      </c>
    </row>
    <row r="74" spans="1:14" x14ac:dyDescent="0.35">
      <c r="A74" s="30">
        <v>73</v>
      </c>
      <c r="B74" s="31">
        <v>5</v>
      </c>
      <c r="C74" s="32">
        <f>(IO!$B$4+IO!$B$8)</f>
        <v>102</v>
      </c>
      <c r="D74" s="32">
        <f>IF(B74&gt;IO!$B$8,0,IO!$B$8-Model!B74)</f>
        <v>0</v>
      </c>
      <c r="E74" s="33">
        <f>IO!$B$5*C74-IO!$B$6*D74</f>
        <v>4080</v>
      </c>
      <c r="G74" s="47">
        <v>73</v>
      </c>
      <c r="H74" s="38" t="s">
        <v>7</v>
      </c>
      <c r="I74" s="38">
        <v>5</v>
      </c>
      <c r="J74" s="39">
        <v>1.5470599169490451E-2</v>
      </c>
      <c r="K74" s="40">
        <f>ROUND(NORMINV(J74,IO!$B$10,IO!$B$11),0)</f>
        <v>92</v>
      </c>
      <c r="L74" s="40">
        <f>MIN(K74,IO!$B$4+IO!$B$8)</f>
        <v>92</v>
      </c>
      <c r="M74" s="40">
        <f>IF(L74-I74&gt;IO!$B$4,Model!L74-Model!I74-IO!$B$4,0)</f>
        <v>0</v>
      </c>
      <c r="N74" s="41">
        <f>IO!$B$5*Model!L74-IO!$B$6*Model!M74</f>
        <v>3680</v>
      </c>
    </row>
    <row r="75" spans="1:14" x14ac:dyDescent="0.35">
      <c r="A75" s="30">
        <v>74</v>
      </c>
      <c r="B75" s="31">
        <v>4</v>
      </c>
      <c r="C75" s="32">
        <f>(IO!$B$4+IO!$B$8)</f>
        <v>102</v>
      </c>
      <c r="D75" s="32">
        <f>IF(B75&gt;IO!$B$8,0,IO!$B$8-Model!B75)</f>
        <v>0</v>
      </c>
      <c r="E75" s="33">
        <f>IO!$B$5*C75-IO!$B$6*D75</f>
        <v>4080</v>
      </c>
      <c r="G75" s="47">
        <v>74</v>
      </c>
      <c r="H75" s="38" t="s">
        <v>8</v>
      </c>
      <c r="I75" s="38">
        <v>4</v>
      </c>
      <c r="J75" s="39">
        <v>0.23410676301166078</v>
      </c>
      <c r="K75" s="40">
        <f>ROUND(NORMINV(J75,IO!$B$10,IO!$B$11),0)</f>
        <v>99</v>
      </c>
      <c r="L75" s="40">
        <f>MIN(K75,IO!$B$4+IO!$B$8)</f>
        <v>99</v>
      </c>
      <c r="M75" s="40">
        <f>IF(L75-I75&gt;IO!$B$4,Model!L75-Model!I75-IO!$B$4,0)</f>
        <v>0</v>
      </c>
      <c r="N75" s="41">
        <f>IO!$B$5*Model!L75-IO!$B$6*Model!M75</f>
        <v>3960</v>
      </c>
    </row>
    <row r="76" spans="1:14" x14ac:dyDescent="0.35">
      <c r="A76" s="30">
        <v>75</v>
      </c>
      <c r="B76" s="31">
        <v>0</v>
      </c>
      <c r="C76" s="32">
        <f>(IO!$B$4+IO!$B$8)</f>
        <v>102</v>
      </c>
      <c r="D76" s="32">
        <f>IF(B76&gt;IO!$B$8,0,IO!$B$8-Model!B76)</f>
        <v>2</v>
      </c>
      <c r="E76" s="33">
        <f>IO!$B$5*C76-IO!$B$6*D76</f>
        <v>3880</v>
      </c>
      <c r="G76" s="47">
        <v>75</v>
      </c>
      <c r="H76" s="38" t="s">
        <v>9</v>
      </c>
      <c r="I76" s="38">
        <v>0</v>
      </c>
      <c r="J76" s="39">
        <v>0.14805439761172423</v>
      </c>
      <c r="K76" s="40">
        <f>ROUND(NORMINV(J76,IO!$B$10,IO!$B$11),0)</f>
        <v>98</v>
      </c>
      <c r="L76" s="40">
        <f>MIN(K76,IO!$B$4+IO!$B$8)</f>
        <v>98</v>
      </c>
      <c r="M76" s="40">
        <f>IF(L76-I76&gt;IO!$B$4,Model!L76-Model!I76-IO!$B$4,0)</f>
        <v>0</v>
      </c>
      <c r="N76" s="41">
        <f>IO!$B$5*Model!L76-IO!$B$6*Model!M76</f>
        <v>3920</v>
      </c>
    </row>
    <row r="77" spans="1:14" x14ac:dyDescent="0.35">
      <c r="A77" s="30">
        <v>76</v>
      </c>
      <c r="B77" s="31">
        <v>4</v>
      </c>
      <c r="C77" s="32">
        <f>(IO!$B$4+IO!$B$8)</f>
        <v>102</v>
      </c>
      <c r="D77" s="32">
        <f>IF(B77&gt;IO!$B$8,0,IO!$B$8-Model!B77)</f>
        <v>0</v>
      </c>
      <c r="E77" s="33">
        <f>IO!$B$5*C77-IO!$B$6*D77</f>
        <v>4080</v>
      </c>
      <c r="G77" s="47">
        <v>76</v>
      </c>
      <c r="H77" s="38" t="s">
        <v>7</v>
      </c>
      <c r="I77" s="38">
        <v>4</v>
      </c>
      <c r="J77" s="39">
        <v>0.23623199610035595</v>
      </c>
      <c r="K77" s="40">
        <f>ROUND(NORMINV(J77,IO!$B$10,IO!$B$11),0)</f>
        <v>99</v>
      </c>
      <c r="L77" s="40">
        <f>MIN(K77,IO!$B$4+IO!$B$8)</f>
        <v>99</v>
      </c>
      <c r="M77" s="40">
        <f>IF(L77-I77&gt;IO!$B$4,Model!L77-Model!I77-IO!$B$4,0)</f>
        <v>0</v>
      </c>
      <c r="N77" s="41">
        <f>IO!$B$5*Model!L77-IO!$B$6*Model!M77</f>
        <v>3960</v>
      </c>
    </row>
    <row r="78" spans="1:14" x14ac:dyDescent="0.35">
      <c r="A78" s="30">
        <v>77</v>
      </c>
      <c r="B78" s="31">
        <v>3</v>
      </c>
      <c r="C78" s="32">
        <f>(IO!$B$4+IO!$B$8)</f>
        <v>102</v>
      </c>
      <c r="D78" s="32">
        <f>IF(B78&gt;IO!$B$8,0,IO!$B$8-Model!B78)</f>
        <v>0</v>
      </c>
      <c r="E78" s="33">
        <f>IO!$B$5*C78-IO!$B$6*D78</f>
        <v>4080</v>
      </c>
      <c r="G78" s="47">
        <v>77</v>
      </c>
      <c r="H78" s="38" t="s">
        <v>8</v>
      </c>
      <c r="I78" s="38">
        <v>3</v>
      </c>
      <c r="J78" s="39">
        <v>0.87830320168574827</v>
      </c>
      <c r="K78" s="40">
        <f>ROUND(NORMINV(J78,IO!$B$10,IO!$B$11),0)</f>
        <v>109</v>
      </c>
      <c r="L78" s="40">
        <f>MIN(K78,IO!$B$4+IO!$B$8)</f>
        <v>102</v>
      </c>
      <c r="M78" s="40">
        <f>IF(L78-I78&gt;IO!$B$4,Model!L78-Model!I78-IO!$B$4,0)</f>
        <v>0</v>
      </c>
      <c r="N78" s="41">
        <f>IO!$B$5*Model!L78-IO!$B$6*Model!M78</f>
        <v>4080</v>
      </c>
    </row>
    <row r="79" spans="1:14" x14ac:dyDescent="0.35">
      <c r="A79" s="30">
        <v>78</v>
      </c>
      <c r="B79" s="31">
        <v>2</v>
      </c>
      <c r="C79" s="32">
        <f>(IO!$B$4+IO!$B$8)</f>
        <v>102</v>
      </c>
      <c r="D79" s="32">
        <f>IF(B79&gt;IO!$B$8,0,IO!$B$8-Model!B79)</f>
        <v>0</v>
      </c>
      <c r="E79" s="33">
        <f>IO!$B$5*C79-IO!$B$6*D79</f>
        <v>4080</v>
      </c>
      <c r="G79" s="47">
        <v>78</v>
      </c>
      <c r="H79" s="38" t="s">
        <v>9</v>
      </c>
      <c r="I79" s="38">
        <v>2</v>
      </c>
      <c r="J79" s="39">
        <v>0.74603124976078516</v>
      </c>
      <c r="K79" s="40">
        <f>ROUND(NORMINV(J79,IO!$B$10,IO!$B$11),0)</f>
        <v>106</v>
      </c>
      <c r="L79" s="40">
        <f>MIN(K79,IO!$B$4+IO!$B$8)</f>
        <v>102</v>
      </c>
      <c r="M79" s="40">
        <f>IF(L79-I79&gt;IO!$B$4,Model!L79-Model!I79-IO!$B$4,0)</f>
        <v>0</v>
      </c>
      <c r="N79" s="41">
        <f>IO!$B$5*Model!L79-IO!$B$6*Model!M79</f>
        <v>4080</v>
      </c>
    </row>
    <row r="80" spans="1:14" x14ac:dyDescent="0.35">
      <c r="A80" s="30">
        <v>79</v>
      </c>
      <c r="B80" s="31">
        <v>5</v>
      </c>
      <c r="C80" s="32">
        <f>(IO!$B$4+IO!$B$8)</f>
        <v>102</v>
      </c>
      <c r="D80" s="32">
        <f>IF(B80&gt;IO!$B$8,0,IO!$B$8-Model!B80)</f>
        <v>0</v>
      </c>
      <c r="E80" s="33">
        <f>IO!$B$5*C80-IO!$B$6*D80</f>
        <v>4080</v>
      </c>
      <c r="G80" s="47">
        <v>79</v>
      </c>
      <c r="H80" s="38" t="s">
        <v>7</v>
      </c>
      <c r="I80" s="38">
        <v>5</v>
      </c>
      <c r="J80" s="39">
        <v>0.17947627005605993</v>
      </c>
      <c r="K80" s="40">
        <f>ROUND(NORMINV(J80,IO!$B$10,IO!$B$11),0)</f>
        <v>98</v>
      </c>
      <c r="L80" s="40">
        <f>MIN(K80,IO!$B$4+IO!$B$8)</f>
        <v>98</v>
      </c>
      <c r="M80" s="40">
        <f>IF(L80-I80&gt;IO!$B$4,Model!L80-Model!I80-IO!$B$4,0)</f>
        <v>0</v>
      </c>
      <c r="N80" s="41">
        <f>IO!$B$5*Model!L80-IO!$B$6*Model!M80</f>
        <v>3920</v>
      </c>
    </row>
    <row r="81" spans="1:14" x14ac:dyDescent="0.35">
      <c r="A81" s="30">
        <v>80</v>
      </c>
      <c r="B81" s="31">
        <v>3</v>
      </c>
      <c r="C81" s="32">
        <f>(IO!$B$4+IO!$B$8)</f>
        <v>102</v>
      </c>
      <c r="D81" s="32">
        <f>IF(B81&gt;IO!$B$8,0,IO!$B$8-Model!B81)</f>
        <v>0</v>
      </c>
      <c r="E81" s="33">
        <f>IO!$B$5*C81-IO!$B$6*D81</f>
        <v>4080</v>
      </c>
      <c r="G81" s="47">
        <v>80</v>
      </c>
      <c r="H81" s="38" t="s">
        <v>8</v>
      </c>
      <c r="I81" s="38">
        <v>3</v>
      </c>
      <c r="J81" s="39">
        <v>0.6654278602735354</v>
      </c>
      <c r="K81" s="40">
        <f>ROUND(NORMINV(J81,IO!$B$10,IO!$B$11),0)</f>
        <v>105</v>
      </c>
      <c r="L81" s="40">
        <f>MIN(K81,IO!$B$4+IO!$B$8)</f>
        <v>102</v>
      </c>
      <c r="M81" s="40">
        <f>IF(L81-I81&gt;IO!$B$4,Model!L81-Model!I81-IO!$B$4,0)</f>
        <v>0</v>
      </c>
      <c r="N81" s="41">
        <f>IO!$B$5*Model!L81-IO!$B$6*Model!M81</f>
        <v>4080</v>
      </c>
    </row>
    <row r="82" spans="1:14" x14ac:dyDescent="0.35">
      <c r="A82" s="30">
        <v>81</v>
      </c>
      <c r="B82" s="31">
        <v>2</v>
      </c>
      <c r="C82" s="32">
        <f>(IO!$B$4+IO!$B$8)</f>
        <v>102</v>
      </c>
      <c r="D82" s="32">
        <f>IF(B82&gt;IO!$B$8,0,IO!$B$8-Model!B82)</f>
        <v>0</v>
      </c>
      <c r="E82" s="33">
        <f>IO!$B$5*C82-IO!$B$6*D82</f>
        <v>4080</v>
      </c>
      <c r="G82" s="47">
        <v>81</v>
      </c>
      <c r="H82" s="38" t="s">
        <v>9</v>
      </c>
      <c r="I82" s="38">
        <v>2</v>
      </c>
      <c r="J82" s="39">
        <v>0.88138965211640741</v>
      </c>
      <c r="K82" s="40">
        <f>ROUND(NORMINV(J82,IO!$B$10,IO!$B$11),0)</f>
        <v>109</v>
      </c>
      <c r="L82" s="40">
        <f>MIN(K82,IO!$B$4+IO!$B$8)</f>
        <v>102</v>
      </c>
      <c r="M82" s="40">
        <f>IF(L82-I82&gt;IO!$B$4,Model!L82-Model!I82-IO!$B$4,0)</f>
        <v>0</v>
      </c>
      <c r="N82" s="41">
        <f>IO!$B$5*Model!L82-IO!$B$6*Model!M82</f>
        <v>4080</v>
      </c>
    </row>
    <row r="83" spans="1:14" x14ac:dyDescent="0.35">
      <c r="A83" s="30">
        <v>82</v>
      </c>
      <c r="B83" s="31">
        <v>4</v>
      </c>
      <c r="C83" s="32">
        <f>(IO!$B$4+IO!$B$8)</f>
        <v>102</v>
      </c>
      <c r="D83" s="32">
        <f>IF(B83&gt;IO!$B$8,0,IO!$B$8-Model!B83)</f>
        <v>0</v>
      </c>
      <c r="E83" s="33">
        <f>IO!$B$5*C83-IO!$B$6*D83</f>
        <v>4080</v>
      </c>
      <c r="G83" s="47">
        <v>82</v>
      </c>
      <c r="H83" s="38" t="s">
        <v>7</v>
      </c>
      <c r="I83" s="38">
        <v>4</v>
      </c>
      <c r="J83" s="39">
        <v>1.5613994600938041E-2</v>
      </c>
      <c r="K83" s="40">
        <f>ROUND(NORMINV(J83,IO!$B$10,IO!$B$11),0)</f>
        <v>92</v>
      </c>
      <c r="L83" s="40">
        <f>MIN(K83,IO!$B$4+IO!$B$8)</f>
        <v>92</v>
      </c>
      <c r="M83" s="40">
        <f>IF(L83-I83&gt;IO!$B$4,Model!L83-Model!I83-IO!$B$4,0)</f>
        <v>0</v>
      </c>
      <c r="N83" s="41">
        <f>IO!$B$5*Model!L83-IO!$B$6*Model!M83</f>
        <v>3680</v>
      </c>
    </row>
    <row r="84" spans="1:14" x14ac:dyDescent="0.35">
      <c r="A84" s="30">
        <v>83</v>
      </c>
      <c r="B84" s="31">
        <v>1</v>
      </c>
      <c r="C84" s="32">
        <f>(IO!$B$4+IO!$B$8)</f>
        <v>102</v>
      </c>
      <c r="D84" s="32">
        <f>IF(B84&gt;IO!$B$8,0,IO!$B$8-Model!B84)</f>
        <v>1</v>
      </c>
      <c r="E84" s="33">
        <f>IO!$B$5*C84-IO!$B$6*D84</f>
        <v>3980</v>
      </c>
      <c r="G84" s="47">
        <v>83</v>
      </c>
      <c r="H84" s="38" t="s">
        <v>8</v>
      </c>
      <c r="I84" s="38">
        <v>1</v>
      </c>
      <c r="J84" s="39">
        <v>0.45849111568236811</v>
      </c>
      <c r="K84" s="40">
        <f>ROUND(NORMINV(J84,IO!$B$10,IO!$B$11),0)</f>
        <v>102</v>
      </c>
      <c r="L84" s="40">
        <f>MIN(K84,IO!$B$4+IO!$B$8)</f>
        <v>102</v>
      </c>
      <c r="M84" s="40">
        <f>IF(L84-I84&gt;IO!$B$4,Model!L84-Model!I84-IO!$B$4,0)</f>
        <v>1</v>
      </c>
      <c r="N84" s="41">
        <f>IO!$B$5*Model!L84-IO!$B$6*Model!M84</f>
        <v>3980</v>
      </c>
    </row>
    <row r="85" spans="1:14" x14ac:dyDescent="0.35">
      <c r="A85" s="30">
        <v>84</v>
      </c>
      <c r="B85" s="31">
        <v>0</v>
      </c>
      <c r="C85" s="32">
        <f>(IO!$B$4+IO!$B$8)</f>
        <v>102</v>
      </c>
      <c r="D85" s="32">
        <f>IF(B85&gt;IO!$B$8,0,IO!$B$8-Model!B85)</f>
        <v>2</v>
      </c>
      <c r="E85" s="33">
        <f>IO!$B$5*C85-IO!$B$6*D85</f>
        <v>3880</v>
      </c>
      <c r="G85" s="47">
        <v>84</v>
      </c>
      <c r="H85" s="38" t="s">
        <v>9</v>
      </c>
      <c r="I85" s="38">
        <v>0</v>
      </c>
      <c r="J85" s="39">
        <v>0.38198655650670532</v>
      </c>
      <c r="K85" s="40">
        <f>ROUND(NORMINV(J85,IO!$B$10,IO!$B$11),0)</f>
        <v>101</v>
      </c>
      <c r="L85" s="40">
        <f>MIN(K85,IO!$B$4+IO!$B$8)</f>
        <v>101</v>
      </c>
      <c r="M85" s="40">
        <f>IF(L85-I85&gt;IO!$B$4,Model!L85-Model!I85-IO!$B$4,0)</f>
        <v>1</v>
      </c>
      <c r="N85" s="41">
        <f>IO!$B$5*Model!L85-IO!$B$6*Model!M85</f>
        <v>3940</v>
      </c>
    </row>
    <row r="86" spans="1:14" x14ac:dyDescent="0.35">
      <c r="A86" s="30">
        <v>85</v>
      </c>
      <c r="B86" s="31">
        <v>3</v>
      </c>
      <c r="C86" s="32">
        <f>(IO!$B$4+IO!$B$8)</f>
        <v>102</v>
      </c>
      <c r="D86" s="32">
        <f>IF(B86&gt;IO!$B$8,0,IO!$B$8-Model!B86)</f>
        <v>0</v>
      </c>
      <c r="E86" s="33">
        <f>IO!$B$5*C86-IO!$B$6*D86</f>
        <v>4080</v>
      </c>
      <c r="G86" s="47">
        <v>85</v>
      </c>
      <c r="H86" s="38" t="s">
        <v>7</v>
      </c>
      <c r="I86" s="38">
        <v>3</v>
      </c>
      <c r="J86" s="39">
        <v>0.62338965977872707</v>
      </c>
      <c r="K86" s="40">
        <f>ROUND(NORMINV(J86,IO!$B$10,IO!$B$11),0)</f>
        <v>105</v>
      </c>
      <c r="L86" s="40">
        <f>MIN(K86,IO!$B$4+IO!$B$8)</f>
        <v>102</v>
      </c>
      <c r="M86" s="40">
        <f>IF(L86-I86&gt;IO!$B$4,Model!L86-Model!I86-IO!$B$4,0)</f>
        <v>0</v>
      </c>
      <c r="N86" s="41">
        <f>IO!$B$5*Model!L86-IO!$B$6*Model!M86</f>
        <v>4080</v>
      </c>
    </row>
    <row r="87" spans="1:14" x14ac:dyDescent="0.35">
      <c r="A87" s="30">
        <v>86</v>
      </c>
      <c r="B87" s="31">
        <v>2</v>
      </c>
      <c r="C87" s="32">
        <f>(IO!$B$4+IO!$B$8)</f>
        <v>102</v>
      </c>
      <c r="D87" s="32">
        <f>IF(B87&gt;IO!$B$8,0,IO!$B$8-Model!B87)</f>
        <v>0</v>
      </c>
      <c r="E87" s="33">
        <f>IO!$B$5*C87-IO!$B$6*D87</f>
        <v>4080</v>
      </c>
      <c r="G87" s="47">
        <v>86</v>
      </c>
      <c r="H87" s="38" t="s">
        <v>8</v>
      </c>
      <c r="I87" s="38">
        <v>2</v>
      </c>
      <c r="J87" s="39">
        <v>0.84207041540129923</v>
      </c>
      <c r="K87" s="40">
        <f>ROUND(NORMINV(J87,IO!$B$10,IO!$B$11),0)</f>
        <v>108</v>
      </c>
      <c r="L87" s="40">
        <f>MIN(K87,IO!$B$4+IO!$B$8)</f>
        <v>102</v>
      </c>
      <c r="M87" s="40">
        <f>IF(L87-I87&gt;IO!$B$4,Model!L87-Model!I87-IO!$B$4,0)</f>
        <v>0</v>
      </c>
      <c r="N87" s="41">
        <f>IO!$B$5*Model!L87-IO!$B$6*Model!M87</f>
        <v>4080</v>
      </c>
    </row>
    <row r="88" spans="1:14" x14ac:dyDescent="0.35">
      <c r="A88" s="30">
        <v>87</v>
      </c>
      <c r="B88" s="31">
        <v>1</v>
      </c>
      <c r="C88" s="32">
        <f>(IO!$B$4+IO!$B$8)</f>
        <v>102</v>
      </c>
      <c r="D88" s="32">
        <f>IF(B88&gt;IO!$B$8,0,IO!$B$8-Model!B88)</f>
        <v>1</v>
      </c>
      <c r="E88" s="33">
        <f>IO!$B$5*C88-IO!$B$6*D88</f>
        <v>3980</v>
      </c>
      <c r="G88" s="47">
        <v>87</v>
      </c>
      <c r="H88" s="38" t="s">
        <v>9</v>
      </c>
      <c r="I88" s="38">
        <v>1</v>
      </c>
      <c r="J88" s="39">
        <v>0.46521845492961966</v>
      </c>
      <c r="K88" s="40">
        <f>ROUND(NORMINV(J88,IO!$B$10,IO!$B$11),0)</f>
        <v>103</v>
      </c>
      <c r="L88" s="40">
        <f>MIN(K88,IO!$B$4+IO!$B$8)</f>
        <v>102</v>
      </c>
      <c r="M88" s="40">
        <f>IF(L88-I88&gt;IO!$B$4,Model!L88-Model!I88-IO!$B$4,0)</f>
        <v>1</v>
      </c>
      <c r="N88" s="41">
        <f>IO!$B$5*Model!L88-IO!$B$6*Model!M88</f>
        <v>3980</v>
      </c>
    </row>
    <row r="89" spans="1:14" x14ac:dyDescent="0.35">
      <c r="A89" s="30">
        <v>88</v>
      </c>
      <c r="B89" s="31">
        <v>5</v>
      </c>
      <c r="C89" s="32">
        <f>(IO!$B$4+IO!$B$8)</f>
        <v>102</v>
      </c>
      <c r="D89" s="32">
        <f>IF(B89&gt;IO!$B$8,0,IO!$B$8-Model!B89)</f>
        <v>0</v>
      </c>
      <c r="E89" s="33">
        <f>IO!$B$5*C89-IO!$B$6*D89</f>
        <v>4080</v>
      </c>
      <c r="G89" s="47">
        <v>88</v>
      </c>
      <c r="H89" s="38" t="s">
        <v>7</v>
      </c>
      <c r="I89" s="38">
        <v>5</v>
      </c>
      <c r="J89" s="39">
        <v>0.94646789697333733</v>
      </c>
      <c r="K89" s="40">
        <f>ROUND(NORMINV(J89,IO!$B$10,IO!$B$11),0)</f>
        <v>111</v>
      </c>
      <c r="L89" s="40">
        <f>MIN(K89,IO!$B$4+IO!$B$8)</f>
        <v>102</v>
      </c>
      <c r="M89" s="40">
        <f>IF(L89-I89&gt;IO!$B$4,Model!L89-Model!I89-IO!$B$4,0)</f>
        <v>0</v>
      </c>
      <c r="N89" s="41">
        <f>IO!$B$5*Model!L89-IO!$B$6*Model!M89</f>
        <v>4080</v>
      </c>
    </row>
    <row r="90" spans="1:14" x14ac:dyDescent="0.35">
      <c r="A90" s="30">
        <v>89</v>
      </c>
      <c r="B90" s="31">
        <v>2</v>
      </c>
      <c r="C90" s="32">
        <f>(IO!$B$4+IO!$B$8)</f>
        <v>102</v>
      </c>
      <c r="D90" s="32">
        <f>IF(B90&gt;IO!$B$8,0,IO!$B$8-Model!B90)</f>
        <v>0</v>
      </c>
      <c r="E90" s="33">
        <f>IO!$B$5*C90-IO!$B$6*D90</f>
        <v>4080</v>
      </c>
      <c r="G90" s="47">
        <v>89</v>
      </c>
      <c r="H90" s="38" t="s">
        <v>8</v>
      </c>
      <c r="I90" s="38">
        <v>2</v>
      </c>
      <c r="J90" s="39">
        <v>0.33911631213604498</v>
      </c>
      <c r="K90" s="40">
        <f>ROUND(NORMINV(J90,IO!$B$10,IO!$B$11),0)</f>
        <v>101</v>
      </c>
      <c r="L90" s="40">
        <f>MIN(K90,IO!$B$4+IO!$B$8)</f>
        <v>101</v>
      </c>
      <c r="M90" s="40">
        <f>IF(L90-I90&gt;IO!$B$4,Model!L90-Model!I90-IO!$B$4,0)</f>
        <v>0</v>
      </c>
      <c r="N90" s="41">
        <f>IO!$B$5*Model!L90-IO!$B$6*Model!M90</f>
        <v>4040</v>
      </c>
    </row>
    <row r="91" spans="1:14" x14ac:dyDescent="0.35">
      <c r="A91" s="30">
        <v>90</v>
      </c>
      <c r="B91" s="31">
        <v>0</v>
      </c>
      <c r="C91" s="32">
        <f>(IO!$B$4+IO!$B$8)</f>
        <v>102</v>
      </c>
      <c r="D91" s="32">
        <f>IF(B91&gt;IO!$B$8,0,IO!$B$8-Model!B91)</f>
        <v>2</v>
      </c>
      <c r="E91" s="33">
        <f>IO!$B$5*C91-IO!$B$6*D91</f>
        <v>3880</v>
      </c>
      <c r="G91" s="47">
        <v>90</v>
      </c>
      <c r="H91" s="38" t="s">
        <v>9</v>
      </c>
      <c r="I91" s="38">
        <v>0</v>
      </c>
      <c r="J91" s="39">
        <v>0.2063763047203</v>
      </c>
      <c r="K91" s="40">
        <f>ROUND(NORMINV(J91,IO!$B$10,IO!$B$11),0)</f>
        <v>99</v>
      </c>
      <c r="L91" s="40">
        <f>MIN(K91,IO!$B$4+IO!$B$8)</f>
        <v>99</v>
      </c>
      <c r="M91" s="40">
        <f>IF(L91-I91&gt;IO!$B$4,Model!L91-Model!I91-IO!$B$4,0)</f>
        <v>0</v>
      </c>
      <c r="N91" s="41">
        <f>IO!$B$5*Model!L91-IO!$B$6*Model!M91</f>
        <v>3960</v>
      </c>
    </row>
    <row r="92" spans="1:14" x14ac:dyDescent="0.35">
      <c r="A92" s="30">
        <v>91</v>
      </c>
      <c r="B92" s="31">
        <v>3</v>
      </c>
      <c r="C92" s="32">
        <f>(IO!$B$4+IO!$B$8)</f>
        <v>102</v>
      </c>
      <c r="D92" s="32">
        <f>IF(B92&gt;IO!$B$8,0,IO!$B$8-Model!B92)</f>
        <v>0</v>
      </c>
      <c r="E92" s="33">
        <f>IO!$B$5*C92-IO!$B$6*D92</f>
        <v>4080</v>
      </c>
      <c r="G92" s="47">
        <v>91</v>
      </c>
      <c r="H92" s="38" t="s">
        <v>7</v>
      </c>
      <c r="I92" s="38">
        <v>3</v>
      </c>
      <c r="J92" s="39">
        <v>0.10547207106722178</v>
      </c>
      <c r="K92" s="40">
        <f>ROUND(NORMINV(J92,IO!$B$10,IO!$B$11),0)</f>
        <v>97</v>
      </c>
      <c r="L92" s="40">
        <f>MIN(K92,IO!$B$4+IO!$B$8)</f>
        <v>97</v>
      </c>
      <c r="M92" s="40">
        <f>IF(L92-I92&gt;IO!$B$4,Model!L92-Model!I92-IO!$B$4,0)</f>
        <v>0</v>
      </c>
      <c r="N92" s="41">
        <f>IO!$B$5*Model!L92-IO!$B$6*Model!M92</f>
        <v>3880</v>
      </c>
    </row>
    <row r="93" spans="1:14" x14ac:dyDescent="0.35">
      <c r="A93" s="30">
        <v>92</v>
      </c>
      <c r="B93" s="31">
        <v>5</v>
      </c>
      <c r="C93" s="32">
        <f>(IO!$B$4+IO!$B$8)</f>
        <v>102</v>
      </c>
      <c r="D93" s="32">
        <f>IF(B93&gt;IO!$B$8,0,IO!$B$8-Model!B93)</f>
        <v>0</v>
      </c>
      <c r="E93" s="33">
        <f>IO!$B$5*C93-IO!$B$6*D93</f>
        <v>4080</v>
      </c>
      <c r="G93" s="47">
        <v>92</v>
      </c>
      <c r="H93" s="38" t="s">
        <v>8</v>
      </c>
      <c r="I93" s="38">
        <v>5</v>
      </c>
      <c r="J93" s="39">
        <v>0.85836842191612317</v>
      </c>
      <c r="K93" s="40">
        <f>ROUND(NORMINV(J93,IO!$B$10,IO!$B$11),0)</f>
        <v>108</v>
      </c>
      <c r="L93" s="40">
        <f>MIN(K93,IO!$B$4+IO!$B$8)</f>
        <v>102</v>
      </c>
      <c r="M93" s="40">
        <f>IF(L93-I93&gt;IO!$B$4,Model!L93-Model!I93-IO!$B$4,0)</f>
        <v>0</v>
      </c>
      <c r="N93" s="41">
        <f>IO!$B$5*Model!L93-IO!$B$6*Model!M93</f>
        <v>4080</v>
      </c>
    </row>
    <row r="94" spans="1:14" x14ac:dyDescent="0.35">
      <c r="A94" s="30">
        <v>93</v>
      </c>
      <c r="B94" s="31">
        <v>0</v>
      </c>
      <c r="C94" s="32">
        <f>(IO!$B$4+IO!$B$8)</f>
        <v>102</v>
      </c>
      <c r="D94" s="32">
        <f>IF(B94&gt;IO!$B$8,0,IO!$B$8-Model!B94)</f>
        <v>2</v>
      </c>
      <c r="E94" s="33">
        <f>IO!$B$5*C94-IO!$B$6*D94</f>
        <v>3880</v>
      </c>
      <c r="G94" s="47">
        <v>93</v>
      </c>
      <c r="H94" s="38" t="s">
        <v>9</v>
      </c>
      <c r="I94" s="38">
        <v>0</v>
      </c>
      <c r="J94" s="39">
        <v>0.25029035104096753</v>
      </c>
      <c r="K94" s="40">
        <f>ROUND(NORMINV(J94,IO!$B$10,IO!$B$11),0)</f>
        <v>100</v>
      </c>
      <c r="L94" s="40">
        <f>MIN(K94,IO!$B$4+IO!$B$8)</f>
        <v>100</v>
      </c>
      <c r="M94" s="40">
        <f>IF(L94-I94&gt;IO!$B$4,Model!L94-Model!I94-IO!$B$4,0)</f>
        <v>0</v>
      </c>
      <c r="N94" s="41">
        <f>IO!$B$5*Model!L94-IO!$B$6*Model!M94</f>
        <v>4000</v>
      </c>
    </row>
    <row r="95" spans="1:14" x14ac:dyDescent="0.35">
      <c r="A95" s="30">
        <v>94</v>
      </c>
      <c r="B95" s="31">
        <v>2</v>
      </c>
      <c r="C95" s="32">
        <f>(IO!$B$4+IO!$B$8)</f>
        <v>102</v>
      </c>
      <c r="D95" s="32">
        <f>IF(B95&gt;IO!$B$8,0,IO!$B$8-Model!B95)</f>
        <v>0</v>
      </c>
      <c r="E95" s="33">
        <f>IO!$B$5*C95-IO!$B$6*D95</f>
        <v>4080</v>
      </c>
      <c r="G95" s="47">
        <v>94</v>
      </c>
      <c r="H95" s="38" t="s">
        <v>7</v>
      </c>
      <c r="I95" s="38">
        <v>2</v>
      </c>
      <c r="J95" s="39">
        <v>7.3506427205402902E-2</v>
      </c>
      <c r="K95" s="40">
        <f>ROUND(NORMINV(J95,IO!$B$10,IO!$B$11),0)</f>
        <v>96</v>
      </c>
      <c r="L95" s="40">
        <f>MIN(K95,IO!$B$4+IO!$B$8)</f>
        <v>96</v>
      </c>
      <c r="M95" s="40">
        <f>IF(L95-I95&gt;IO!$B$4,Model!L95-Model!I95-IO!$B$4,0)</f>
        <v>0</v>
      </c>
      <c r="N95" s="41">
        <f>IO!$B$5*Model!L95-IO!$B$6*Model!M95</f>
        <v>3840</v>
      </c>
    </row>
    <row r="96" spans="1:14" x14ac:dyDescent="0.35">
      <c r="A96" s="30">
        <v>95</v>
      </c>
      <c r="B96" s="31">
        <v>5</v>
      </c>
      <c r="C96" s="32">
        <f>(IO!$B$4+IO!$B$8)</f>
        <v>102</v>
      </c>
      <c r="D96" s="32">
        <f>IF(B96&gt;IO!$B$8,0,IO!$B$8-Model!B96)</f>
        <v>0</v>
      </c>
      <c r="E96" s="33">
        <f>IO!$B$5*C96-IO!$B$6*D96</f>
        <v>4080</v>
      </c>
      <c r="G96" s="47">
        <v>95</v>
      </c>
      <c r="H96" s="38" t="s">
        <v>8</v>
      </c>
      <c r="I96" s="38">
        <v>5</v>
      </c>
      <c r="J96" s="39">
        <v>0.96425876592343518</v>
      </c>
      <c r="K96" s="40">
        <f>ROUND(NORMINV(J96,IO!$B$10,IO!$B$11),0)</f>
        <v>112</v>
      </c>
      <c r="L96" s="40">
        <f>MIN(K96,IO!$B$4+IO!$B$8)</f>
        <v>102</v>
      </c>
      <c r="M96" s="40">
        <f>IF(L96-I96&gt;IO!$B$4,Model!L96-Model!I96-IO!$B$4,0)</f>
        <v>0</v>
      </c>
      <c r="N96" s="41">
        <f>IO!$B$5*Model!L96-IO!$B$6*Model!M96</f>
        <v>4080</v>
      </c>
    </row>
    <row r="97" spans="1:14" x14ac:dyDescent="0.35">
      <c r="A97" s="30">
        <v>96</v>
      </c>
      <c r="B97" s="31">
        <v>3</v>
      </c>
      <c r="C97" s="32">
        <f>(IO!$B$4+IO!$B$8)</f>
        <v>102</v>
      </c>
      <c r="D97" s="32">
        <f>IF(B97&gt;IO!$B$8,0,IO!$B$8-Model!B97)</f>
        <v>0</v>
      </c>
      <c r="E97" s="33">
        <f>IO!$B$5*C97-IO!$B$6*D97</f>
        <v>4080</v>
      </c>
      <c r="G97" s="47">
        <v>96</v>
      </c>
      <c r="H97" s="38" t="s">
        <v>9</v>
      </c>
      <c r="I97" s="38">
        <v>3</v>
      </c>
      <c r="J97" s="39">
        <v>0.10620957327671854</v>
      </c>
      <c r="K97" s="40">
        <f>ROUND(NORMINV(J97,IO!$B$10,IO!$B$11),0)</f>
        <v>97</v>
      </c>
      <c r="L97" s="40">
        <f>MIN(K97,IO!$B$4+IO!$B$8)</f>
        <v>97</v>
      </c>
      <c r="M97" s="40">
        <f>IF(L97-I97&gt;IO!$B$4,Model!L97-Model!I97-IO!$B$4,0)</f>
        <v>0</v>
      </c>
      <c r="N97" s="41">
        <f>IO!$B$5*Model!L97-IO!$B$6*Model!M97</f>
        <v>3880</v>
      </c>
    </row>
    <row r="98" spans="1:14" x14ac:dyDescent="0.35">
      <c r="A98" s="30">
        <v>97</v>
      </c>
      <c r="B98" s="31">
        <v>1</v>
      </c>
      <c r="C98" s="32">
        <f>(IO!$B$4+IO!$B$8)</f>
        <v>102</v>
      </c>
      <c r="D98" s="32">
        <f>IF(B98&gt;IO!$B$8,0,IO!$B$8-Model!B98)</f>
        <v>1</v>
      </c>
      <c r="E98" s="33">
        <f>IO!$B$5*C98-IO!$B$6*D98</f>
        <v>3980</v>
      </c>
      <c r="G98" s="47">
        <v>97</v>
      </c>
      <c r="H98" s="38" t="s">
        <v>7</v>
      </c>
      <c r="I98" s="38">
        <v>1</v>
      </c>
      <c r="J98" s="39">
        <v>0.40274345498120501</v>
      </c>
      <c r="K98" s="40">
        <f>ROUND(NORMINV(J98,IO!$B$10,IO!$B$11),0)</f>
        <v>102</v>
      </c>
      <c r="L98" s="40">
        <f>MIN(K98,IO!$B$4+IO!$B$8)</f>
        <v>102</v>
      </c>
      <c r="M98" s="40">
        <f>IF(L98-I98&gt;IO!$B$4,Model!L98-Model!I98-IO!$B$4,0)</f>
        <v>1</v>
      </c>
      <c r="N98" s="41">
        <f>IO!$B$5*Model!L98-IO!$B$6*Model!M98</f>
        <v>3980</v>
      </c>
    </row>
    <row r="99" spans="1:14" x14ac:dyDescent="0.35">
      <c r="A99" s="30">
        <v>98</v>
      </c>
      <c r="B99" s="31">
        <v>1</v>
      </c>
      <c r="C99" s="32">
        <f>(IO!$B$4+IO!$B$8)</f>
        <v>102</v>
      </c>
      <c r="D99" s="32">
        <f>IF(B99&gt;IO!$B$8,0,IO!$B$8-Model!B99)</f>
        <v>1</v>
      </c>
      <c r="E99" s="33">
        <f>IO!$B$5*C99-IO!$B$6*D99</f>
        <v>3980</v>
      </c>
      <c r="G99" s="47">
        <v>98</v>
      </c>
      <c r="H99" s="38" t="s">
        <v>8</v>
      </c>
      <c r="I99" s="38">
        <v>1</v>
      </c>
      <c r="J99" s="39">
        <v>0.20985192076815484</v>
      </c>
      <c r="K99" s="40">
        <f>ROUND(NORMINV(J99,IO!$B$10,IO!$B$11),0)</f>
        <v>99</v>
      </c>
      <c r="L99" s="40">
        <f>MIN(K99,IO!$B$4+IO!$B$8)</f>
        <v>99</v>
      </c>
      <c r="M99" s="40">
        <f>IF(L99-I99&gt;IO!$B$4,Model!L99-Model!I99-IO!$B$4,0)</f>
        <v>0</v>
      </c>
      <c r="N99" s="41">
        <f>IO!$B$5*Model!L99-IO!$B$6*Model!M99</f>
        <v>3960</v>
      </c>
    </row>
    <row r="100" spans="1:14" x14ac:dyDescent="0.35">
      <c r="A100" s="30">
        <v>99</v>
      </c>
      <c r="B100" s="31">
        <v>0</v>
      </c>
      <c r="C100" s="32">
        <f>(IO!$B$4+IO!$B$8)</f>
        <v>102</v>
      </c>
      <c r="D100" s="32">
        <f>IF(B100&gt;IO!$B$8,0,IO!$B$8-Model!B100)</f>
        <v>2</v>
      </c>
      <c r="E100" s="33">
        <f>IO!$B$5*C100-IO!$B$6*D100</f>
        <v>3880</v>
      </c>
      <c r="G100" s="47">
        <v>99</v>
      </c>
      <c r="H100" s="38" t="s">
        <v>9</v>
      </c>
      <c r="I100" s="38">
        <v>0</v>
      </c>
      <c r="J100" s="39">
        <v>0.7890166192951642</v>
      </c>
      <c r="K100" s="40">
        <f>ROUND(NORMINV(J100,IO!$B$10,IO!$B$11),0)</f>
        <v>107</v>
      </c>
      <c r="L100" s="40">
        <f>MIN(K100,IO!$B$4+IO!$B$8)</f>
        <v>102</v>
      </c>
      <c r="M100" s="40">
        <f>IF(L100-I100&gt;IO!$B$4,Model!L100-Model!I100-IO!$B$4,0)</f>
        <v>2</v>
      </c>
      <c r="N100" s="41">
        <f>IO!$B$5*Model!L100-IO!$B$6*Model!M100</f>
        <v>3880</v>
      </c>
    </row>
    <row r="101" spans="1:14" x14ac:dyDescent="0.35">
      <c r="A101" s="30">
        <v>100</v>
      </c>
      <c r="B101" s="31">
        <v>3</v>
      </c>
      <c r="C101" s="32">
        <f>(IO!$B$4+IO!$B$8)</f>
        <v>102</v>
      </c>
      <c r="D101" s="32">
        <f>IF(B101&gt;IO!$B$8,0,IO!$B$8-Model!B101)</f>
        <v>0</v>
      </c>
      <c r="E101" s="33">
        <f>IO!$B$5*C101-IO!$B$6*D101</f>
        <v>4080</v>
      </c>
      <c r="G101" s="47">
        <v>100</v>
      </c>
      <c r="H101" s="38" t="s">
        <v>7</v>
      </c>
      <c r="I101" s="38">
        <v>3</v>
      </c>
      <c r="J101" s="39">
        <v>0.31076183177060468</v>
      </c>
      <c r="K101" s="40">
        <f>ROUND(NORMINV(J101,IO!$B$10,IO!$B$11),0)</f>
        <v>101</v>
      </c>
      <c r="L101" s="40">
        <f>MIN(K101,IO!$B$4+IO!$B$8)</f>
        <v>101</v>
      </c>
      <c r="M101" s="40">
        <f>IF(L101-I101&gt;IO!$B$4,Model!L101-Model!I101-IO!$B$4,0)</f>
        <v>0</v>
      </c>
      <c r="N101" s="41">
        <f>IO!$B$5*Model!L101-IO!$B$6*Model!M101</f>
        <v>4040</v>
      </c>
    </row>
    <row r="102" spans="1:14" x14ac:dyDescent="0.35">
      <c r="A102" s="30">
        <v>101</v>
      </c>
      <c r="B102" s="31">
        <v>3</v>
      </c>
      <c r="C102" s="32">
        <f>(IO!$B$4+IO!$B$8)</f>
        <v>102</v>
      </c>
      <c r="D102" s="32">
        <f>IF(B102&gt;IO!$B$8,0,IO!$B$8-Model!B102)</f>
        <v>0</v>
      </c>
      <c r="E102" s="33">
        <f>IO!$B$5*C102-IO!$B$6*D102</f>
        <v>4080</v>
      </c>
      <c r="G102" s="47">
        <v>101</v>
      </c>
      <c r="H102" s="38" t="s">
        <v>8</v>
      </c>
      <c r="I102" s="38">
        <v>3</v>
      </c>
      <c r="J102" s="39">
        <v>0.29000239535947969</v>
      </c>
      <c r="K102" s="40">
        <f>ROUND(NORMINV(J102,IO!$B$10,IO!$B$11),0)</f>
        <v>100</v>
      </c>
      <c r="L102" s="40">
        <f>MIN(K102,IO!$B$4+IO!$B$8)</f>
        <v>100</v>
      </c>
      <c r="M102" s="40">
        <f>IF(L102-I102&gt;IO!$B$4,Model!L102-Model!I102-IO!$B$4,0)</f>
        <v>0</v>
      </c>
      <c r="N102" s="41">
        <f>IO!$B$5*Model!L102-IO!$B$6*Model!M102</f>
        <v>4000</v>
      </c>
    </row>
    <row r="103" spans="1:14" x14ac:dyDescent="0.35">
      <c r="A103" s="30">
        <v>102</v>
      </c>
      <c r="B103" s="31">
        <v>1</v>
      </c>
      <c r="C103" s="32">
        <f>(IO!$B$4+IO!$B$8)</f>
        <v>102</v>
      </c>
      <c r="D103" s="32">
        <f>IF(B103&gt;IO!$B$8,0,IO!$B$8-Model!B103)</f>
        <v>1</v>
      </c>
      <c r="E103" s="33">
        <f>IO!$B$5*C103-IO!$B$6*D103</f>
        <v>3980</v>
      </c>
      <c r="G103" s="47">
        <v>102</v>
      </c>
      <c r="H103" s="38" t="s">
        <v>9</v>
      </c>
      <c r="I103" s="38">
        <v>1</v>
      </c>
      <c r="J103" s="39">
        <v>0.61914335482068616</v>
      </c>
      <c r="K103" s="40">
        <f>ROUND(NORMINV(J103,IO!$B$10,IO!$B$11),0)</f>
        <v>105</v>
      </c>
      <c r="L103" s="40">
        <f>MIN(K103,IO!$B$4+IO!$B$8)</f>
        <v>102</v>
      </c>
      <c r="M103" s="40">
        <f>IF(L103-I103&gt;IO!$B$4,Model!L103-Model!I103-IO!$B$4,0)</f>
        <v>1</v>
      </c>
      <c r="N103" s="41">
        <f>IO!$B$5*Model!L103-IO!$B$6*Model!M103</f>
        <v>3980</v>
      </c>
    </row>
    <row r="104" spans="1:14" x14ac:dyDescent="0.35">
      <c r="A104" s="30">
        <v>103</v>
      </c>
      <c r="B104" s="31">
        <v>6</v>
      </c>
      <c r="C104" s="32">
        <f>(IO!$B$4+IO!$B$8)</f>
        <v>102</v>
      </c>
      <c r="D104" s="32">
        <f>IF(B104&gt;IO!$B$8,0,IO!$B$8-Model!B104)</f>
        <v>0</v>
      </c>
      <c r="E104" s="33">
        <f>IO!$B$5*C104-IO!$B$6*D104</f>
        <v>4080</v>
      </c>
      <c r="G104" s="47">
        <v>103</v>
      </c>
      <c r="H104" s="38" t="s">
        <v>7</v>
      </c>
      <c r="I104" s="38">
        <v>6</v>
      </c>
      <c r="J104" s="39">
        <v>5.0064006956297202E-2</v>
      </c>
      <c r="K104" s="40">
        <f>ROUND(NORMINV(J104,IO!$B$10,IO!$B$11),0)</f>
        <v>95</v>
      </c>
      <c r="L104" s="40">
        <f>MIN(K104,IO!$B$4+IO!$B$8)</f>
        <v>95</v>
      </c>
      <c r="M104" s="40">
        <f>IF(L104-I104&gt;IO!$B$4,Model!L104-Model!I104-IO!$B$4,0)</f>
        <v>0</v>
      </c>
      <c r="N104" s="41">
        <f>IO!$B$5*Model!L104-IO!$B$6*Model!M104</f>
        <v>3800</v>
      </c>
    </row>
    <row r="105" spans="1:14" x14ac:dyDescent="0.35">
      <c r="A105" s="30">
        <v>104</v>
      </c>
      <c r="B105" s="31">
        <v>5</v>
      </c>
      <c r="C105" s="32">
        <f>(IO!$B$4+IO!$B$8)</f>
        <v>102</v>
      </c>
      <c r="D105" s="32">
        <f>IF(B105&gt;IO!$B$8,0,IO!$B$8-Model!B105)</f>
        <v>0</v>
      </c>
      <c r="E105" s="33">
        <f>IO!$B$5*C105-IO!$B$6*D105</f>
        <v>4080</v>
      </c>
      <c r="G105" s="47">
        <v>104</v>
      </c>
      <c r="H105" s="38" t="s">
        <v>8</v>
      </c>
      <c r="I105" s="38">
        <v>5</v>
      </c>
      <c r="J105" s="39">
        <v>0.71448949302154385</v>
      </c>
      <c r="K105" s="40">
        <f>ROUND(NORMINV(J105,IO!$B$10,IO!$B$11),0)</f>
        <v>106</v>
      </c>
      <c r="L105" s="40">
        <f>MIN(K105,IO!$B$4+IO!$B$8)</f>
        <v>102</v>
      </c>
      <c r="M105" s="40">
        <f>IF(L105-I105&gt;IO!$B$4,Model!L105-Model!I105-IO!$B$4,0)</f>
        <v>0</v>
      </c>
      <c r="N105" s="41">
        <f>IO!$B$5*Model!L105-IO!$B$6*Model!M105</f>
        <v>4080</v>
      </c>
    </row>
    <row r="106" spans="1:14" x14ac:dyDescent="0.35">
      <c r="A106" s="30">
        <v>105</v>
      </c>
      <c r="B106" s="31">
        <v>1</v>
      </c>
      <c r="C106" s="32">
        <f>(IO!$B$4+IO!$B$8)</f>
        <v>102</v>
      </c>
      <c r="D106" s="32">
        <f>IF(B106&gt;IO!$B$8,0,IO!$B$8-Model!B106)</f>
        <v>1</v>
      </c>
      <c r="E106" s="33">
        <f>IO!$B$5*C106-IO!$B$6*D106</f>
        <v>3980</v>
      </c>
      <c r="G106" s="47">
        <v>105</v>
      </c>
      <c r="H106" s="38" t="s">
        <v>9</v>
      </c>
      <c r="I106" s="38">
        <v>1</v>
      </c>
      <c r="J106" s="39">
        <v>0.39836387053563471</v>
      </c>
      <c r="K106" s="40">
        <f>ROUND(NORMINV(J106,IO!$B$10,IO!$B$11),0)</f>
        <v>102</v>
      </c>
      <c r="L106" s="40">
        <f>MIN(K106,IO!$B$4+IO!$B$8)</f>
        <v>102</v>
      </c>
      <c r="M106" s="40">
        <f>IF(L106-I106&gt;IO!$B$4,Model!L106-Model!I106-IO!$B$4,0)</f>
        <v>1</v>
      </c>
      <c r="N106" s="41">
        <f>IO!$B$5*Model!L106-IO!$B$6*Model!M106</f>
        <v>3980</v>
      </c>
    </row>
    <row r="107" spans="1:14" x14ac:dyDescent="0.35">
      <c r="A107" s="30">
        <v>106</v>
      </c>
      <c r="B107" s="31">
        <v>3</v>
      </c>
      <c r="C107" s="32">
        <f>(IO!$B$4+IO!$B$8)</f>
        <v>102</v>
      </c>
      <c r="D107" s="32">
        <f>IF(B107&gt;IO!$B$8,0,IO!$B$8-Model!B107)</f>
        <v>0</v>
      </c>
      <c r="E107" s="33">
        <f>IO!$B$5*C107-IO!$B$6*D107</f>
        <v>4080</v>
      </c>
      <c r="G107" s="47">
        <v>106</v>
      </c>
      <c r="H107" s="38" t="s">
        <v>7</v>
      </c>
      <c r="I107" s="38">
        <v>3</v>
      </c>
      <c r="J107" s="39">
        <v>0.81216692769539856</v>
      </c>
      <c r="K107" s="40">
        <f>ROUND(NORMINV(J107,IO!$B$10,IO!$B$11),0)</f>
        <v>107</v>
      </c>
      <c r="L107" s="40">
        <f>MIN(K107,IO!$B$4+IO!$B$8)</f>
        <v>102</v>
      </c>
      <c r="M107" s="40">
        <f>IF(L107-I107&gt;IO!$B$4,Model!L107-Model!I107-IO!$B$4,0)</f>
        <v>0</v>
      </c>
      <c r="N107" s="41">
        <f>IO!$B$5*Model!L107-IO!$B$6*Model!M107</f>
        <v>4080</v>
      </c>
    </row>
    <row r="108" spans="1:14" x14ac:dyDescent="0.35">
      <c r="A108" s="30">
        <v>107</v>
      </c>
      <c r="B108" s="31">
        <v>2</v>
      </c>
      <c r="C108" s="32">
        <f>(IO!$B$4+IO!$B$8)</f>
        <v>102</v>
      </c>
      <c r="D108" s="32">
        <f>IF(B108&gt;IO!$B$8,0,IO!$B$8-Model!B108)</f>
        <v>0</v>
      </c>
      <c r="E108" s="33">
        <f>IO!$B$5*C108-IO!$B$6*D108</f>
        <v>4080</v>
      </c>
      <c r="G108" s="47">
        <v>107</v>
      </c>
      <c r="H108" s="38" t="s">
        <v>8</v>
      </c>
      <c r="I108" s="38">
        <v>2</v>
      </c>
      <c r="J108" s="39">
        <v>0.13351349622582631</v>
      </c>
      <c r="K108" s="40">
        <f>ROUND(NORMINV(J108,IO!$B$10,IO!$B$11),0)</f>
        <v>97</v>
      </c>
      <c r="L108" s="40">
        <f>MIN(K108,IO!$B$4+IO!$B$8)</f>
        <v>97</v>
      </c>
      <c r="M108" s="40">
        <f>IF(L108-I108&gt;IO!$B$4,Model!L108-Model!I108-IO!$B$4,0)</f>
        <v>0</v>
      </c>
      <c r="N108" s="41">
        <f>IO!$B$5*Model!L108-IO!$B$6*Model!M108</f>
        <v>3880</v>
      </c>
    </row>
    <row r="109" spans="1:14" x14ac:dyDescent="0.35">
      <c r="A109" s="30">
        <v>108</v>
      </c>
      <c r="B109" s="31">
        <v>1</v>
      </c>
      <c r="C109" s="32">
        <f>(IO!$B$4+IO!$B$8)</f>
        <v>102</v>
      </c>
      <c r="D109" s="32">
        <f>IF(B109&gt;IO!$B$8,0,IO!$B$8-Model!B109)</f>
        <v>1</v>
      </c>
      <c r="E109" s="33">
        <f>IO!$B$5*C109-IO!$B$6*D109</f>
        <v>3980</v>
      </c>
      <c r="G109" s="47">
        <v>108</v>
      </c>
      <c r="H109" s="38" t="s">
        <v>9</v>
      </c>
      <c r="I109" s="38">
        <v>1</v>
      </c>
      <c r="J109" s="39">
        <v>0.45552717856242064</v>
      </c>
      <c r="K109" s="40">
        <f>ROUND(NORMINV(J109,IO!$B$10,IO!$B$11),0)</f>
        <v>102</v>
      </c>
      <c r="L109" s="40">
        <f>MIN(K109,IO!$B$4+IO!$B$8)</f>
        <v>102</v>
      </c>
      <c r="M109" s="40">
        <f>IF(L109-I109&gt;IO!$B$4,Model!L109-Model!I109-IO!$B$4,0)</f>
        <v>1</v>
      </c>
      <c r="N109" s="41">
        <f>IO!$B$5*Model!L109-IO!$B$6*Model!M109</f>
        <v>3980</v>
      </c>
    </row>
    <row r="110" spans="1:14" x14ac:dyDescent="0.35">
      <c r="A110" s="30">
        <v>109</v>
      </c>
      <c r="B110" s="31">
        <v>2</v>
      </c>
      <c r="C110" s="32">
        <f>(IO!$B$4+IO!$B$8)</f>
        <v>102</v>
      </c>
      <c r="D110" s="32">
        <f>IF(B110&gt;IO!$B$8,0,IO!$B$8-Model!B110)</f>
        <v>0</v>
      </c>
      <c r="E110" s="33">
        <f>IO!$B$5*C110-IO!$B$6*D110</f>
        <v>4080</v>
      </c>
      <c r="G110" s="47">
        <v>109</v>
      </c>
      <c r="H110" s="38" t="s">
        <v>7</v>
      </c>
      <c r="I110" s="38">
        <v>2</v>
      </c>
      <c r="J110" s="39">
        <v>0.84177774081661771</v>
      </c>
      <c r="K110" s="40">
        <f>ROUND(NORMINV(J110,IO!$B$10,IO!$B$11),0)</f>
        <v>108</v>
      </c>
      <c r="L110" s="40">
        <f>MIN(K110,IO!$B$4+IO!$B$8)</f>
        <v>102</v>
      </c>
      <c r="M110" s="40">
        <f>IF(L110-I110&gt;IO!$B$4,Model!L110-Model!I110-IO!$B$4,0)</f>
        <v>0</v>
      </c>
      <c r="N110" s="41">
        <f>IO!$B$5*Model!L110-IO!$B$6*Model!M110</f>
        <v>4080</v>
      </c>
    </row>
    <row r="111" spans="1:14" x14ac:dyDescent="0.35">
      <c r="A111" s="30">
        <v>110</v>
      </c>
      <c r="B111" s="31">
        <v>1</v>
      </c>
      <c r="C111" s="32">
        <f>(IO!$B$4+IO!$B$8)</f>
        <v>102</v>
      </c>
      <c r="D111" s="32">
        <f>IF(B111&gt;IO!$B$8,0,IO!$B$8-Model!B111)</f>
        <v>1</v>
      </c>
      <c r="E111" s="33">
        <f>IO!$B$5*C111-IO!$B$6*D111</f>
        <v>3980</v>
      </c>
      <c r="G111" s="47">
        <v>110</v>
      </c>
      <c r="H111" s="38" t="s">
        <v>8</v>
      </c>
      <c r="I111" s="38">
        <v>1</v>
      </c>
      <c r="J111" s="39">
        <v>0.84062969966703915</v>
      </c>
      <c r="K111" s="40">
        <f>ROUND(NORMINV(J111,IO!$B$10,IO!$B$11),0)</f>
        <v>108</v>
      </c>
      <c r="L111" s="40">
        <f>MIN(K111,IO!$B$4+IO!$B$8)</f>
        <v>102</v>
      </c>
      <c r="M111" s="40">
        <f>IF(L111-I111&gt;IO!$B$4,Model!L111-Model!I111-IO!$B$4,0)</f>
        <v>1</v>
      </c>
      <c r="N111" s="41">
        <f>IO!$B$5*Model!L111-IO!$B$6*Model!M111</f>
        <v>3980</v>
      </c>
    </row>
    <row r="112" spans="1:14" x14ac:dyDescent="0.35">
      <c r="A112" s="30">
        <v>111</v>
      </c>
      <c r="B112" s="31">
        <v>0</v>
      </c>
      <c r="C112" s="32">
        <f>(IO!$B$4+IO!$B$8)</f>
        <v>102</v>
      </c>
      <c r="D112" s="32">
        <f>IF(B112&gt;IO!$B$8,0,IO!$B$8-Model!B112)</f>
        <v>2</v>
      </c>
      <c r="E112" s="33">
        <f>IO!$B$5*C112-IO!$B$6*D112</f>
        <v>3880</v>
      </c>
      <c r="G112" s="47">
        <v>111</v>
      </c>
      <c r="H112" s="38" t="s">
        <v>9</v>
      </c>
      <c r="I112" s="38">
        <v>0</v>
      </c>
      <c r="J112" s="39">
        <v>0.33083287370372638</v>
      </c>
      <c r="K112" s="40">
        <f>ROUND(NORMINV(J112,IO!$B$10,IO!$B$11),0)</f>
        <v>101</v>
      </c>
      <c r="L112" s="40">
        <f>MIN(K112,IO!$B$4+IO!$B$8)</f>
        <v>101</v>
      </c>
      <c r="M112" s="40">
        <f>IF(L112-I112&gt;IO!$B$4,Model!L112-Model!I112-IO!$B$4,0)</f>
        <v>1</v>
      </c>
      <c r="N112" s="41">
        <f>IO!$B$5*Model!L112-IO!$B$6*Model!M112</f>
        <v>3940</v>
      </c>
    </row>
    <row r="113" spans="1:14" x14ac:dyDescent="0.35">
      <c r="A113" s="30">
        <v>112</v>
      </c>
      <c r="B113" s="31">
        <v>4</v>
      </c>
      <c r="C113" s="32">
        <f>(IO!$B$4+IO!$B$8)</f>
        <v>102</v>
      </c>
      <c r="D113" s="32">
        <f>IF(B113&gt;IO!$B$8,0,IO!$B$8-Model!B113)</f>
        <v>0</v>
      </c>
      <c r="E113" s="33">
        <f>IO!$B$5*C113-IO!$B$6*D113</f>
        <v>4080</v>
      </c>
      <c r="G113" s="47">
        <v>112</v>
      </c>
      <c r="H113" s="38" t="s">
        <v>7</v>
      </c>
      <c r="I113" s="38">
        <v>4</v>
      </c>
      <c r="J113" s="39">
        <v>0.56073732116419472</v>
      </c>
      <c r="K113" s="40">
        <f>ROUND(NORMINV(J113,IO!$B$10,IO!$B$11),0)</f>
        <v>104</v>
      </c>
      <c r="L113" s="40">
        <f>MIN(K113,IO!$B$4+IO!$B$8)</f>
        <v>102</v>
      </c>
      <c r="M113" s="40">
        <f>IF(L113-I113&gt;IO!$B$4,Model!L113-Model!I113-IO!$B$4,0)</f>
        <v>0</v>
      </c>
      <c r="N113" s="41">
        <f>IO!$B$5*Model!L113-IO!$B$6*Model!M113</f>
        <v>4080</v>
      </c>
    </row>
    <row r="114" spans="1:14" x14ac:dyDescent="0.35">
      <c r="A114" s="30">
        <v>113</v>
      </c>
      <c r="B114" s="31">
        <v>3</v>
      </c>
      <c r="C114" s="32">
        <f>(IO!$B$4+IO!$B$8)</f>
        <v>102</v>
      </c>
      <c r="D114" s="32">
        <f>IF(B114&gt;IO!$B$8,0,IO!$B$8-Model!B114)</f>
        <v>0</v>
      </c>
      <c r="E114" s="33">
        <f>IO!$B$5*C114-IO!$B$6*D114</f>
        <v>4080</v>
      </c>
      <c r="G114" s="47">
        <v>113</v>
      </c>
      <c r="H114" s="38" t="s">
        <v>8</v>
      </c>
      <c r="I114" s="38">
        <v>3</v>
      </c>
      <c r="J114" s="39">
        <v>0.64988904314843177</v>
      </c>
      <c r="K114" s="40">
        <f>ROUND(NORMINV(J114,IO!$B$10,IO!$B$11),0)</f>
        <v>105</v>
      </c>
      <c r="L114" s="40">
        <f>MIN(K114,IO!$B$4+IO!$B$8)</f>
        <v>102</v>
      </c>
      <c r="M114" s="40">
        <f>IF(L114-I114&gt;IO!$B$4,Model!L114-Model!I114-IO!$B$4,0)</f>
        <v>0</v>
      </c>
      <c r="N114" s="41">
        <f>IO!$B$5*Model!L114-IO!$B$6*Model!M114</f>
        <v>4080</v>
      </c>
    </row>
    <row r="115" spans="1:14" x14ac:dyDescent="0.35">
      <c r="A115" s="30">
        <v>114</v>
      </c>
      <c r="B115" s="31">
        <v>2</v>
      </c>
      <c r="C115" s="32">
        <f>(IO!$B$4+IO!$B$8)</f>
        <v>102</v>
      </c>
      <c r="D115" s="32">
        <f>IF(B115&gt;IO!$B$8,0,IO!$B$8-Model!B115)</f>
        <v>0</v>
      </c>
      <c r="E115" s="33">
        <f>IO!$B$5*C115-IO!$B$6*D115</f>
        <v>4080</v>
      </c>
      <c r="G115" s="47">
        <v>114</v>
      </c>
      <c r="H115" s="38" t="s">
        <v>9</v>
      </c>
      <c r="I115" s="38">
        <v>2</v>
      </c>
      <c r="J115" s="39">
        <v>0.58274788214688866</v>
      </c>
      <c r="K115" s="40">
        <f>ROUND(NORMINV(J115,IO!$B$10,IO!$B$11),0)</f>
        <v>104</v>
      </c>
      <c r="L115" s="40">
        <f>MIN(K115,IO!$B$4+IO!$B$8)</f>
        <v>102</v>
      </c>
      <c r="M115" s="40">
        <f>IF(L115-I115&gt;IO!$B$4,Model!L115-Model!I115-IO!$B$4,0)</f>
        <v>0</v>
      </c>
      <c r="N115" s="41">
        <f>IO!$B$5*Model!L115-IO!$B$6*Model!M115</f>
        <v>4080</v>
      </c>
    </row>
    <row r="116" spans="1:14" x14ac:dyDescent="0.35">
      <c r="A116" s="30">
        <v>115</v>
      </c>
      <c r="B116" s="31">
        <v>3</v>
      </c>
      <c r="C116" s="32">
        <f>(IO!$B$4+IO!$B$8)</f>
        <v>102</v>
      </c>
      <c r="D116" s="32">
        <f>IF(B116&gt;IO!$B$8,0,IO!$B$8-Model!B116)</f>
        <v>0</v>
      </c>
      <c r="E116" s="33">
        <f>IO!$B$5*C116-IO!$B$6*D116</f>
        <v>4080</v>
      </c>
      <c r="G116" s="47">
        <v>115</v>
      </c>
      <c r="H116" s="38" t="s">
        <v>7</v>
      </c>
      <c r="I116" s="38">
        <v>3</v>
      </c>
      <c r="J116" s="39">
        <v>0.67710405927931372</v>
      </c>
      <c r="K116" s="40">
        <f>ROUND(NORMINV(J116,IO!$B$10,IO!$B$11),0)</f>
        <v>105</v>
      </c>
      <c r="L116" s="40">
        <f>MIN(K116,IO!$B$4+IO!$B$8)</f>
        <v>102</v>
      </c>
      <c r="M116" s="40">
        <f>IF(L116-I116&gt;IO!$B$4,Model!L116-Model!I116-IO!$B$4,0)</f>
        <v>0</v>
      </c>
      <c r="N116" s="41">
        <f>IO!$B$5*Model!L116-IO!$B$6*Model!M116</f>
        <v>4080</v>
      </c>
    </row>
    <row r="117" spans="1:14" x14ac:dyDescent="0.35">
      <c r="A117" s="30">
        <v>116</v>
      </c>
      <c r="B117" s="31">
        <v>5</v>
      </c>
      <c r="C117" s="32">
        <f>(IO!$B$4+IO!$B$8)</f>
        <v>102</v>
      </c>
      <c r="D117" s="32">
        <f>IF(B117&gt;IO!$B$8,0,IO!$B$8-Model!B117)</f>
        <v>0</v>
      </c>
      <c r="E117" s="33">
        <f>IO!$B$5*C117-IO!$B$6*D117</f>
        <v>4080</v>
      </c>
      <c r="G117" s="47">
        <v>116</v>
      </c>
      <c r="H117" s="38" t="s">
        <v>8</v>
      </c>
      <c r="I117" s="38">
        <v>5</v>
      </c>
      <c r="J117" s="39">
        <v>0.49602347864313057</v>
      </c>
      <c r="K117" s="40">
        <f>ROUND(NORMINV(J117,IO!$B$10,IO!$B$11),0)</f>
        <v>103</v>
      </c>
      <c r="L117" s="40">
        <f>MIN(K117,IO!$B$4+IO!$B$8)</f>
        <v>102</v>
      </c>
      <c r="M117" s="40">
        <f>IF(L117-I117&gt;IO!$B$4,Model!L117-Model!I117-IO!$B$4,0)</f>
        <v>0</v>
      </c>
      <c r="N117" s="41">
        <f>IO!$B$5*Model!L117-IO!$B$6*Model!M117</f>
        <v>4080</v>
      </c>
    </row>
    <row r="118" spans="1:14" x14ac:dyDescent="0.35">
      <c r="A118" s="30">
        <v>117</v>
      </c>
      <c r="B118" s="31">
        <v>2</v>
      </c>
      <c r="C118" s="32">
        <f>(IO!$B$4+IO!$B$8)</f>
        <v>102</v>
      </c>
      <c r="D118" s="32">
        <f>IF(B118&gt;IO!$B$8,0,IO!$B$8-Model!B118)</f>
        <v>0</v>
      </c>
      <c r="E118" s="33">
        <f>IO!$B$5*C118-IO!$B$6*D118</f>
        <v>4080</v>
      </c>
      <c r="G118" s="47">
        <v>117</v>
      </c>
      <c r="H118" s="38" t="s">
        <v>9</v>
      </c>
      <c r="I118" s="38">
        <v>2</v>
      </c>
      <c r="J118" s="39">
        <v>0.26586585814211661</v>
      </c>
      <c r="K118" s="40">
        <f>ROUND(NORMINV(J118,IO!$B$10,IO!$B$11),0)</f>
        <v>100</v>
      </c>
      <c r="L118" s="40">
        <f>MIN(K118,IO!$B$4+IO!$B$8)</f>
        <v>100</v>
      </c>
      <c r="M118" s="40">
        <f>IF(L118-I118&gt;IO!$B$4,Model!L118-Model!I118-IO!$B$4,0)</f>
        <v>0</v>
      </c>
      <c r="N118" s="41">
        <f>IO!$B$5*Model!L118-IO!$B$6*Model!M118</f>
        <v>4000</v>
      </c>
    </row>
    <row r="119" spans="1:14" x14ac:dyDescent="0.35">
      <c r="A119" s="30">
        <v>118</v>
      </c>
      <c r="B119" s="31">
        <v>1</v>
      </c>
      <c r="C119" s="32">
        <f>(IO!$B$4+IO!$B$8)</f>
        <v>102</v>
      </c>
      <c r="D119" s="32">
        <f>IF(B119&gt;IO!$B$8,0,IO!$B$8-Model!B119)</f>
        <v>1</v>
      </c>
      <c r="E119" s="33">
        <f>IO!$B$5*C119-IO!$B$6*D119</f>
        <v>3980</v>
      </c>
      <c r="G119" s="47">
        <v>118</v>
      </c>
      <c r="H119" s="38" t="s">
        <v>7</v>
      </c>
      <c r="I119" s="38">
        <v>1</v>
      </c>
      <c r="J119" s="39">
        <v>0.114107975529956</v>
      </c>
      <c r="K119" s="40">
        <f>ROUND(NORMINV(J119,IO!$B$10,IO!$B$11),0)</f>
        <v>97</v>
      </c>
      <c r="L119" s="40">
        <f>MIN(K119,IO!$B$4+IO!$B$8)</f>
        <v>97</v>
      </c>
      <c r="M119" s="40">
        <f>IF(L119-I119&gt;IO!$B$4,Model!L119-Model!I119-IO!$B$4,0)</f>
        <v>0</v>
      </c>
      <c r="N119" s="41">
        <f>IO!$B$5*Model!L119-IO!$B$6*Model!M119</f>
        <v>3880</v>
      </c>
    </row>
    <row r="120" spans="1:14" x14ac:dyDescent="0.35">
      <c r="A120" s="30">
        <v>119</v>
      </c>
      <c r="B120" s="31">
        <v>0</v>
      </c>
      <c r="C120" s="32">
        <f>(IO!$B$4+IO!$B$8)</f>
        <v>102</v>
      </c>
      <c r="D120" s="32">
        <f>IF(B120&gt;IO!$B$8,0,IO!$B$8-Model!B120)</f>
        <v>2</v>
      </c>
      <c r="E120" s="33">
        <f>IO!$B$5*C120-IO!$B$6*D120</f>
        <v>3880</v>
      </c>
      <c r="G120" s="47">
        <v>119</v>
      </c>
      <c r="H120" s="38" t="s">
        <v>8</v>
      </c>
      <c r="I120" s="38">
        <v>0</v>
      </c>
      <c r="J120" s="39">
        <v>3.54000028748781E-2</v>
      </c>
      <c r="K120" s="40">
        <f>ROUND(NORMINV(J120,IO!$B$10,IO!$B$11),0)</f>
        <v>94</v>
      </c>
      <c r="L120" s="40">
        <f>MIN(K120,IO!$B$4+IO!$B$8)</f>
        <v>94</v>
      </c>
      <c r="M120" s="40">
        <f>IF(L120-I120&gt;IO!$B$4,Model!L120-Model!I120-IO!$B$4,0)</f>
        <v>0</v>
      </c>
      <c r="N120" s="41">
        <f>IO!$B$5*Model!L120-IO!$B$6*Model!M120</f>
        <v>3760</v>
      </c>
    </row>
    <row r="121" spans="1:14" x14ac:dyDescent="0.35">
      <c r="A121" s="30">
        <v>120</v>
      </c>
      <c r="B121" s="31">
        <v>1</v>
      </c>
      <c r="C121" s="32">
        <f>(IO!$B$4+IO!$B$8)</f>
        <v>102</v>
      </c>
      <c r="D121" s="32">
        <f>IF(B121&gt;IO!$B$8,0,IO!$B$8-Model!B121)</f>
        <v>1</v>
      </c>
      <c r="E121" s="33">
        <f>IO!$B$5*C121-IO!$B$6*D121</f>
        <v>3980</v>
      </c>
      <c r="G121" s="47">
        <v>120</v>
      </c>
      <c r="H121" s="38" t="s">
        <v>9</v>
      </c>
      <c r="I121" s="38">
        <v>1</v>
      </c>
      <c r="J121" s="39">
        <v>0.49981623126343422</v>
      </c>
      <c r="K121" s="40">
        <f>ROUND(NORMINV(J121,IO!$B$10,IO!$B$11),0)</f>
        <v>103</v>
      </c>
      <c r="L121" s="40">
        <f>MIN(K121,IO!$B$4+IO!$B$8)</f>
        <v>102</v>
      </c>
      <c r="M121" s="40">
        <f>IF(L121-I121&gt;IO!$B$4,Model!L121-Model!I121-IO!$B$4,0)</f>
        <v>1</v>
      </c>
      <c r="N121" s="41">
        <f>IO!$B$5*Model!L121-IO!$B$6*Model!M121</f>
        <v>3980</v>
      </c>
    </row>
    <row r="122" spans="1:14" x14ac:dyDescent="0.35">
      <c r="A122" s="30">
        <v>121</v>
      </c>
      <c r="B122" s="31">
        <v>5</v>
      </c>
      <c r="C122" s="32">
        <f>(IO!$B$4+IO!$B$8)</f>
        <v>102</v>
      </c>
      <c r="D122" s="32">
        <f>IF(B122&gt;IO!$B$8,0,IO!$B$8-Model!B122)</f>
        <v>0</v>
      </c>
      <c r="E122" s="33">
        <f>IO!$B$5*C122-IO!$B$6*D122</f>
        <v>4080</v>
      </c>
      <c r="G122" s="47">
        <v>121</v>
      </c>
      <c r="H122" s="38" t="s">
        <v>7</v>
      </c>
      <c r="I122" s="38">
        <v>5</v>
      </c>
      <c r="J122" s="39">
        <v>0.70092376707167625</v>
      </c>
      <c r="K122" s="40">
        <f>ROUND(NORMINV(J122,IO!$B$10,IO!$B$11),0)</f>
        <v>106</v>
      </c>
      <c r="L122" s="40">
        <f>MIN(K122,IO!$B$4+IO!$B$8)</f>
        <v>102</v>
      </c>
      <c r="M122" s="40">
        <f>IF(L122-I122&gt;IO!$B$4,Model!L122-Model!I122-IO!$B$4,0)</f>
        <v>0</v>
      </c>
      <c r="N122" s="41">
        <f>IO!$B$5*Model!L122-IO!$B$6*Model!M122</f>
        <v>4080</v>
      </c>
    </row>
    <row r="123" spans="1:14" x14ac:dyDescent="0.35">
      <c r="A123" s="30">
        <v>122</v>
      </c>
      <c r="B123" s="31">
        <v>3</v>
      </c>
      <c r="C123" s="32">
        <f>(IO!$B$4+IO!$B$8)</f>
        <v>102</v>
      </c>
      <c r="D123" s="32">
        <f>IF(B123&gt;IO!$B$8,0,IO!$B$8-Model!B123)</f>
        <v>0</v>
      </c>
      <c r="E123" s="33">
        <f>IO!$B$5*C123-IO!$B$6*D123</f>
        <v>4080</v>
      </c>
      <c r="G123" s="47">
        <v>122</v>
      </c>
      <c r="H123" s="38" t="s">
        <v>8</v>
      </c>
      <c r="I123" s="38">
        <v>3</v>
      </c>
      <c r="J123" s="39">
        <v>0.84922152115408489</v>
      </c>
      <c r="K123" s="40">
        <f>ROUND(NORMINV(J123,IO!$B$10,IO!$B$11),0)</f>
        <v>108</v>
      </c>
      <c r="L123" s="40">
        <f>MIN(K123,IO!$B$4+IO!$B$8)</f>
        <v>102</v>
      </c>
      <c r="M123" s="40">
        <f>IF(L123-I123&gt;IO!$B$4,Model!L123-Model!I123-IO!$B$4,0)</f>
        <v>0</v>
      </c>
      <c r="N123" s="41">
        <f>IO!$B$5*Model!L123-IO!$B$6*Model!M123</f>
        <v>4080</v>
      </c>
    </row>
    <row r="124" spans="1:14" x14ac:dyDescent="0.35">
      <c r="A124" s="30">
        <v>123</v>
      </c>
      <c r="B124" s="31">
        <v>0</v>
      </c>
      <c r="C124" s="32">
        <f>(IO!$B$4+IO!$B$8)</f>
        <v>102</v>
      </c>
      <c r="D124" s="32">
        <f>IF(B124&gt;IO!$B$8,0,IO!$B$8-Model!B124)</f>
        <v>2</v>
      </c>
      <c r="E124" s="33">
        <f>IO!$B$5*C124-IO!$B$6*D124</f>
        <v>3880</v>
      </c>
      <c r="G124" s="47">
        <v>123</v>
      </c>
      <c r="H124" s="38" t="s">
        <v>9</v>
      </c>
      <c r="I124" s="38">
        <v>0</v>
      </c>
      <c r="J124" s="39">
        <v>0.89854789273376967</v>
      </c>
      <c r="K124" s="40">
        <f>ROUND(NORMINV(J124,IO!$B$10,IO!$B$11),0)</f>
        <v>109</v>
      </c>
      <c r="L124" s="40">
        <f>MIN(K124,IO!$B$4+IO!$B$8)</f>
        <v>102</v>
      </c>
      <c r="M124" s="40">
        <f>IF(L124-I124&gt;IO!$B$4,Model!L124-Model!I124-IO!$B$4,0)</f>
        <v>2</v>
      </c>
      <c r="N124" s="41">
        <f>IO!$B$5*Model!L124-IO!$B$6*Model!M124</f>
        <v>3880</v>
      </c>
    </row>
    <row r="125" spans="1:14" x14ac:dyDescent="0.35">
      <c r="A125" s="30">
        <v>124</v>
      </c>
      <c r="B125" s="31">
        <v>1</v>
      </c>
      <c r="C125" s="32">
        <f>(IO!$B$4+IO!$B$8)</f>
        <v>102</v>
      </c>
      <c r="D125" s="32">
        <f>IF(B125&gt;IO!$B$8,0,IO!$B$8-Model!B125)</f>
        <v>1</v>
      </c>
      <c r="E125" s="33">
        <f>IO!$B$5*C125-IO!$B$6*D125</f>
        <v>3980</v>
      </c>
      <c r="G125" s="47">
        <v>124</v>
      </c>
      <c r="H125" s="38" t="s">
        <v>7</v>
      </c>
      <c r="I125" s="38">
        <v>1</v>
      </c>
      <c r="J125" s="39">
        <v>0.55007597470527159</v>
      </c>
      <c r="K125" s="40">
        <f>ROUND(NORMINV(J125,IO!$B$10,IO!$B$11),0)</f>
        <v>104</v>
      </c>
      <c r="L125" s="40">
        <f>MIN(K125,IO!$B$4+IO!$B$8)</f>
        <v>102</v>
      </c>
      <c r="M125" s="40">
        <f>IF(L125-I125&gt;IO!$B$4,Model!L125-Model!I125-IO!$B$4,0)</f>
        <v>1</v>
      </c>
      <c r="N125" s="41">
        <f>IO!$B$5*Model!L125-IO!$B$6*Model!M125</f>
        <v>3980</v>
      </c>
    </row>
    <row r="126" spans="1:14" x14ac:dyDescent="0.35">
      <c r="A126" s="30">
        <v>125</v>
      </c>
      <c r="B126" s="31">
        <v>2</v>
      </c>
      <c r="C126" s="32">
        <f>(IO!$B$4+IO!$B$8)</f>
        <v>102</v>
      </c>
      <c r="D126" s="32">
        <f>IF(B126&gt;IO!$B$8,0,IO!$B$8-Model!B126)</f>
        <v>0</v>
      </c>
      <c r="E126" s="33">
        <f>IO!$B$5*C126-IO!$B$6*D126</f>
        <v>4080</v>
      </c>
      <c r="G126" s="47">
        <v>125</v>
      </c>
      <c r="H126" s="38" t="s">
        <v>8</v>
      </c>
      <c r="I126" s="38">
        <v>2</v>
      </c>
      <c r="J126" s="39">
        <v>0.33476815438545893</v>
      </c>
      <c r="K126" s="40">
        <f>ROUND(NORMINV(J126,IO!$B$10,IO!$B$11),0)</f>
        <v>101</v>
      </c>
      <c r="L126" s="40">
        <f>MIN(K126,IO!$B$4+IO!$B$8)</f>
        <v>101</v>
      </c>
      <c r="M126" s="40">
        <f>IF(L126-I126&gt;IO!$B$4,Model!L126-Model!I126-IO!$B$4,0)</f>
        <v>0</v>
      </c>
      <c r="N126" s="41">
        <f>IO!$B$5*Model!L126-IO!$B$6*Model!M126</f>
        <v>4040</v>
      </c>
    </row>
    <row r="127" spans="1:14" x14ac:dyDescent="0.35">
      <c r="A127" s="30">
        <v>126</v>
      </c>
      <c r="B127" s="31">
        <v>0</v>
      </c>
      <c r="C127" s="32">
        <f>(IO!$B$4+IO!$B$8)</f>
        <v>102</v>
      </c>
      <c r="D127" s="32">
        <f>IF(B127&gt;IO!$B$8,0,IO!$B$8-Model!B127)</f>
        <v>2</v>
      </c>
      <c r="E127" s="33">
        <f>IO!$B$5*C127-IO!$B$6*D127</f>
        <v>3880</v>
      </c>
      <c r="G127" s="47">
        <v>126</v>
      </c>
      <c r="H127" s="38" t="s">
        <v>9</v>
      </c>
      <c r="I127" s="38">
        <v>0</v>
      </c>
      <c r="J127" s="39">
        <v>0.72753703681444182</v>
      </c>
      <c r="K127" s="40">
        <f>ROUND(NORMINV(J127,IO!$B$10,IO!$B$11),0)</f>
        <v>106</v>
      </c>
      <c r="L127" s="40">
        <f>MIN(K127,IO!$B$4+IO!$B$8)</f>
        <v>102</v>
      </c>
      <c r="M127" s="40">
        <f>IF(L127-I127&gt;IO!$B$4,Model!L127-Model!I127-IO!$B$4,0)</f>
        <v>2</v>
      </c>
      <c r="N127" s="41">
        <f>IO!$B$5*Model!L127-IO!$B$6*Model!M127</f>
        <v>3880</v>
      </c>
    </row>
    <row r="128" spans="1:14" x14ac:dyDescent="0.35">
      <c r="A128" s="30">
        <v>127</v>
      </c>
      <c r="B128" s="31">
        <v>5</v>
      </c>
      <c r="C128" s="32">
        <f>(IO!$B$4+IO!$B$8)</f>
        <v>102</v>
      </c>
      <c r="D128" s="32">
        <f>IF(B128&gt;IO!$B$8,0,IO!$B$8-Model!B128)</f>
        <v>0</v>
      </c>
      <c r="E128" s="33">
        <f>IO!$B$5*C128-IO!$B$6*D128</f>
        <v>4080</v>
      </c>
      <c r="G128" s="47">
        <v>127</v>
      </c>
      <c r="H128" s="38" t="s">
        <v>7</v>
      </c>
      <c r="I128" s="38">
        <v>5</v>
      </c>
      <c r="J128" s="39">
        <v>0.48903402102120408</v>
      </c>
      <c r="K128" s="40">
        <f>ROUND(NORMINV(J128,IO!$B$10,IO!$B$11),0)</f>
        <v>103</v>
      </c>
      <c r="L128" s="40">
        <f>MIN(K128,IO!$B$4+IO!$B$8)</f>
        <v>102</v>
      </c>
      <c r="M128" s="40">
        <f>IF(L128-I128&gt;IO!$B$4,Model!L128-Model!I128-IO!$B$4,0)</f>
        <v>0</v>
      </c>
      <c r="N128" s="41">
        <f>IO!$B$5*Model!L128-IO!$B$6*Model!M128</f>
        <v>4080</v>
      </c>
    </row>
    <row r="129" spans="1:14" x14ac:dyDescent="0.35">
      <c r="A129" s="30">
        <v>128</v>
      </c>
      <c r="B129" s="31">
        <v>6</v>
      </c>
      <c r="C129" s="32">
        <f>(IO!$B$4+IO!$B$8)</f>
        <v>102</v>
      </c>
      <c r="D129" s="32">
        <f>IF(B129&gt;IO!$B$8,0,IO!$B$8-Model!B129)</f>
        <v>0</v>
      </c>
      <c r="E129" s="33">
        <f>IO!$B$5*C129-IO!$B$6*D129</f>
        <v>4080</v>
      </c>
      <c r="G129" s="47">
        <v>128</v>
      </c>
      <c r="H129" s="38" t="s">
        <v>8</v>
      </c>
      <c r="I129" s="38">
        <v>6</v>
      </c>
      <c r="J129" s="39">
        <v>9.2853628142052003E-2</v>
      </c>
      <c r="K129" s="40">
        <f>ROUND(NORMINV(J129,IO!$B$10,IO!$B$11),0)</f>
        <v>96</v>
      </c>
      <c r="L129" s="40">
        <f>MIN(K129,IO!$B$4+IO!$B$8)</f>
        <v>96</v>
      </c>
      <c r="M129" s="40">
        <f>IF(L129-I129&gt;IO!$B$4,Model!L129-Model!I129-IO!$B$4,0)</f>
        <v>0</v>
      </c>
      <c r="N129" s="41">
        <f>IO!$B$5*Model!L129-IO!$B$6*Model!M129</f>
        <v>3840</v>
      </c>
    </row>
    <row r="130" spans="1:14" x14ac:dyDescent="0.35">
      <c r="A130" s="30">
        <v>129</v>
      </c>
      <c r="B130" s="31">
        <v>1</v>
      </c>
      <c r="C130" s="32">
        <f>(IO!$B$4+IO!$B$8)</f>
        <v>102</v>
      </c>
      <c r="D130" s="32">
        <f>IF(B130&gt;IO!$B$8,0,IO!$B$8-Model!B130)</f>
        <v>1</v>
      </c>
      <c r="E130" s="33">
        <f>IO!$B$5*C130-IO!$B$6*D130</f>
        <v>3980</v>
      </c>
      <c r="G130" s="47">
        <v>129</v>
      </c>
      <c r="H130" s="38" t="s">
        <v>9</v>
      </c>
      <c r="I130" s="38">
        <v>1</v>
      </c>
      <c r="J130" s="39">
        <v>1.5230983891058925E-2</v>
      </c>
      <c r="K130" s="40">
        <f>ROUND(NORMINV(J130,IO!$B$10,IO!$B$11),0)</f>
        <v>92</v>
      </c>
      <c r="L130" s="40">
        <f>MIN(K130,IO!$B$4+IO!$B$8)</f>
        <v>92</v>
      </c>
      <c r="M130" s="40">
        <f>IF(L130-I130&gt;IO!$B$4,Model!L130-Model!I130-IO!$B$4,0)</f>
        <v>0</v>
      </c>
      <c r="N130" s="41">
        <f>IO!$B$5*Model!L130-IO!$B$6*Model!M130</f>
        <v>3680</v>
      </c>
    </row>
    <row r="131" spans="1:14" x14ac:dyDescent="0.35">
      <c r="A131" s="30">
        <v>130</v>
      </c>
      <c r="B131" s="31">
        <v>2</v>
      </c>
      <c r="C131" s="32">
        <f>(IO!$B$4+IO!$B$8)</f>
        <v>102</v>
      </c>
      <c r="D131" s="32">
        <f>IF(B131&gt;IO!$B$8,0,IO!$B$8-Model!B131)</f>
        <v>0</v>
      </c>
      <c r="E131" s="33">
        <f>IO!$B$5*C131-IO!$B$6*D131</f>
        <v>4080</v>
      </c>
      <c r="G131" s="47">
        <v>130</v>
      </c>
      <c r="H131" s="38" t="s">
        <v>7</v>
      </c>
      <c r="I131" s="38">
        <v>2</v>
      </c>
      <c r="J131" s="39">
        <v>0.3468614178733086</v>
      </c>
      <c r="K131" s="40">
        <f>ROUND(NORMINV(J131,IO!$B$10,IO!$B$11),0)</f>
        <v>101</v>
      </c>
      <c r="L131" s="40">
        <f>MIN(K131,IO!$B$4+IO!$B$8)</f>
        <v>101</v>
      </c>
      <c r="M131" s="40">
        <f>IF(L131-I131&gt;IO!$B$4,Model!L131-Model!I131-IO!$B$4,0)</f>
        <v>0</v>
      </c>
      <c r="N131" s="41">
        <f>IO!$B$5*Model!L131-IO!$B$6*Model!M131</f>
        <v>4040</v>
      </c>
    </row>
    <row r="132" spans="1:14" x14ac:dyDescent="0.35">
      <c r="A132" s="30">
        <v>131</v>
      </c>
      <c r="B132" s="31">
        <v>2</v>
      </c>
      <c r="C132" s="32">
        <f>(IO!$B$4+IO!$B$8)</f>
        <v>102</v>
      </c>
      <c r="D132" s="32">
        <f>IF(B132&gt;IO!$B$8,0,IO!$B$8-Model!B132)</f>
        <v>0</v>
      </c>
      <c r="E132" s="33">
        <f>IO!$B$5*C132-IO!$B$6*D132</f>
        <v>4080</v>
      </c>
      <c r="G132" s="47">
        <v>131</v>
      </c>
      <c r="H132" s="38" t="s">
        <v>8</v>
      </c>
      <c r="I132" s="38">
        <v>2</v>
      </c>
      <c r="J132" s="39">
        <v>5.5267914652101124E-2</v>
      </c>
      <c r="K132" s="40">
        <f>ROUND(NORMINV(J132,IO!$B$10,IO!$B$11),0)</f>
        <v>95</v>
      </c>
      <c r="L132" s="40">
        <f>MIN(K132,IO!$B$4+IO!$B$8)</f>
        <v>95</v>
      </c>
      <c r="M132" s="40">
        <f>IF(L132-I132&gt;IO!$B$4,Model!L132-Model!I132-IO!$B$4,0)</f>
        <v>0</v>
      </c>
      <c r="N132" s="41">
        <f>IO!$B$5*Model!L132-IO!$B$6*Model!M132</f>
        <v>3800</v>
      </c>
    </row>
    <row r="133" spans="1:14" x14ac:dyDescent="0.35">
      <c r="A133" s="30">
        <v>132</v>
      </c>
      <c r="B133" s="31">
        <v>0</v>
      </c>
      <c r="C133" s="32">
        <f>(IO!$B$4+IO!$B$8)</f>
        <v>102</v>
      </c>
      <c r="D133" s="32">
        <f>IF(B133&gt;IO!$B$8,0,IO!$B$8-Model!B133)</f>
        <v>2</v>
      </c>
      <c r="E133" s="33">
        <f>IO!$B$5*C133-IO!$B$6*D133</f>
        <v>3880</v>
      </c>
      <c r="G133" s="47">
        <v>132</v>
      </c>
      <c r="H133" s="38" t="s">
        <v>9</v>
      </c>
      <c r="I133" s="38">
        <v>0</v>
      </c>
      <c r="J133" s="39">
        <v>0.93251031061549916</v>
      </c>
      <c r="K133" s="40">
        <f>ROUND(NORMINV(J133,IO!$B$10,IO!$B$11),0)</f>
        <v>110</v>
      </c>
      <c r="L133" s="40">
        <f>MIN(K133,IO!$B$4+IO!$B$8)</f>
        <v>102</v>
      </c>
      <c r="M133" s="40">
        <f>IF(L133-I133&gt;IO!$B$4,Model!L133-Model!I133-IO!$B$4,0)</f>
        <v>2</v>
      </c>
      <c r="N133" s="41">
        <f>IO!$B$5*Model!L133-IO!$B$6*Model!M133</f>
        <v>3880</v>
      </c>
    </row>
    <row r="134" spans="1:14" x14ac:dyDescent="0.35">
      <c r="A134" s="30">
        <v>133</v>
      </c>
      <c r="B134" s="31">
        <v>2</v>
      </c>
      <c r="C134" s="32">
        <f>(IO!$B$4+IO!$B$8)</f>
        <v>102</v>
      </c>
      <c r="D134" s="32">
        <f>IF(B134&gt;IO!$B$8,0,IO!$B$8-Model!B134)</f>
        <v>0</v>
      </c>
      <c r="E134" s="33">
        <f>IO!$B$5*C134-IO!$B$6*D134</f>
        <v>4080</v>
      </c>
      <c r="G134" s="47">
        <v>133</v>
      </c>
      <c r="H134" s="38" t="s">
        <v>7</v>
      </c>
      <c r="I134" s="38">
        <v>2</v>
      </c>
      <c r="J134" s="39">
        <v>0.39198024221587313</v>
      </c>
      <c r="K134" s="40">
        <f>ROUND(NORMINV(J134,IO!$B$10,IO!$B$11),0)</f>
        <v>102</v>
      </c>
      <c r="L134" s="40">
        <f>MIN(K134,IO!$B$4+IO!$B$8)</f>
        <v>102</v>
      </c>
      <c r="M134" s="40">
        <f>IF(L134-I134&gt;IO!$B$4,Model!L134-Model!I134-IO!$B$4,0)</f>
        <v>0</v>
      </c>
      <c r="N134" s="41">
        <f>IO!$B$5*Model!L134-IO!$B$6*Model!M134</f>
        <v>4080</v>
      </c>
    </row>
    <row r="135" spans="1:14" x14ac:dyDescent="0.35">
      <c r="A135" s="30">
        <v>134</v>
      </c>
      <c r="B135" s="31">
        <v>2</v>
      </c>
      <c r="C135" s="32">
        <f>(IO!$B$4+IO!$B$8)</f>
        <v>102</v>
      </c>
      <c r="D135" s="32">
        <f>IF(B135&gt;IO!$B$8,0,IO!$B$8-Model!B135)</f>
        <v>0</v>
      </c>
      <c r="E135" s="33">
        <f>IO!$B$5*C135-IO!$B$6*D135</f>
        <v>4080</v>
      </c>
      <c r="G135" s="47">
        <v>134</v>
      </c>
      <c r="H135" s="38" t="s">
        <v>8</v>
      </c>
      <c r="I135" s="38">
        <v>2</v>
      </c>
      <c r="J135" s="39">
        <v>0.50536471580884346</v>
      </c>
      <c r="K135" s="40">
        <f>ROUND(NORMINV(J135,IO!$B$10,IO!$B$11),0)</f>
        <v>103</v>
      </c>
      <c r="L135" s="40">
        <f>MIN(K135,IO!$B$4+IO!$B$8)</f>
        <v>102</v>
      </c>
      <c r="M135" s="40">
        <f>IF(L135-I135&gt;IO!$B$4,Model!L135-Model!I135-IO!$B$4,0)</f>
        <v>0</v>
      </c>
      <c r="N135" s="41">
        <f>IO!$B$5*Model!L135-IO!$B$6*Model!M135</f>
        <v>4080</v>
      </c>
    </row>
    <row r="136" spans="1:14" x14ac:dyDescent="0.35">
      <c r="A136" s="30">
        <v>135</v>
      </c>
      <c r="B136" s="31">
        <v>1</v>
      </c>
      <c r="C136" s="32">
        <f>(IO!$B$4+IO!$B$8)</f>
        <v>102</v>
      </c>
      <c r="D136" s="32">
        <f>IF(B136&gt;IO!$B$8,0,IO!$B$8-Model!B136)</f>
        <v>1</v>
      </c>
      <c r="E136" s="33">
        <f>IO!$B$5*C136-IO!$B$6*D136</f>
        <v>3980</v>
      </c>
      <c r="G136" s="47">
        <v>135</v>
      </c>
      <c r="H136" s="38" t="s">
        <v>9</v>
      </c>
      <c r="I136" s="38">
        <v>1</v>
      </c>
      <c r="J136" s="39">
        <v>7.0024104308105017E-2</v>
      </c>
      <c r="K136" s="40">
        <f>ROUND(NORMINV(J136,IO!$B$10,IO!$B$11),0)</f>
        <v>96</v>
      </c>
      <c r="L136" s="40">
        <f>MIN(K136,IO!$B$4+IO!$B$8)</f>
        <v>96</v>
      </c>
      <c r="M136" s="40">
        <f>IF(L136-I136&gt;IO!$B$4,Model!L136-Model!I136-IO!$B$4,0)</f>
        <v>0</v>
      </c>
      <c r="N136" s="41">
        <f>IO!$B$5*Model!L136-IO!$B$6*Model!M136</f>
        <v>3840</v>
      </c>
    </row>
    <row r="137" spans="1:14" x14ac:dyDescent="0.35">
      <c r="A137" s="30">
        <v>136</v>
      </c>
      <c r="B137" s="31">
        <v>5</v>
      </c>
      <c r="C137" s="32">
        <f>(IO!$B$4+IO!$B$8)</f>
        <v>102</v>
      </c>
      <c r="D137" s="32">
        <f>IF(B137&gt;IO!$B$8,0,IO!$B$8-Model!B137)</f>
        <v>0</v>
      </c>
      <c r="E137" s="33">
        <f>IO!$B$5*C137-IO!$B$6*D137</f>
        <v>4080</v>
      </c>
      <c r="G137" s="47">
        <v>136</v>
      </c>
      <c r="H137" s="38" t="s">
        <v>7</v>
      </c>
      <c r="I137" s="38">
        <v>5</v>
      </c>
      <c r="J137" s="39">
        <v>0.76651301559178642</v>
      </c>
      <c r="K137" s="40">
        <f>ROUND(NORMINV(J137,IO!$B$10,IO!$B$11),0)</f>
        <v>107</v>
      </c>
      <c r="L137" s="40">
        <f>MIN(K137,IO!$B$4+IO!$B$8)</f>
        <v>102</v>
      </c>
      <c r="M137" s="40">
        <f>IF(L137-I137&gt;IO!$B$4,Model!L137-Model!I137-IO!$B$4,0)</f>
        <v>0</v>
      </c>
      <c r="N137" s="41">
        <f>IO!$B$5*Model!L137-IO!$B$6*Model!M137</f>
        <v>4080</v>
      </c>
    </row>
    <row r="138" spans="1:14" x14ac:dyDescent="0.35">
      <c r="A138" s="30">
        <v>137</v>
      </c>
      <c r="B138" s="31">
        <v>7</v>
      </c>
      <c r="C138" s="32">
        <f>(IO!$B$4+IO!$B$8)</f>
        <v>102</v>
      </c>
      <c r="D138" s="32">
        <f>IF(B138&gt;IO!$B$8,0,IO!$B$8-Model!B138)</f>
        <v>0</v>
      </c>
      <c r="E138" s="33">
        <f>IO!$B$5*C138-IO!$B$6*D138</f>
        <v>4080</v>
      </c>
      <c r="G138" s="47">
        <v>137</v>
      </c>
      <c r="H138" s="38" t="s">
        <v>8</v>
      </c>
      <c r="I138" s="38">
        <v>7</v>
      </c>
      <c r="J138" s="39">
        <v>0.37806402473193634</v>
      </c>
      <c r="K138" s="40">
        <f>ROUND(NORMINV(J138,IO!$B$10,IO!$B$11),0)</f>
        <v>101</v>
      </c>
      <c r="L138" s="40">
        <f>MIN(K138,IO!$B$4+IO!$B$8)</f>
        <v>101</v>
      </c>
      <c r="M138" s="40">
        <f>IF(L138-I138&gt;IO!$B$4,Model!L138-Model!I138-IO!$B$4,0)</f>
        <v>0</v>
      </c>
      <c r="N138" s="41">
        <f>IO!$B$5*Model!L138-IO!$B$6*Model!M138</f>
        <v>4040</v>
      </c>
    </row>
    <row r="139" spans="1:14" x14ac:dyDescent="0.35">
      <c r="A139" s="30">
        <v>138</v>
      </c>
      <c r="B139" s="31">
        <v>0</v>
      </c>
      <c r="C139" s="32">
        <f>(IO!$B$4+IO!$B$8)</f>
        <v>102</v>
      </c>
      <c r="D139" s="32">
        <f>IF(B139&gt;IO!$B$8,0,IO!$B$8-Model!B139)</f>
        <v>2</v>
      </c>
      <c r="E139" s="33">
        <f>IO!$B$5*C139-IO!$B$6*D139</f>
        <v>3880</v>
      </c>
      <c r="G139" s="47">
        <v>138</v>
      </c>
      <c r="H139" s="38" t="s">
        <v>9</v>
      </c>
      <c r="I139" s="38">
        <v>0</v>
      </c>
      <c r="J139" s="39">
        <v>0.40709841153395221</v>
      </c>
      <c r="K139" s="40">
        <f>ROUND(NORMINV(J139,IO!$B$10,IO!$B$11),0)</f>
        <v>102</v>
      </c>
      <c r="L139" s="40">
        <f>MIN(K139,IO!$B$4+IO!$B$8)</f>
        <v>102</v>
      </c>
      <c r="M139" s="40">
        <f>IF(L139-I139&gt;IO!$B$4,Model!L139-Model!I139-IO!$B$4,0)</f>
        <v>2</v>
      </c>
      <c r="N139" s="41">
        <f>IO!$B$5*Model!L139-IO!$B$6*Model!M139</f>
        <v>3880</v>
      </c>
    </row>
    <row r="140" spans="1:14" x14ac:dyDescent="0.35">
      <c r="A140" s="30">
        <v>139</v>
      </c>
      <c r="B140" s="31">
        <v>4</v>
      </c>
      <c r="C140" s="32">
        <f>(IO!$B$4+IO!$B$8)</f>
        <v>102</v>
      </c>
      <c r="D140" s="32">
        <f>IF(B140&gt;IO!$B$8,0,IO!$B$8-Model!B140)</f>
        <v>0</v>
      </c>
      <c r="E140" s="33">
        <f>IO!$B$5*C140-IO!$B$6*D140</f>
        <v>4080</v>
      </c>
      <c r="G140" s="47">
        <v>139</v>
      </c>
      <c r="H140" s="38" t="s">
        <v>7</v>
      </c>
      <c r="I140" s="38">
        <v>4</v>
      </c>
      <c r="J140" s="39">
        <v>0.89933835012363461</v>
      </c>
      <c r="K140" s="40">
        <f>ROUND(NORMINV(J140,IO!$B$10,IO!$B$11),0)</f>
        <v>109</v>
      </c>
      <c r="L140" s="40">
        <f>MIN(K140,IO!$B$4+IO!$B$8)</f>
        <v>102</v>
      </c>
      <c r="M140" s="40">
        <f>IF(L140-I140&gt;IO!$B$4,Model!L140-Model!I140-IO!$B$4,0)</f>
        <v>0</v>
      </c>
      <c r="N140" s="41">
        <f>IO!$B$5*Model!L140-IO!$B$6*Model!M140</f>
        <v>4080</v>
      </c>
    </row>
    <row r="141" spans="1:14" x14ac:dyDescent="0.35">
      <c r="A141" s="30">
        <v>140</v>
      </c>
      <c r="B141" s="31">
        <v>2</v>
      </c>
      <c r="C141" s="32">
        <f>(IO!$B$4+IO!$B$8)</f>
        <v>102</v>
      </c>
      <c r="D141" s="32">
        <f>IF(B141&gt;IO!$B$8,0,IO!$B$8-Model!B141)</f>
        <v>0</v>
      </c>
      <c r="E141" s="33">
        <f>IO!$B$5*C141-IO!$B$6*D141</f>
        <v>4080</v>
      </c>
      <c r="G141" s="47">
        <v>140</v>
      </c>
      <c r="H141" s="38" t="s">
        <v>8</v>
      </c>
      <c r="I141" s="38">
        <v>2</v>
      </c>
      <c r="J141" s="39">
        <v>0.33218406438699477</v>
      </c>
      <c r="K141" s="40">
        <f>ROUND(NORMINV(J141,IO!$B$10,IO!$B$11),0)</f>
        <v>101</v>
      </c>
      <c r="L141" s="40">
        <f>MIN(K141,IO!$B$4+IO!$B$8)</f>
        <v>101</v>
      </c>
      <c r="M141" s="40">
        <f>IF(L141-I141&gt;IO!$B$4,Model!L141-Model!I141-IO!$B$4,0)</f>
        <v>0</v>
      </c>
      <c r="N141" s="41">
        <f>IO!$B$5*Model!L141-IO!$B$6*Model!M141</f>
        <v>4040</v>
      </c>
    </row>
    <row r="142" spans="1:14" x14ac:dyDescent="0.35">
      <c r="A142" s="30">
        <v>141</v>
      </c>
      <c r="B142" s="31">
        <v>1</v>
      </c>
      <c r="C142" s="32">
        <f>(IO!$B$4+IO!$B$8)</f>
        <v>102</v>
      </c>
      <c r="D142" s="32">
        <f>IF(B142&gt;IO!$B$8,0,IO!$B$8-Model!B142)</f>
        <v>1</v>
      </c>
      <c r="E142" s="33">
        <f>IO!$B$5*C142-IO!$B$6*D142</f>
        <v>3980</v>
      </c>
      <c r="G142" s="47">
        <v>141</v>
      </c>
      <c r="H142" s="38" t="s">
        <v>9</v>
      </c>
      <c r="I142" s="38">
        <v>1</v>
      </c>
      <c r="J142" s="39">
        <v>0.43781201170825412</v>
      </c>
      <c r="K142" s="40">
        <f>ROUND(NORMINV(J142,IO!$B$10,IO!$B$11),0)</f>
        <v>102</v>
      </c>
      <c r="L142" s="40">
        <f>MIN(K142,IO!$B$4+IO!$B$8)</f>
        <v>102</v>
      </c>
      <c r="M142" s="40">
        <f>IF(L142-I142&gt;IO!$B$4,Model!L142-Model!I142-IO!$B$4,0)</f>
        <v>1</v>
      </c>
      <c r="N142" s="41">
        <f>IO!$B$5*Model!L142-IO!$B$6*Model!M142</f>
        <v>3980</v>
      </c>
    </row>
    <row r="143" spans="1:14" x14ac:dyDescent="0.35">
      <c r="A143" s="30">
        <v>142</v>
      </c>
      <c r="B143" s="31">
        <v>2</v>
      </c>
      <c r="C143" s="32">
        <f>(IO!$B$4+IO!$B$8)</f>
        <v>102</v>
      </c>
      <c r="D143" s="32">
        <f>IF(B143&gt;IO!$B$8,0,IO!$B$8-Model!B143)</f>
        <v>0</v>
      </c>
      <c r="E143" s="33">
        <f>IO!$B$5*C143-IO!$B$6*D143</f>
        <v>4080</v>
      </c>
      <c r="G143" s="47">
        <v>142</v>
      </c>
      <c r="H143" s="38" t="s">
        <v>7</v>
      </c>
      <c r="I143" s="38">
        <v>2</v>
      </c>
      <c r="J143" s="39">
        <v>0.1364592685202427</v>
      </c>
      <c r="K143" s="40">
        <f>ROUND(NORMINV(J143,IO!$B$10,IO!$B$11),0)</f>
        <v>98</v>
      </c>
      <c r="L143" s="40">
        <f>MIN(K143,IO!$B$4+IO!$B$8)</f>
        <v>98</v>
      </c>
      <c r="M143" s="40">
        <f>IF(L143-I143&gt;IO!$B$4,Model!L143-Model!I143-IO!$B$4,0)</f>
        <v>0</v>
      </c>
      <c r="N143" s="41">
        <f>IO!$B$5*Model!L143-IO!$B$6*Model!M143</f>
        <v>3920</v>
      </c>
    </row>
    <row r="144" spans="1:14" x14ac:dyDescent="0.35">
      <c r="A144" s="30">
        <v>143</v>
      </c>
      <c r="B144" s="31">
        <v>5</v>
      </c>
      <c r="C144" s="32">
        <f>(IO!$B$4+IO!$B$8)</f>
        <v>102</v>
      </c>
      <c r="D144" s="32">
        <f>IF(B144&gt;IO!$B$8,0,IO!$B$8-Model!B144)</f>
        <v>0</v>
      </c>
      <c r="E144" s="33">
        <f>IO!$B$5*C144-IO!$B$6*D144</f>
        <v>4080</v>
      </c>
      <c r="G144" s="47">
        <v>143</v>
      </c>
      <c r="H144" s="38" t="s">
        <v>8</v>
      </c>
      <c r="I144" s="38">
        <v>5</v>
      </c>
      <c r="J144" s="39">
        <v>0.28905599350532485</v>
      </c>
      <c r="K144" s="40">
        <f>ROUND(NORMINV(J144,IO!$B$10,IO!$B$11),0)</f>
        <v>100</v>
      </c>
      <c r="L144" s="40">
        <f>MIN(K144,IO!$B$4+IO!$B$8)</f>
        <v>100</v>
      </c>
      <c r="M144" s="40">
        <f>IF(L144-I144&gt;IO!$B$4,Model!L144-Model!I144-IO!$B$4,0)</f>
        <v>0</v>
      </c>
      <c r="N144" s="41">
        <f>IO!$B$5*Model!L144-IO!$B$6*Model!M144</f>
        <v>4000</v>
      </c>
    </row>
    <row r="145" spans="1:14" x14ac:dyDescent="0.35">
      <c r="A145" s="30">
        <v>144</v>
      </c>
      <c r="B145" s="31">
        <v>2</v>
      </c>
      <c r="C145" s="32">
        <f>(IO!$B$4+IO!$B$8)</f>
        <v>102</v>
      </c>
      <c r="D145" s="32">
        <f>IF(B145&gt;IO!$B$8,0,IO!$B$8-Model!B145)</f>
        <v>0</v>
      </c>
      <c r="E145" s="33">
        <f>IO!$B$5*C145-IO!$B$6*D145</f>
        <v>4080</v>
      </c>
      <c r="G145" s="47">
        <v>144</v>
      </c>
      <c r="H145" s="38" t="s">
        <v>9</v>
      </c>
      <c r="I145" s="38">
        <v>2</v>
      </c>
      <c r="J145" s="39">
        <v>0.18593735679276435</v>
      </c>
      <c r="K145" s="40">
        <f>ROUND(NORMINV(J145,IO!$B$10,IO!$B$11),0)</f>
        <v>99</v>
      </c>
      <c r="L145" s="40">
        <f>MIN(K145,IO!$B$4+IO!$B$8)</f>
        <v>99</v>
      </c>
      <c r="M145" s="40">
        <f>IF(L145-I145&gt;IO!$B$4,Model!L145-Model!I145-IO!$B$4,0)</f>
        <v>0</v>
      </c>
      <c r="N145" s="41">
        <f>IO!$B$5*Model!L145-IO!$B$6*Model!M145</f>
        <v>3960</v>
      </c>
    </row>
    <row r="146" spans="1:14" x14ac:dyDescent="0.35">
      <c r="A146" s="30">
        <v>145</v>
      </c>
      <c r="B146" s="31">
        <v>3</v>
      </c>
      <c r="C146" s="32">
        <f>(IO!$B$4+IO!$B$8)</f>
        <v>102</v>
      </c>
      <c r="D146" s="32">
        <f>IF(B146&gt;IO!$B$8,0,IO!$B$8-Model!B146)</f>
        <v>0</v>
      </c>
      <c r="E146" s="33">
        <f>IO!$B$5*C146-IO!$B$6*D146</f>
        <v>4080</v>
      </c>
      <c r="G146" s="47">
        <v>145</v>
      </c>
      <c r="H146" s="38" t="s">
        <v>7</v>
      </c>
      <c r="I146" s="38">
        <v>3</v>
      </c>
      <c r="J146" s="39">
        <v>0.90541345072880919</v>
      </c>
      <c r="K146" s="40">
        <f>ROUND(NORMINV(J146,IO!$B$10,IO!$B$11),0)</f>
        <v>110</v>
      </c>
      <c r="L146" s="40">
        <f>MIN(K146,IO!$B$4+IO!$B$8)</f>
        <v>102</v>
      </c>
      <c r="M146" s="40">
        <f>IF(L146-I146&gt;IO!$B$4,Model!L146-Model!I146-IO!$B$4,0)</f>
        <v>0</v>
      </c>
      <c r="N146" s="41">
        <f>IO!$B$5*Model!L146-IO!$B$6*Model!M146</f>
        <v>4080</v>
      </c>
    </row>
    <row r="147" spans="1:14" x14ac:dyDescent="0.35">
      <c r="A147" s="30">
        <v>146</v>
      </c>
      <c r="B147" s="31">
        <v>3</v>
      </c>
      <c r="C147" s="32">
        <f>(IO!$B$4+IO!$B$8)</f>
        <v>102</v>
      </c>
      <c r="D147" s="32">
        <f>IF(B147&gt;IO!$B$8,0,IO!$B$8-Model!B147)</f>
        <v>0</v>
      </c>
      <c r="E147" s="33">
        <f>IO!$B$5*C147-IO!$B$6*D147</f>
        <v>4080</v>
      </c>
      <c r="G147" s="47">
        <v>146</v>
      </c>
      <c r="H147" s="38" t="s">
        <v>8</v>
      </c>
      <c r="I147" s="38">
        <v>3</v>
      </c>
      <c r="J147" s="39">
        <v>0.77066228337180709</v>
      </c>
      <c r="K147" s="40">
        <f>ROUND(NORMINV(J147,IO!$B$10,IO!$B$11),0)</f>
        <v>107</v>
      </c>
      <c r="L147" s="40">
        <f>MIN(K147,IO!$B$4+IO!$B$8)</f>
        <v>102</v>
      </c>
      <c r="M147" s="40">
        <f>IF(L147-I147&gt;IO!$B$4,Model!L147-Model!I147-IO!$B$4,0)</f>
        <v>0</v>
      </c>
      <c r="N147" s="41">
        <f>IO!$B$5*Model!L147-IO!$B$6*Model!M147</f>
        <v>4080</v>
      </c>
    </row>
    <row r="148" spans="1:14" x14ac:dyDescent="0.35">
      <c r="A148" s="30">
        <v>147</v>
      </c>
      <c r="B148" s="31">
        <v>0</v>
      </c>
      <c r="C148" s="32">
        <f>(IO!$B$4+IO!$B$8)</f>
        <v>102</v>
      </c>
      <c r="D148" s="32">
        <f>IF(B148&gt;IO!$B$8,0,IO!$B$8-Model!B148)</f>
        <v>2</v>
      </c>
      <c r="E148" s="33">
        <f>IO!$B$5*C148-IO!$B$6*D148</f>
        <v>3880</v>
      </c>
      <c r="G148" s="47">
        <v>147</v>
      </c>
      <c r="H148" s="38" t="s">
        <v>9</v>
      </c>
      <c r="I148" s="38">
        <v>0</v>
      </c>
      <c r="J148" s="39">
        <v>2.6905065895449942E-2</v>
      </c>
      <c r="K148" s="40">
        <f>ROUND(NORMINV(J148,IO!$B$10,IO!$B$11),0)</f>
        <v>93</v>
      </c>
      <c r="L148" s="40">
        <f>MIN(K148,IO!$B$4+IO!$B$8)</f>
        <v>93</v>
      </c>
      <c r="M148" s="40">
        <f>IF(L148-I148&gt;IO!$B$4,Model!L148-Model!I148-IO!$B$4,0)</f>
        <v>0</v>
      </c>
      <c r="N148" s="41">
        <f>IO!$B$5*Model!L148-IO!$B$6*Model!M148</f>
        <v>3720</v>
      </c>
    </row>
    <row r="149" spans="1:14" x14ac:dyDescent="0.35">
      <c r="A149" s="30">
        <v>148</v>
      </c>
      <c r="B149" s="31">
        <v>2</v>
      </c>
      <c r="C149" s="32">
        <f>(IO!$B$4+IO!$B$8)</f>
        <v>102</v>
      </c>
      <c r="D149" s="32">
        <f>IF(B149&gt;IO!$B$8,0,IO!$B$8-Model!B149)</f>
        <v>0</v>
      </c>
      <c r="E149" s="33">
        <f>IO!$B$5*C149-IO!$B$6*D149</f>
        <v>4080</v>
      </c>
      <c r="G149" s="47">
        <v>148</v>
      </c>
      <c r="H149" s="38" t="s">
        <v>7</v>
      </c>
      <c r="I149" s="38">
        <v>2</v>
      </c>
      <c r="J149" s="39">
        <v>0.48740362521948088</v>
      </c>
      <c r="K149" s="40">
        <f>ROUND(NORMINV(J149,IO!$B$10,IO!$B$11),0)</f>
        <v>103</v>
      </c>
      <c r="L149" s="40">
        <f>MIN(K149,IO!$B$4+IO!$B$8)</f>
        <v>102</v>
      </c>
      <c r="M149" s="40">
        <f>IF(L149-I149&gt;IO!$B$4,Model!L149-Model!I149-IO!$B$4,0)</f>
        <v>0</v>
      </c>
      <c r="N149" s="41">
        <f>IO!$B$5*Model!L149-IO!$B$6*Model!M149</f>
        <v>4080</v>
      </c>
    </row>
    <row r="150" spans="1:14" x14ac:dyDescent="0.35">
      <c r="A150" s="30">
        <v>149</v>
      </c>
      <c r="B150" s="31">
        <v>2</v>
      </c>
      <c r="C150" s="32">
        <f>(IO!$B$4+IO!$B$8)</f>
        <v>102</v>
      </c>
      <c r="D150" s="32">
        <f>IF(B150&gt;IO!$B$8,0,IO!$B$8-Model!B150)</f>
        <v>0</v>
      </c>
      <c r="E150" s="33">
        <f>IO!$B$5*C150-IO!$B$6*D150</f>
        <v>4080</v>
      </c>
      <c r="G150" s="47">
        <v>149</v>
      </c>
      <c r="H150" s="38" t="s">
        <v>8</v>
      </c>
      <c r="I150" s="38">
        <v>2</v>
      </c>
      <c r="J150" s="39">
        <v>0.11716291001673884</v>
      </c>
      <c r="K150" s="40">
        <f>ROUND(NORMINV(J150,IO!$B$10,IO!$B$11),0)</f>
        <v>97</v>
      </c>
      <c r="L150" s="40">
        <f>MIN(K150,IO!$B$4+IO!$B$8)</f>
        <v>97</v>
      </c>
      <c r="M150" s="40">
        <f>IF(L150-I150&gt;IO!$B$4,Model!L150-Model!I150-IO!$B$4,0)</f>
        <v>0</v>
      </c>
      <c r="N150" s="41">
        <f>IO!$B$5*Model!L150-IO!$B$6*Model!M150</f>
        <v>3880</v>
      </c>
    </row>
    <row r="151" spans="1:14" x14ac:dyDescent="0.35">
      <c r="A151" s="30">
        <v>150</v>
      </c>
      <c r="B151" s="31">
        <v>0</v>
      </c>
      <c r="C151" s="32">
        <f>(IO!$B$4+IO!$B$8)</f>
        <v>102</v>
      </c>
      <c r="D151" s="32">
        <f>IF(B151&gt;IO!$B$8,0,IO!$B$8-Model!B151)</f>
        <v>2</v>
      </c>
      <c r="E151" s="33">
        <f>IO!$B$5*C151-IO!$B$6*D151</f>
        <v>3880</v>
      </c>
      <c r="G151" s="47">
        <v>150</v>
      </c>
      <c r="H151" s="38" t="s">
        <v>9</v>
      </c>
      <c r="I151" s="38">
        <v>0</v>
      </c>
      <c r="J151" s="39">
        <v>0.18346188533752628</v>
      </c>
      <c r="K151" s="40">
        <f>ROUND(NORMINV(J151,IO!$B$10,IO!$B$11),0)</f>
        <v>98</v>
      </c>
      <c r="L151" s="40">
        <f>MIN(K151,IO!$B$4+IO!$B$8)</f>
        <v>98</v>
      </c>
      <c r="M151" s="40">
        <f>IF(L151-I151&gt;IO!$B$4,Model!L151-Model!I151-IO!$B$4,0)</f>
        <v>0</v>
      </c>
      <c r="N151" s="41">
        <f>IO!$B$5*Model!L151-IO!$B$6*Model!M151</f>
        <v>3920</v>
      </c>
    </row>
    <row r="152" spans="1:14" x14ac:dyDescent="0.35">
      <c r="A152" s="30">
        <v>151</v>
      </c>
      <c r="B152" s="31">
        <v>2</v>
      </c>
      <c r="C152" s="32">
        <f>(IO!$B$4+IO!$B$8)</f>
        <v>102</v>
      </c>
      <c r="D152" s="32">
        <f>IF(B152&gt;IO!$B$8,0,IO!$B$8-Model!B152)</f>
        <v>0</v>
      </c>
      <c r="E152" s="33">
        <f>IO!$B$5*C152-IO!$B$6*D152</f>
        <v>4080</v>
      </c>
      <c r="G152" s="47">
        <v>151</v>
      </c>
      <c r="H152" s="38" t="s">
        <v>7</v>
      </c>
      <c r="I152" s="38">
        <v>2</v>
      </c>
      <c r="J152" s="39">
        <v>0.45002961759819959</v>
      </c>
      <c r="K152" s="40">
        <f>ROUND(NORMINV(J152,IO!$B$10,IO!$B$11),0)</f>
        <v>102</v>
      </c>
      <c r="L152" s="40">
        <f>MIN(K152,IO!$B$4+IO!$B$8)</f>
        <v>102</v>
      </c>
      <c r="M152" s="40">
        <f>IF(L152-I152&gt;IO!$B$4,Model!L152-Model!I152-IO!$B$4,0)</f>
        <v>0</v>
      </c>
      <c r="N152" s="41">
        <f>IO!$B$5*Model!L152-IO!$B$6*Model!M152</f>
        <v>4080</v>
      </c>
    </row>
    <row r="153" spans="1:14" x14ac:dyDescent="0.35">
      <c r="A153" s="30">
        <v>152</v>
      </c>
      <c r="B153" s="31">
        <v>2</v>
      </c>
      <c r="C153" s="32">
        <f>(IO!$B$4+IO!$B$8)</f>
        <v>102</v>
      </c>
      <c r="D153" s="32">
        <f>IF(B153&gt;IO!$B$8,0,IO!$B$8-Model!B153)</f>
        <v>0</v>
      </c>
      <c r="E153" s="33">
        <f>IO!$B$5*C153-IO!$B$6*D153</f>
        <v>4080</v>
      </c>
      <c r="G153" s="47">
        <v>152</v>
      </c>
      <c r="H153" s="38" t="s">
        <v>8</v>
      </c>
      <c r="I153" s="38">
        <v>2</v>
      </c>
      <c r="J153" s="39">
        <v>0.3164558278480134</v>
      </c>
      <c r="K153" s="40">
        <f>ROUND(NORMINV(J153,IO!$B$10,IO!$B$11),0)</f>
        <v>101</v>
      </c>
      <c r="L153" s="40">
        <f>MIN(K153,IO!$B$4+IO!$B$8)</f>
        <v>101</v>
      </c>
      <c r="M153" s="40">
        <f>IF(L153-I153&gt;IO!$B$4,Model!L153-Model!I153-IO!$B$4,0)</f>
        <v>0</v>
      </c>
      <c r="N153" s="41">
        <f>IO!$B$5*Model!L153-IO!$B$6*Model!M153</f>
        <v>4040</v>
      </c>
    </row>
    <row r="154" spans="1:14" x14ac:dyDescent="0.35">
      <c r="A154" s="30">
        <v>153</v>
      </c>
      <c r="B154" s="31">
        <v>1</v>
      </c>
      <c r="C154" s="32">
        <f>(IO!$B$4+IO!$B$8)</f>
        <v>102</v>
      </c>
      <c r="D154" s="32">
        <f>IF(B154&gt;IO!$B$8,0,IO!$B$8-Model!B154)</f>
        <v>1</v>
      </c>
      <c r="E154" s="33">
        <f>IO!$B$5*C154-IO!$B$6*D154</f>
        <v>3980</v>
      </c>
      <c r="G154" s="47">
        <v>153</v>
      </c>
      <c r="H154" s="38" t="s">
        <v>9</v>
      </c>
      <c r="I154" s="38">
        <v>1</v>
      </c>
      <c r="J154" s="39">
        <v>0.29203711813772637</v>
      </c>
      <c r="K154" s="40">
        <f>ROUND(NORMINV(J154,IO!$B$10,IO!$B$11),0)</f>
        <v>100</v>
      </c>
      <c r="L154" s="40">
        <f>MIN(K154,IO!$B$4+IO!$B$8)</f>
        <v>100</v>
      </c>
      <c r="M154" s="40">
        <f>IF(L154-I154&gt;IO!$B$4,Model!L154-Model!I154-IO!$B$4,0)</f>
        <v>0</v>
      </c>
      <c r="N154" s="41">
        <f>IO!$B$5*Model!L154-IO!$B$6*Model!M154</f>
        <v>4000</v>
      </c>
    </row>
    <row r="155" spans="1:14" x14ac:dyDescent="0.35">
      <c r="A155" s="30">
        <v>154</v>
      </c>
      <c r="B155" s="31">
        <v>5</v>
      </c>
      <c r="C155" s="32">
        <f>(IO!$B$4+IO!$B$8)</f>
        <v>102</v>
      </c>
      <c r="D155" s="32">
        <f>IF(B155&gt;IO!$B$8,0,IO!$B$8-Model!B155)</f>
        <v>0</v>
      </c>
      <c r="E155" s="33">
        <f>IO!$B$5*C155-IO!$B$6*D155</f>
        <v>4080</v>
      </c>
      <c r="G155" s="47">
        <v>154</v>
      </c>
      <c r="H155" s="38" t="s">
        <v>7</v>
      </c>
      <c r="I155" s="38">
        <v>5</v>
      </c>
      <c r="J155" s="39">
        <v>0.24792357771305595</v>
      </c>
      <c r="K155" s="40">
        <f>ROUND(NORMINV(J155,IO!$B$10,IO!$B$11),0)</f>
        <v>100</v>
      </c>
      <c r="L155" s="40">
        <f>MIN(K155,IO!$B$4+IO!$B$8)</f>
        <v>100</v>
      </c>
      <c r="M155" s="40">
        <f>IF(L155-I155&gt;IO!$B$4,Model!L155-Model!I155-IO!$B$4,0)</f>
        <v>0</v>
      </c>
      <c r="N155" s="41">
        <f>IO!$B$5*Model!L155-IO!$B$6*Model!M155</f>
        <v>4000</v>
      </c>
    </row>
    <row r="156" spans="1:14" x14ac:dyDescent="0.35">
      <c r="A156" s="30">
        <v>155</v>
      </c>
      <c r="B156" s="31">
        <v>6</v>
      </c>
      <c r="C156" s="32">
        <f>(IO!$B$4+IO!$B$8)</f>
        <v>102</v>
      </c>
      <c r="D156" s="32">
        <f>IF(B156&gt;IO!$B$8,0,IO!$B$8-Model!B156)</f>
        <v>0</v>
      </c>
      <c r="E156" s="33">
        <f>IO!$B$5*C156-IO!$B$6*D156</f>
        <v>4080</v>
      </c>
      <c r="G156" s="47">
        <v>155</v>
      </c>
      <c r="H156" s="38" t="s">
        <v>8</v>
      </c>
      <c r="I156" s="38">
        <v>6</v>
      </c>
      <c r="J156" s="39">
        <v>0.39326395504075606</v>
      </c>
      <c r="K156" s="40">
        <f>ROUND(NORMINV(J156,IO!$B$10,IO!$B$11),0)</f>
        <v>102</v>
      </c>
      <c r="L156" s="40">
        <f>MIN(K156,IO!$B$4+IO!$B$8)</f>
        <v>102</v>
      </c>
      <c r="M156" s="40">
        <f>IF(L156-I156&gt;IO!$B$4,Model!L156-Model!I156-IO!$B$4,0)</f>
        <v>0</v>
      </c>
      <c r="N156" s="41">
        <f>IO!$B$5*Model!L156-IO!$B$6*Model!M156</f>
        <v>4080</v>
      </c>
    </row>
    <row r="157" spans="1:14" x14ac:dyDescent="0.35">
      <c r="A157" s="30">
        <v>156</v>
      </c>
      <c r="B157" s="31">
        <v>1</v>
      </c>
      <c r="C157" s="32">
        <f>(IO!$B$4+IO!$B$8)</f>
        <v>102</v>
      </c>
      <c r="D157" s="32">
        <f>IF(B157&gt;IO!$B$8,0,IO!$B$8-Model!B157)</f>
        <v>1</v>
      </c>
      <c r="E157" s="33">
        <f>IO!$B$5*C157-IO!$B$6*D157</f>
        <v>3980</v>
      </c>
      <c r="G157" s="47">
        <v>156</v>
      </c>
      <c r="H157" s="38" t="s">
        <v>9</v>
      </c>
      <c r="I157" s="38">
        <v>1</v>
      </c>
      <c r="J157" s="39">
        <v>0.7774839658322289</v>
      </c>
      <c r="K157" s="40">
        <f>ROUND(NORMINV(J157,IO!$B$10,IO!$B$11),0)</f>
        <v>107</v>
      </c>
      <c r="L157" s="40">
        <f>MIN(K157,IO!$B$4+IO!$B$8)</f>
        <v>102</v>
      </c>
      <c r="M157" s="40">
        <f>IF(L157-I157&gt;IO!$B$4,Model!L157-Model!I157-IO!$B$4,0)</f>
        <v>1</v>
      </c>
      <c r="N157" s="41">
        <f>IO!$B$5*Model!L157-IO!$B$6*Model!M157</f>
        <v>3980</v>
      </c>
    </row>
    <row r="158" spans="1:14" x14ac:dyDescent="0.35">
      <c r="A158" s="30">
        <v>157</v>
      </c>
      <c r="B158" s="31">
        <v>3</v>
      </c>
      <c r="C158" s="32">
        <f>(IO!$B$4+IO!$B$8)</f>
        <v>102</v>
      </c>
      <c r="D158" s="32">
        <f>IF(B158&gt;IO!$B$8,0,IO!$B$8-Model!B158)</f>
        <v>0</v>
      </c>
      <c r="E158" s="33">
        <f>IO!$B$5*C158-IO!$B$6*D158</f>
        <v>4080</v>
      </c>
      <c r="G158" s="47">
        <v>157</v>
      </c>
      <c r="H158" s="38" t="s">
        <v>7</v>
      </c>
      <c r="I158" s="38">
        <v>3</v>
      </c>
      <c r="J158" s="39">
        <v>0.52902052344704031</v>
      </c>
      <c r="K158" s="40">
        <f>ROUND(NORMINV(J158,IO!$B$10,IO!$B$11),0)</f>
        <v>103</v>
      </c>
      <c r="L158" s="40">
        <f>MIN(K158,IO!$B$4+IO!$B$8)</f>
        <v>102</v>
      </c>
      <c r="M158" s="40">
        <f>IF(L158-I158&gt;IO!$B$4,Model!L158-Model!I158-IO!$B$4,0)</f>
        <v>0</v>
      </c>
      <c r="N158" s="41">
        <f>IO!$B$5*Model!L158-IO!$B$6*Model!M158</f>
        <v>4080</v>
      </c>
    </row>
    <row r="159" spans="1:14" x14ac:dyDescent="0.35">
      <c r="A159" s="30">
        <v>158</v>
      </c>
      <c r="B159" s="31">
        <v>1</v>
      </c>
      <c r="C159" s="32">
        <f>(IO!$B$4+IO!$B$8)</f>
        <v>102</v>
      </c>
      <c r="D159" s="32">
        <f>IF(B159&gt;IO!$B$8,0,IO!$B$8-Model!B159)</f>
        <v>1</v>
      </c>
      <c r="E159" s="33">
        <f>IO!$B$5*C159-IO!$B$6*D159</f>
        <v>3980</v>
      </c>
      <c r="G159" s="47">
        <v>158</v>
      </c>
      <c r="H159" s="38" t="s">
        <v>8</v>
      </c>
      <c r="I159" s="38">
        <v>1</v>
      </c>
      <c r="J159" s="39">
        <v>0.10519914313641543</v>
      </c>
      <c r="K159" s="40">
        <f>ROUND(NORMINV(J159,IO!$B$10,IO!$B$11),0)</f>
        <v>97</v>
      </c>
      <c r="L159" s="40">
        <f>MIN(K159,IO!$B$4+IO!$B$8)</f>
        <v>97</v>
      </c>
      <c r="M159" s="40">
        <f>IF(L159-I159&gt;IO!$B$4,Model!L159-Model!I159-IO!$B$4,0)</f>
        <v>0</v>
      </c>
      <c r="N159" s="41">
        <f>IO!$B$5*Model!L159-IO!$B$6*Model!M159</f>
        <v>3880</v>
      </c>
    </row>
    <row r="160" spans="1:14" x14ac:dyDescent="0.35">
      <c r="A160" s="30">
        <v>159</v>
      </c>
      <c r="B160" s="31">
        <v>0</v>
      </c>
      <c r="C160" s="32">
        <f>(IO!$B$4+IO!$B$8)</f>
        <v>102</v>
      </c>
      <c r="D160" s="32">
        <f>IF(B160&gt;IO!$B$8,0,IO!$B$8-Model!B160)</f>
        <v>2</v>
      </c>
      <c r="E160" s="33">
        <f>IO!$B$5*C160-IO!$B$6*D160</f>
        <v>3880</v>
      </c>
      <c r="G160" s="47">
        <v>159</v>
      </c>
      <c r="H160" s="38" t="s">
        <v>9</v>
      </c>
      <c r="I160" s="38">
        <v>0</v>
      </c>
      <c r="J160" s="39">
        <v>0.89490431112979818</v>
      </c>
      <c r="K160" s="40">
        <f>ROUND(NORMINV(J160,IO!$B$10,IO!$B$11),0)</f>
        <v>109</v>
      </c>
      <c r="L160" s="40">
        <f>MIN(K160,IO!$B$4+IO!$B$8)</f>
        <v>102</v>
      </c>
      <c r="M160" s="40">
        <f>IF(L160-I160&gt;IO!$B$4,Model!L160-Model!I160-IO!$B$4,0)</f>
        <v>2</v>
      </c>
      <c r="N160" s="41">
        <f>IO!$B$5*Model!L160-IO!$B$6*Model!M160</f>
        <v>3880</v>
      </c>
    </row>
    <row r="161" spans="1:14" x14ac:dyDescent="0.35">
      <c r="A161" s="30">
        <v>160</v>
      </c>
      <c r="B161" s="31">
        <v>2</v>
      </c>
      <c r="C161" s="32">
        <f>(IO!$B$4+IO!$B$8)</f>
        <v>102</v>
      </c>
      <c r="D161" s="32">
        <f>IF(B161&gt;IO!$B$8,0,IO!$B$8-Model!B161)</f>
        <v>0</v>
      </c>
      <c r="E161" s="33">
        <f>IO!$B$5*C161-IO!$B$6*D161</f>
        <v>4080</v>
      </c>
      <c r="G161" s="47">
        <v>160</v>
      </c>
      <c r="H161" s="38" t="s">
        <v>7</v>
      </c>
      <c r="I161" s="38">
        <v>2</v>
      </c>
      <c r="J161" s="39">
        <v>0.99918524976411605</v>
      </c>
      <c r="K161" s="40">
        <f>ROUND(NORMINV(J161,IO!$B$10,IO!$B$11),0)</f>
        <v>119</v>
      </c>
      <c r="L161" s="40">
        <f>MIN(K161,IO!$B$4+IO!$B$8)</f>
        <v>102</v>
      </c>
      <c r="M161" s="40">
        <f>IF(L161-I161&gt;IO!$B$4,Model!L161-Model!I161-IO!$B$4,0)</f>
        <v>0</v>
      </c>
      <c r="N161" s="41">
        <f>IO!$B$5*Model!L161-IO!$B$6*Model!M161</f>
        <v>4080</v>
      </c>
    </row>
    <row r="162" spans="1:14" x14ac:dyDescent="0.35">
      <c r="A162" s="30">
        <v>161</v>
      </c>
      <c r="B162" s="31">
        <v>5</v>
      </c>
      <c r="C162" s="32">
        <f>(IO!$B$4+IO!$B$8)</f>
        <v>102</v>
      </c>
      <c r="D162" s="32">
        <f>IF(B162&gt;IO!$B$8,0,IO!$B$8-Model!B162)</f>
        <v>0</v>
      </c>
      <c r="E162" s="33">
        <f>IO!$B$5*C162-IO!$B$6*D162</f>
        <v>4080</v>
      </c>
      <c r="G162" s="47">
        <v>161</v>
      </c>
      <c r="H162" s="38" t="s">
        <v>8</v>
      </c>
      <c r="I162" s="38">
        <v>5</v>
      </c>
      <c r="J162" s="39">
        <v>0.97109249371550266</v>
      </c>
      <c r="K162" s="40">
        <f>ROUND(NORMINV(J162,IO!$B$10,IO!$B$11),0)</f>
        <v>112</v>
      </c>
      <c r="L162" s="40">
        <f>MIN(K162,IO!$B$4+IO!$B$8)</f>
        <v>102</v>
      </c>
      <c r="M162" s="40">
        <f>IF(L162-I162&gt;IO!$B$4,Model!L162-Model!I162-IO!$B$4,0)</f>
        <v>0</v>
      </c>
      <c r="N162" s="41">
        <f>IO!$B$5*Model!L162-IO!$B$6*Model!M162</f>
        <v>4080</v>
      </c>
    </row>
    <row r="163" spans="1:14" x14ac:dyDescent="0.35">
      <c r="A163" s="30">
        <v>162</v>
      </c>
      <c r="B163" s="31">
        <v>2</v>
      </c>
      <c r="C163" s="32">
        <f>(IO!$B$4+IO!$B$8)</f>
        <v>102</v>
      </c>
      <c r="D163" s="32">
        <f>IF(B163&gt;IO!$B$8,0,IO!$B$8-Model!B163)</f>
        <v>0</v>
      </c>
      <c r="E163" s="33">
        <f>IO!$B$5*C163-IO!$B$6*D163</f>
        <v>4080</v>
      </c>
      <c r="G163" s="47">
        <v>162</v>
      </c>
      <c r="H163" s="38" t="s">
        <v>9</v>
      </c>
      <c r="I163" s="38">
        <v>2</v>
      </c>
      <c r="J163" s="39">
        <v>0.39522564359095225</v>
      </c>
      <c r="K163" s="40">
        <f>ROUND(NORMINV(J163,IO!$B$10,IO!$B$11),0)</f>
        <v>102</v>
      </c>
      <c r="L163" s="40">
        <f>MIN(K163,IO!$B$4+IO!$B$8)</f>
        <v>102</v>
      </c>
      <c r="M163" s="40">
        <f>IF(L163-I163&gt;IO!$B$4,Model!L163-Model!I163-IO!$B$4,0)</f>
        <v>0</v>
      </c>
      <c r="N163" s="41">
        <f>IO!$B$5*Model!L163-IO!$B$6*Model!M163</f>
        <v>4080</v>
      </c>
    </row>
    <row r="164" spans="1:14" x14ac:dyDescent="0.35">
      <c r="A164" s="30">
        <v>163</v>
      </c>
      <c r="B164" s="31">
        <v>8</v>
      </c>
      <c r="C164" s="32">
        <f>(IO!$B$4+IO!$B$8)</f>
        <v>102</v>
      </c>
      <c r="D164" s="32">
        <f>IF(B164&gt;IO!$B$8,0,IO!$B$8-Model!B164)</f>
        <v>0</v>
      </c>
      <c r="E164" s="33">
        <f>IO!$B$5*C164-IO!$B$6*D164</f>
        <v>4080</v>
      </c>
      <c r="G164" s="47">
        <v>163</v>
      </c>
      <c r="H164" s="38" t="s">
        <v>7</v>
      </c>
      <c r="I164" s="38">
        <v>8</v>
      </c>
      <c r="J164" s="39">
        <v>0.50809244442084645</v>
      </c>
      <c r="K164" s="40">
        <f>ROUND(NORMINV(J164,IO!$B$10,IO!$B$11),0)</f>
        <v>103</v>
      </c>
      <c r="L164" s="40">
        <f>MIN(K164,IO!$B$4+IO!$B$8)</f>
        <v>102</v>
      </c>
      <c r="M164" s="40">
        <f>IF(L164-I164&gt;IO!$B$4,Model!L164-Model!I164-IO!$B$4,0)</f>
        <v>0</v>
      </c>
      <c r="N164" s="41">
        <f>IO!$B$5*Model!L164-IO!$B$6*Model!M164</f>
        <v>4080</v>
      </c>
    </row>
    <row r="165" spans="1:14" x14ac:dyDescent="0.35">
      <c r="A165" s="30">
        <v>164</v>
      </c>
      <c r="B165" s="31">
        <v>4</v>
      </c>
      <c r="C165" s="32">
        <f>(IO!$B$4+IO!$B$8)</f>
        <v>102</v>
      </c>
      <c r="D165" s="32">
        <f>IF(B165&gt;IO!$B$8,0,IO!$B$8-Model!B165)</f>
        <v>0</v>
      </c>
      <c r="E165" s="33">
        <f>IO!$B$5*C165-IO!$B$6*D165</f>
        <v>4080</v>
      </c>
      <c r="G165" s="47">
        <v>164</v>
      </c>
      <c r="H165" s="38" t="s">
        <v>8</v>
      </c>
      <c r="I165" s="38">
        <v>4</v>
      </c>
      <c r="J165" s="39">
        <v>0.34926731204789863</v>
      </c>
      <c r="K165" s="40">
        <f>ROUND(NORMINV(J165,IO!$B$10,IO!$B$11),0)</f>
        <v>101</v>
      </c>
      <c r="L165" s="40">
        <f>MIN(K165,IO!$B$4+IO!$B$8)</f>
        <v>101</v>
      </c>
      <c r="M165" s="40">
        <f>IF(L165-I165&gt;IO!$B$4,Model!L165-Model!I165-IO!$B$4,0)</f>
        <v>0</v>
      </c>
      <c r="N165" s="41">
        <f>IO!$B$5*Model!L165-IO!$B$6*Model!M165</f>
        <v>4040</v>
      </c>
    </row>
    <row r="166" spans="1:14" x14ac:dyDescent="0.35">
      <c r="A166" s="30">
        <v>165</v>
      </c>
      <c r="B166" s="31">
        <v>2</v>
      </c>
      <c r="C166" s="32">
        <f>(IO!$B$4+IO!$B$8)</f>
        <v>102</v>
      </c>
      <c r="D166" s="32">
        <f>IF(B166&gt;IO!$B$8,0,IO!$B$8-Model!B166)</f>
        <v>0</v>
      </c>
      <c r="E166" s="33">
        <f>IO!$B$5*C166-IO!$B$6*D166</f>
        <v>4080</v>
      </c>
      <c r="G166" s="47">
        <v>165</v>
      </c>
      <c r="H166" s="38" t="s">
        <v>9</v>
      </c>
      <c r="I166" s="38">
        <v>2</v>
      </c>
      <c r="J166" s="39">
        <v>0.23157210080111545</v>
      </c>
      <c r="K166" s="40">
        <f>ROUND(NORMINV(J166,IO!$B$10,IO!$B$11),0)</f>
        <v>99</v>
      </c>
      <c r="L166" s="40">
        <f>MIN(K166,IO!$B$4+IO!$B$8)</f>
        <v>99</v>
      </c>
      <c r="M166" s="40">
        <f>IF(L166-I166&gt;IO!$B$4,Model!L166-Model!I166-IO!$B$4,0)</f>
        <v>0</v>
      </c>
      <c r="N166" s="41">
        <f>IO!$B$5*Model!L166-IO!$B$6*Model!M166</f>
        <v>3960</v>
      </c>
    </row>
    <row r="167" spans="1:14" x14ac:dyDescent="0.35">
      <c r="A167" s="30">
        <v>166</v>
      </c>
      <c r="B167" s="31">
        <v>4</v>
      </c>
      <c r="C167" s="32">
        <f>(IO!$B$4+IO!$B$8)</f>
        <v>102</v>
      </c>
      <c r="D167" s="32">
        <f>IF(B167&gt;IO!$B$8,0,IO!$B$8-Model!B167)</f>
        <v>0</v>
      </c>
      <c r="E167" s="33">
        <f>IO!$B$5*C167-IO!$B$6*D167</f>
        <v>4080</v>
      </c>
      <c r="G167" s="47">
        <v>166</v>
      </c>
      <c r="H167" s="38" t="s">
        <v>7</v>
      </c>
      <c r="I167" s="38">
        <v>4</v>
      </c>
      <c r="J167" s="39">
        <v>4.0785447449587786E-2</v>
      </c>
      <c r="K167" s="40">
        <f>ROUND(NORMINV(J167,IO!$B$10,IO!$B$11),0)</f>
        <v>94</v>
      </c>
      <c r="L167" s="40">
        <f>MIN(K167,IO!$B$4+IO!$B$8)</f>
        <v>94</v>
      </c>
      <c r="M167" s="40">
        <f>IF(L167-I167&gt;IO!$B$4,Model!L167-Model!I167-IO!$B$4,0)</f>
        <v>0</v>
      </c>
      <c r="N167" s="41">
        <f>IO!$B$5*Model!L167-IO!$B$6*Model!M167</f>
        <v>3760</v>
      </c>
    </row>
    <row r="168" spans="1:14" x14ac:dyDescent="0.35">
      <c r="A168" s="30">
        <v>167</v>
      </c>
      <c r="B168" s="31">
        <v>1</v>
      </c>
      <c r="C168" s="32">
        <f>(IO!$B$4+IO!$B$8)</f>
        <v>102</v>
      </c>
      <c r="D168" s="32">
        <f>IF(B168&gt;IO!$B$8,0,IO!$B$8-Model!B168)</f>
        <v>1</v>
      </c>
      <c r="E168" s="33">
        <f>IO!$B$5*C168-IO!$B$6*D168</f>
        <v>3980</v>
      </c>
      <c r="G168" s="47">
        <v>167</v>
      </c>
      <c r="H168" s="38" t="s">
        <v>8</v>
      </c>
      <c r="I168" s="38">
        <v>1</v>
      </c>
      <c r="J168" s="39">
        <v>0.21425485949298495</v>
      </c>
      <c r="K168" s="40">
        <f>ROUND(NORMINV(J168,IO!$B$10,IO!$B$11),0)</f>
        <v>99</v>
      </c>
      <c r="L168" s="40">
        <f>MIN(K168,IO!$B$4+IO!$B$8)</f>
        <v>99</v>
      </c>
      <c r="M168" s="40">
        <f>IF(L168-I168&gt;IO!$B$4,Model!L168-Model!I168-IO!$B$4,0)</f>
        <v>0</v>
      </c>
      <c r="N168" s="41">
        <f>IO!$B$5*Model!L168-IO!$B$6*Model!M168</f>
        <v>3960</v>
      </c>
    </row>
    <row r="169" spans="1:14" x14ac:dyDescent="0.35">
      <c r="A169" s="30">
        <v>168</v>
      </c>
      <c r="B169" s="31">
        <v>0</v>
      </c>
      <c r="C169" s="32">
        <f>(IO!$B$4+IO!$B$8)</f>
        <v>102</v>
      </c>
      <c r="D169" s="32">
        <f>IF(B169&gt;IO!$B$8,0,IO!$B$8-Model!B169)</f>
        <v>2</v>
      </c>
      <c r="E169" s="33">
        <f>IO!$B$5*C169-IO!$B$6*D169</f>
        <v>3880</v>
      </c>
      <c r="G169" s="47">
        <v>168</v>
      </c>
      <c r="H169" s="38" t="s">
        <v>9</v>
      </c>
      <c r="I169" s="38">
        <v>0</v>
      </c>
      <c r="J169" s="39">
        <v>0.17391860203901965</v>
      </c>
      <c r="K169" s="40">
        <f>ROUND(NORMINV(J169,IO!$B$10,IO!$B$11),0)</f>
        <v>98</v>
      </c>
      <c r="L169" s="40">
        <f>MIN(K169,IO!$B$4+IO!$B$8)</f>
        <v>98</v>
      </c>
      <c r="M169" s="40">
        <f>IF(L169-I169&gt;IO!$B$4,Model!L169-Model!I169-IO!$B$4,0)</f>
        <v>0</v>
      </c>
      <c r="N169" s="41">
        <f>IO!$B$5*Model!L169-IO!$B$6*Model!M169</f>
        <v>3920</v>
      </c>
    </row>
    <row r="170" spans="1:14" x14ac:dyDescent="0.35">
      <c r="A170" s="30">
        <v>169</v>
      </c>
      <c r="B170" s="31">
        <v>4</v>
      </c>
      <c r="C170" s="32">
        <f>(IO!$B$4+IO!$B$8)</f>
        <v>102</v>
      </c>
      <c r="D170" s="32">
        <f>IF(B170&gt;IO!$B$8,0,IO!$B$8-Model!B170)</f>
        <v>0</v>
      </c>
      <c r="E170" s="33">
        <f>IO!$B$5*C170-IO!$B$6*D170</f>
        <v>4080</v>
      </c>
      <c r="G170" s="47">
        <v>169</v>
      </c>
      <c r="H170" s="38" t="s">
        <v>7</v>
      </c>
      <c r="I170" s="38">
        <v>4</v>
      </c>
      <c r="J170" s="39">
        <v>0.22263180454613496</v>
      </c>
      <c r="K170" s="40">
        <f>ROUND(NORMINV(J170,IO!$B$10,IO!$B$11),0)</f>
        <v>99</v>
      </c>
      <c r="L170" s="40">
        <f>MIN(K170,IO!$B$4+IO!$B$8)</f>
        <v>99</v>
      </c>
      <c r="M170" s="40">
        <f>IF(L170-I170&gt;IO!$B$4,Model!L170-Model!I170-IO!$B$4,0)</f>
        <v>0</v>
      </c>
      <c r="N170" s="41">
        <f>IO!$B$5*Model!L170-IO!$B$6*Model!M170</f>
        <v>3960</v>
      </c>
    </row>
    <row r="171" spans="1:14" x14ac:dyDescent="0.35">
      <c r="A171" s="30">
        <v>170</v>
      </c>
      <c r="B171" s="31">
        <v>2</v>
      </c>
      <c r="C171" s="32">
        <f>(IO!$B$4+IO!$B$8)</f>
        <v>102</v>
      </c>
      <c r="D171" s="32">
        <f>IF(B171&gt;IO!$B$8,0,IO!$B$8-Model!B171)</f>
        <v>0</v>
      </c>
      <c r="E171" s="33">
        <f>IO!$B$5*C171-IO!$B$6*D171</f>
        <v>4080</v>
      </c>
      <c r="G171" s="47">
        <v>170</v>
      </c>
      <c r="H171" s="38" t="s">
        <v>8</v>
      </c>
      <c r="I171" s="38">
        <v>2</v>
      </c>
      <c r="J171" s="39">
        <v>0.85064358403576612</v>
      </c>
      <c r="K171" s="40">
        <f>ROUND(NORMINV(J171,IO!$B$10,IO!$B$11),0)</f>
        <v>108</v>
      </c>
      <c r="L171" s="40">
        <f>MIN(K171,IO!$B$4+IO!$B$8)</f>
        <v>102</v>
      </c>
      <c r="M171" s="40">
        <f>IF(L171-I171&gt;IO!$B$4,Model!L171-Model!I171-IO!$B$4,0)</f>
        <v>0</v>
      </c>
      <c r="N171" s="41">
        <f>IO!$B$5*Model!L171-IO!$B$6*Model!M171</f>
        <v>4080</v>
      </c>
    </row>
    <row r="172" spans="1:14" x14ac:dyDescent="0.35">
      <c r="A172" s="30">
        <v>171</v>
      </c>
      <c r="B172" s="31">
        <v>1</v>
      </c>
      <c r="C172" s="32">
        <f>(IO!$B$4+IO!$B$8)</f>
        <v>102</v>
      </c>
      <c r="D172" s="32">
        <f>IF(B172&gt;IO!$B$8,0,IO!$B$8-Model!B172)</f>
        <v>1</v>
      </c>
      <c r="E172" s="33">
        <f>IO!$B$5*C172-IO!$B$6*D172</f>
        <v>3980</v>
      </c>
      <c r="G172" s="47">
        <v>171</v>
      </c>
      <c r="H172" s="38" t="s">
        <v>9</v>
      </c>
      <c r="I172" s="38">
        <v>1</v>
      </c>
      <c r="J172" s="39">
        <v>0.64086104639929553</v>
      </c>
      <c r="K172" s="40">
        <f>ROUND(NORMINV(J172,IO!$B$10,IO!$B$11),0)</f>
        <v>105</v>
      </c>
      <c r="L172" s="40">
        <f>MIN(K172,IO!$B$4+IO!$B$8)</f>
        <v>102</v>
      </c>
      <c r="M172" s="40">
        <f>IF(L172-I172&gt;IO!$B$4,Model!L172-Model!I172-IO!$B$4,0)</f>
        <v>1</v>
      </c>
      <c r="N172" s="41">
        <f>IO!$B$5*Model!L172-IO!$B$6*Model!M172</f>
        <v>3980</v>
      </c>
    </row>
    <row r="173" spans="1:14" x14ac:dyDescent="0.35">
      <c r="A173" s="30">
        <v>172</v>
      </c>
      <c r="B173" s="31">
        <v>2</v>
      </c>
      <c r="C173" s="32">
        <f>(IO!$B$4+IO!$B$8)</f>
        <v>102</v>
      </c>
      <c r="D173" s="32">
        <f>IF(B173&gt;IO!$B$8,0,IO!$B$8-Model!B173)</f>
        <v>0</v>
      </c>
      <c r="E173" s="33">
        <f>IO!$B$5*C173-IO!$B$6*D173</f>
        <v>4080</v>
      </c>
      <c r="G173" s="47">
        <v>172</v>
      </c>
      <c r="H173" s="38" t="s">
        <v>7</v>
      </c>
      <c r="I173" s="38">
        <v>2</v>
      </c>
      <c r="J173" s="39">
        <v>0.96829192104439843</v>
      </c>
      <c r="K173" s="40">
        <f>ROUND(NORMINV(J173,IO!$B$10,IO!$B$11),0)</f>
        <v>112</v>
      </c>
      <c r="L173" s="40">
        <f>MIN(K173,IO!$B$4+IO!$B$8)</f>
        <v>102</v>
      </c>
      <c r="M173" s="40">
        <f>IF(L173-I173&gt;IO!$B$4,Model!L173-Model!I173-IO!$B$4,0)</f>
        <v>0</v>
      </c>
      <c r="N173" s="41">
        <f>IO!$B$5*Model!L173-IO!$B$6*Model!M173</f>
        <v>4080</v>
      </c>
    </row>
    <row r="174" spans="1:14" x14ac:dyDescent="0.35">
      <c r="A174" s="30">
        <v>173</v>
      </c>
      <c r="B174" s="31">
        <v>1</v>
      </c>
      <c r="C174" s="32">
        <f>(IO!$B$4+IO!$B$8)</f>
        <v>102</v>
      </c>
      <c r="D174" s="32">
        <f>IF(B174&gt;IO!$B$8,0,IO!$B$8-Model!B174)</f>
        <v>1</v>
      </c>
      <c r="E174" s="33">
        <f>IO!$B$5*C174-IO!$B$6*D174</f>
        <v>3980</v>
      </c>
      <c r="G174" s="47">
        <v>173</v>
      </c>
      <c r="H174" s="38" t="s">
        <v>8</v>
      </c>
      <c r="I174" s="38">
        <v>1</v>
      </c>
      <c r="J174" s="39">
        <v>0.72672667766276122</v>
      </c>
      <c r="K174" s="40">
        <f>ROUND(NORMINV(J174,IO!$B$10,IO!$B$11),0)</f>
        <v>106</v>
      </c>
      <c r="L174" s="40">
        <f>MIN(K174,IO!$B$4+IO!$B$8)</f>
        <v>102</v>
      </c>
      <c r="M174" s="40">
        <f>IF(L174-I174&gt;IO!$B$4,Model!L174-Model!I174-IO!$B$4,0)</f>
        <v>1</v>
      </c>
      <c r="N174" s="41">
        <f>IO!$B$5*Model!L174-IO!$B$6*Model!M174</f>
        <v>3980</v>
      </c>
    </row>
    <row r="175" spans="1:14" x14ac:dyDescent="0.35">
      <c r="A175" s="30">
        <v>174</v>
      </c>
      <c r="B175" s="31">
        <v>1</v>
      </c>
      <c r="C175" s="32">
        <f>(IO!$B$4+IO!$B$8)</f>
        <v>102</v>
      </c>
      <c r="D175" s="32">
        <f>IF(B175&gt;IO!$B$8,0,IO!$B$8-Model!B175)</f>
        <v>1</v>
      </c>
      <c r="E175" s="33">
        <f>IO!$B$5*C175-IO!$B$6*D175</f>
        <v>3980</v>
      </c>
      <c r="G175" s="47">
        <v>174</v>
      </c>
      <c r="H175" s="38" t="s">
        <v>9</v>
      </c>
      <c r="I175" s="38">
        <v>1</v>
      </c>
      <c r="J175" s="39">
        <v>6.0887746668695342E-2</v>
      </c>
      <c r="K175" s="40">
        <f>ROUND(NORMINV(J175,IO!$B$10,IO!$B$11),0)</f>
        <v>95</v>
      </c>
      <c r="L175" s="40">
        <f>MIN(K175,IO!$B$4+IO!$B$8)</f>
        <v>95</v>
      </c>
      <c r="M175" s="40">
        <f>IF(L175-I175&gt;IO!$B$4,Model!L175-Model!I175-IO!$B$4,0)</f>
        <v>0</v>
      </c>
      <c r="N175" s="41">
        <f>IO!$B$5*Model!L175-IO!$B$6*Model!M175</f>
        <v>3800</v>
      </c>
    </row>
    <row r="176" spans="1:14" x14ac:dyDescent="0.35">
      <c r="A176" s="30">
        <v>175</v>
      </c>
      <c r="B176" s="31">
        <v>3</v>
      </c>
      <c r="C176" s="32">
        <f>(IO!$B$4+IO!$B$8)</f>
        <v>102</v>
      </c>
      <c r="D176" s="32">
        <f>IF(B176&gt;IO!$B$8,0,IO!$B$8-Model!B176)</f>
        <v>0</v>
      </c>
      <c r="E176" s="33">
        <f>IO!$B$5*C176-IO!$B$6*D176</f>
        <v>4080</v>
      </c>
      <c r="G176" s="47">
        <v>175</v>
      </c>
      <c r="H176" s="38" t="s">
        <v>7</v>
      </c>
      <c r="I176" s="38">
        <v>3</v>
      </c>
      <c r="J176" s="39">
        <v>0.59916399800035236</v>
      </c>
      <c r="K176" s="40">
        <f>ROUND(NORMINV(J176,IO!$B$10,IO!$B$11),0)</f>
        <v>104</v>
      </c>
      <c r="L176" s="40">
        <f>MIN(K176,IO!$B$4+IO!$B$8)</f>
        <v>102</v>
      </c>
      <c r="M176" s="40">
        <f>IF(L176-I176&gt;IO!$B$4,Model!L176-Model!I176-IO!$B$4,0)</f>
        <v>0</v>
      </c>
      <c r="N176" s="41">
        <f>IO!$B$5*Model!L176-IO!$B$6*Model!M176</f>
        <v>4080</v>
      </c>
    </row>
    <row r="177" spans="1:14" x14ac:dyDescent="0.35">
      <c r="A177" s="30">
        <v>176</v>
      </c>
      <c r="B177" s="31">
        <v>4</v>
      </c>
      <c r="C177" s="32">
        <f>(IO!$B$4+IO!$B$8)</f>
        <v>102</v>
      </c>
      <c r="D177" s="32">
        <f>IF(B177&gt;IO!$B$8,0,IO!$B$8-Model!B177)</f>
        <v>0</v>
      </c>
      <c r="E177" s="33">
        <f>IO!$B$5*C177-IO!$B$6*D177</f>
        <v>4080</v>
      </c>
      <c r="G177" s="47">
        <v>176</v>
      </c>
      <c r="H177" s="38" t="s">
        <v>8</v>
      </c>
      <c r="I177" s="38">
        <v>4</v>
      </c>
      <c r="J177" s="39">
        <v>0.15984233278037852</v>
      </c>
      <c r="K177" s="40">
        <f>ROUND(NORMINV(J177,IO!$B$10,IO!$B$11),0)</f>
        <v>98</v>
      </c>
      <c r="L177" s="40">
        <f>MIN(K177,IO!$B$4+IO!$B$8)</f>
        <v>98</v>
      </c>
      <c r="M177" s="40">
        <f>IF(L177-I177&gt;IO!$B$4,Model!L177-Model!I177-IO!$B$4,0)</f>
        <v>0</v>
      </c>
      <c r="N177" s="41">
        <f>IO!$B$5*Model!L177-IO!$B$6*Model!M177</f>
        <v>3920</v>
      </c>
    </row>
    <row r="178" spans="1:14" x14ac:dyDescent="0.35">
      <c r="A178" s="30">
        <v>177</v>
      </c>
      <c r="B178" s="31">
        <v>0</v>
      </c>
      <c r="C178" s="32">
        <f>(IO!$B$4+IO!$B$8)</f>
        <v>102</v>
      </c>
      <c r="D178" s="32">
        <f>IF(B178&gt;IO!$B$8,0,IO!$B$8-Model!B178)</f>
        <v>2</v>
      </c>
      <c r="E178" s="33">
        <f>IO!$B$5*C178-IO!$B$6*D178</f>
        <v>3880</v>
      </c>
      <c r="G178" s="47">
        <v>177</v>
      </c>
      <c r="H178" s="38" t="s">
        <v>9</v>
      </c>
      <c r="I178" s="38">
        <v>0</v>
      </c>
      <c r="J178" s="39">
        <v>0.66833749485482241</v>
      </c>
      <c r="K178" s="40">
        <f>ROUND(NORMINV(J178,IO!$B$10,IO!$B$11),0)</f>
        <v>105</v>
      </c>
      <c r="L178" s="40">
        <f>MIN(K178,IO!$B$4+IO!$B$8)</f>
        <v>102</v>
      </c>
      <c r="M178" s="40">
        <f>IF(L178-I178&gt;IO!$B$4,Model!L178-Model!I178-IO!$B$4,0)</f>
        <v>2</v>
      </c>
      <c r="N178" s="41">
        <f>IO!$B$5*Model!L178-IO!$B$6*Model!M178</f>
        <v>3880</v>
      </c>
    </row>
    <row r="179" spans="1:14" x14ac:dyDescent="0.35">
      <c r="A179" s="30">
        <v>178</v>
      </c>
      <c r="B179" s="31">
        <v>6</v>
      </c>
      <c r="C179" s="32">
        <f>(IO!$B$4+IO!$B$8)</f>
        <v>102</v>
      </c>
      <c r="D179" s="32">
        <f>IF(B179&gt;IO!$B$8,0,IO!$B$8-Model!B179)</f>
        <v>0</v>
      </c>
      <c r="E179" s="33">
        <f>IO!$B$5*C179-IO!$B$6*D179</f>
        <v>4080</v>
      </c>
      <c r="G179" s="47">
        <v>178</v>
      </c>
      <c r="H179" s="38" t="s">
        <v>7</v>
      </c>
      <c r="I179" s="38">
        <v>6</v>
      </c>
      <c r="J179" s="39">
        <v>0.6635101129708505</v>
      </c>
      <c r="K179" s="40">
        <f>ROUND(NORMINV(J179,IO!$B$10,IO!$B$11),0)</f>
        <v>105</v>
      </c>
      <c r="L179" s="40">
        <f>MIN(K179,IO!$B$4+IO!$B$8)</f>
        <v>102</v>
      </c>
      <c r="M179" s="40">
        <f>IF(L179-I179&gt;IO!$B$4,Model!L179-Model!I179-IO!$B$4,0)</f>
        <v>0</v>
      </c>
      <c r="N179" s="41">
        <f>IO!$B$5*Model!L179-IO!$B$6*Model!M179</f>
        <v>4080</v>
      </c>
    </row>
    <row r="180" spans="1:14" x14ac:dyDescent="0.35">
      <c r="A180" s="30">
        <v>179</v>
      </c>
      <c r="B180" s="31">
        <v>2</v>
      </c>
      <c r="C180" s="32">
        <f>(IO!$B$4+IO!$B$8)</f>
        <v>102</v>
      </c>
      <c r="D180" s="32">
        <f>IF(B180&gt;IO!$B$8,0,IO!$B$8-Model!B180)</f>
        <v>0</v>
      </c>
      <c r="E180" s="33">
        <f>IO!$B$5*C180-IO!$B$6*D180</f>
        <v>4080</v>
      </c>
      <c r="G180" s="47">
        <v>179</v>
      </c>
      <c r="H180" s="38" t="s">
        <v>8</v>
      </c>
      <c r="I180" s="38">
        <v>2</v>
      </c>
      <c r="J180" s="39">
        <v>5.5046409761272841E-2</v>
      </c>
      <c r="K180" s="40">
        <f>ROUND(NORMINV(J180,IO!$B$10,IO!$B$11),0)</f>
        <v>95</v>
      </c>
      <c r="L180" s="40">
        <f>MIN(K180,IO!$B$4+IO!$B$8)</f>
        <v>95</v>
      </c>
      <c r="M180" s="40">
        <f>IF(L180-I180&gt;IO!$B$4,Model!L180-Model!I180-IO!$B$4,0)</f>
        <v>0</v>
      </c>
      <c r="N180" s="41">
        <f>IO!$B$5*Model!L180-IO!$B$6*Model!M180</f>
        <v>3800</v>
      </c>
    </row>
    <row r="181" spans="1:14" x14ac:dyDescent="0.35">
      <c r="A181" s="30">
        <v>180</v>
      </c>
      <c r="B181" s="31">
        <v>1</v>
      </c>
      <c r="C181" s="32">
        <f>(IO!$B$4+IO!$B$8)</f>
        <v>102</v>
      </c>
      <c r="D181" s="32">
        <f>IF(B181&gt;IO!$B$8,0,IO!$B$8-Model!B181)</f>
        <v>1</v>
      </c>
      <c r="E181" s="33">
        <f>IO!$B$5*C181-IO!$B$6*D181</f>
        <v>3980</v>
      </c>
      <c r="G181" s="47">
        <v>180</v>
      </c>
      <c r="H181" s="38" t="s">
        <v>9</v>
      </c>
      <c r="I181" s="38">
        <v>1</v>
      </c>
      <c r="J181" s="39">
        <v>6.1225548370109184E-2</v>
      </c>
      <c r="K181" s="40">
        <f>ROUND(NORMINV(J181,IO!$B$10,IO!$B$11),0)</f>
        <v>95</v>
      </c>
      <c r="L181" s="40">
        <f>MIN(K181,IO!$B$4+IO!$B$8)</f>
        <v>95</v>
      </c>
      <c r="M181" s="40">
        <f>IF(L181-I181&gt;IO!$B$4,Model!L181-Model!I181-IO!$B$4,0)</f>
        <v>0</v>
      </c>
      <c r="N181" s="41">
        <f>IO!$B$5*Model!L181-IO!$B$6*Model!M181</f>
        <v>3800</v>
      </c>
    </row>
    <row r="182" spans="1:14" x14ac:dyDescent="0.35">
      <c r="A182" s="30">
        <v>181</v>
      </c>
      <c r="B182" s="31">
        <v>4</v>
      </c>
      <c r="C182" s="32">
        <f>(IO!$B$4+IO!$B$8)</f>
        <v>102</v>
      </c>
      <c r="D182" s="32">
        <f>IF(B182&gt;IO!$B$8,0,IO!$B$8-Model!B182)</f>
        <v>0</v>
      </c>
      <c r="E182" s="33">
        <f>IO!$B$5*C182-IO!$B$6*D182</f>
        <v>4080</v>
      </c>
      <c r="G182" s="47">
        <v>181</v>
      </c>
      <c r="H182" s="38" t="s">
        <v>7</v>
      </c>
      <c r="I182" s="38">
        <v>4</v>
      </c>
      <c r="J182" s="39">
        <v>0.51070120260871366</v>
      </c>
      <c r="K182" s="40">
        <f>ROUND(NORMINV(J182,IO!$B$10,IO!$B$11),0)</f>
        <v>103</v>
      </c>
      <c r="L182" s="40">
        <f>MIN(K182,IO!$B$4+IO!$B$8)</f>
        <v>102</v>
      </c>
      <c r="M182" s="40">
        <f>IF(L182-I182&gt;IO!$B$4,Model!L182-Model!I182-IO!$B$4,0)</f>
        <v>0</v>
      </c>
      <c r="N182" s="41">
        <f>IO!$B$5*Model!L182-IO!$B$6*Model!M182</f>
        <v>4080</v>
      </c>
    </row>
    <row r="183" spans="1:14" x14ac:dyDescent="0.35">
      <c r="A183" s="30">
        <v>182</v>
      </c>
      <c r="B183" s="31">
        <v>3</v>
      </c>
      <c r="C183" s="32">
        <f>(IO!$B$4+IO!$B$8)</f>
        <v>102</v>
      </c>
      <c r="D183" s="32">
        <f>IF(B183&gt;IO!$B$8,0,IO!$B$8-Model!B183)</f>
        <v>0</v>
      </c>
      <c r="E183" s="33">
        <f>IO!$B$5*C183-IO!$B$6*D183</f>
        <v>4080</v>
      </c>
      <c r="G183" s="47">
        <v>182</v>
      </c>
      <c r="H183" s="38" t="s">
        <v>8</v>
      </c>
      <c r="I183" s="38">
        <v>3</v>
      </c>
      <c r="J183" s="39">
        <v>0.95030261691927509</v>
      </c>
      <c r="K183" s="40">
        <f>ROUND(NORMINV(J183,IO!$B$10,IO!$B$11),0)</f>
        <v>111</v>
      </c>
      <c r="L183" s="40">
        <f>MIN(K183,IO!$B$4+IO!$B$8)</f>
        <v>102</v>
      </c>
      <c r="M183" s="40">
        <f>IF(L183-I183&gt;IO!$B$4,Model!L183-Model!I183-IO!$B$4,0)</f>
        <v>0</v>
      </c>
      <c r="N183" s="41">
        <f>IO!$B$5*Model!L183-IO!$B$6*Model!M183</f>
        <v>4080</v>
      </c>
    </row>
    <row r="184" spans="1:14" x14ac:dyDescent="0.35">
      <c r="A184" s="30">
        <v>183</v>
      </c>
      <c r="B184" s="31">
        <v>1</v>
      </c>
      <c r="C184" s="32">
        <f>(IO!$B$4+IO!$B$8)</f>
        <v>102</v>
      </c>
      <c r="D184" s="32">
        <f>IF(B184&gt;IO!$B$8,0,IO!$B$8-Model!B184)</f>
        <v>1</v>
      </c>
      <c r="E184" s="33">
        <f>IO!$B$5*C184-IO!$B$6*D184</f>
        <v>3980</v>
      </c>
      <c r="G184" s="47">
        <v>183</v>
      </c>
      <c r="H184" s="38" t="s">
        <v>9</v>
      </c>
      <c r="I184" s="38">
        <v>1</v>
      </c>
      <c r="J184" s="39">
        <v>0.35625350026989122</v>
      </c>
      <c r="K184" s="40">
        <f>ROUND(NORMINV(J184,IO!$B$10,IO!$B$11),0)</f>
        <v>101</v>
      </c>
      <c r="L184" s="40">
        <f>MIN(K184,IO!$B$4+IO!$B$8)</f>
        <v>101</v>
      </c>
      <c r="M184" s="40">
        <f>IF(L184-I184&gt;IO!$B$4,Model!L184-Model!I184-IO!$B$4,0)</f>
        <v>0</v>
      </c>
      <c r="N184" s="41">
        <f>IO!$B$5*Model!L184-IO!$B$6*Model!M184</f>
        <v>4040</v>
      </c>
    </row>
    <row r="185" spans="1:14" x14ac:dyDescent="0.35">
      <c r="A185" s="30">
        <v>184</v>
      </c>
      <c r="B185" s="31">
        <v>2</v>
      </c>
      <c r="C185" s="32">
        <f>(IO!$B$4+IO!$B$8)</f>
        <v>102</v>
      </c>
      <c r="D185" s="32">
        <f>IF(B185&gt;IO!$B$8,0,IO!$B$8-Model!B185)</f>
        <v>0</v>
      </c>
      <c r="E185" s="33">
        <f>IO!$B$5*C185-IO!$B$6*D185</f>
        <v>4080</v>
      </c>
      <c r="G185" s="47">
        <v>184</v>
      </c>
      <c r="H185" s="38" t="s">
        <v>7</v>
      </c>
      <c r="I185" s="38">
        <v>2</v>
      </c>
      <c r="J185" s="39">
        <v>0.87263674506028843</v>
      </c>
      <c r="K185" s="40">
        <f>ROUND(NORMINV(J185,IO!$B$10,IO!$B$11),0)</f>
        <v>109</v>
      </c>
      <c r="L185" s="40">
        <f>MIN(K185,IO!$B$4+IO!$B$8)</f>
        <v>102</v>
      </c>
      <c r="M185" s="40">
        <f>IF(L185-I185&gt;IO!$B$4,Model!L185-Model!I185-IO!$B$4,0)</f>
        <v>0</v>
      </c>
      <c r="N185" s="41">
        <f>IO!$B$5*Model!L185-IO!$B$6*Model!M185</f>
        <v>4080</v>
      </c>
    </row>
    <row r="186" spans="1:14" x14ac:dyDescent="0.35">
      <c r="A186" s="30">
        <v>185</v>
      </c>
      <c r="B186" s="31">
        <v>1</v>
      </c>
      <c r="C186" s="32">
        <f>(IO!$B$4+IO!$B$8)</f>
        <v>102</v>
      </c>
      <c r="D186" s="32">
        <f>IF(B186&gt;IO!$B$8,0,IO!$B$8-Model!B186)</f>
        <v>1</v>
      </c>
      <c r="E186" s="33">
        <f>IO!$B$5*C186-IO!$B$6*D186</f>
        <v>3980</v>
      </c>
      <c r="G186" s="47">
        <v>185</v>
      </c>
      <c r="H186" s="38" t="s">
        <v>8</v>
      </c>
      <c r="I186" s="38">
        <v>1</v>
      </c>
      <c r="J186" s="39">
        <v>0.30556249655520629</v>
      </c>
      <c r="K186" s="40">
        <f>ROUND(NORMINV(J186,IO!$B$10,IO!$B$11),0)</f>
        <v>100</v>
      </c>
      <c r="L186" s="40">
        <f>MIN(K186,IO!$B$4+IO!$B$8)</f>
        <v>100</v>
      </c>
      <c r="M186" s="40">
        <f>IF(L186-I186&gt;IO!$B$4,Model!L186-Model!I186-IO!$B$4,0)</f>
        <v>0</v>
      </c>
      <c r="N186" s="41">
        <f>IO!$B$5*Model!L186-IO!$B$6*Model!M186</f>
        <v>4000</v>
      </c>
    </row>
    <row r="187" spans="1:14" x14ac:dyDescent="0.35">
      <c r="A187" s="30">
        <v>186</v>
      </c>
      <c r="B187" s="31">
        <v>0</v>
      </c>
      <c r="C187" s="32">
        <f>(IO!$B$4+IO!$B$8)</f>
        <v>102</v>
      </c>
      <c r="D187" s="32">
        <f>IF(B187&gt;IO!$B$8,0,IO!$B$8-Model!B187)</f>
        <v>2</v>
      </c>
      <c r="E187" s="33">
        <f>IO!$B$5*C187-IO!$B$6*D187</f>
        <v>3880</v>
      </c>
      <c r="G187" s="47">
        <v>186</v>
      </c>
      <c r="H187" s="38" t="s">
        <v>9</v>
      </c>
      <c r="I187" s="38">
        <v>0</v>
      </c>
      <c r="J187" s="39">
        <v>0.11762223065213151</v>
      </c>
      <c r="K187" s="40">
        <f>ROUND(NORMINV(J187,IO!$B$10,IO!$B$11),0)</f>
        <v>97</v>
      </c>
      <c r="L187" s="40">
        <f>MIN(K187,IO!$B$4+IO!$B$8)</f>
        <v>97</v>
      </c>
      <c r="M187" s="40">
        <f>IF(L187-I187&gt;IO!$B$4,Model!L187-Model!I187-IO!$B$4,0)</f>
        <v>0</v>
      </c>
      <c r="N187" s="41">
        <f>IO!$B$5*Model!L187-IO!$B$6*Model!M187</f>
        <v>3880</v>
      </c>
    </row>
    <row r="188" spans="1:14" x14ac:dyDescent="0.35">
      <c r="A188" s="30">
        <v>187</v>
      </c>
      <c r="B188" s="31">
        <v>6</v>
      </c>
      <c r="C188" s="32">
        <f>(IO!$B$4+IO!$B$8)</f>
        <v>102</v>
      </c>
      <c r="D188" s="32">
        <f>IF(B188&gt;IO!$B$8,0,IO!$B$8-Model!B188)</f>
        <v>0</v>
      </c>
      <c r="E188" s="33">
        <f>IO!$B$5*C188-IO!$B$6*D188</f>
        <v>4080</v>
      </c>
      <c r="G188" s="47">
        <v>187</v>
      </c>
      <c r="H188" s="38" t="s">
        <v>7</v>
      </c>
      <c r="I188" s="38">
        <v>6</v>
      </c>
      <c r="J188" s="39">
        <v>0.12457192341027978</v>
      </c>
      <c r="K188" s="40">
        <f>ROUND(NORMINV(J188,IO!$B$10,IO!$B$11),0)</f>
        <v>97</v>
      </c>
      <c r="L188" s="40">
        <f>MIN(K188,IO!$B$4+IO!$B$8)</f>
        <v>97</v>
      </c>
      <c r="M188" s="40">
        <f>IF(L188-I188&gt;IO!$B$4,Model!L188-Model!I188-IO!$B$4,0)</f>
        <v>0</v>
      </c>
      <c r="N188" s="41">
        <f>IO!$B$5*Model!L188-IO!$B$6*Model!M188</f>
        <v>3880</v>
      </c>
    </row>
    <row r="189" spans="1:14" x14ac:dyDescent="0.35">
      <c r="A189" s="30">
        <v>188</v>
      </c>
      <c r="B189" s="31">
        <v>6</v>
      </c>
      <c r="C189" s="32">
        <f>(IO!$B$4+IO!$B$8)</f>
        <v>102</v>
      </c>
      <c r="D189" s="32">
        <f>IF(B189&gt;IO!$B$8,0,IO!$B$8-Model!B189)</f>
        <v>0</v>
      </c>
      <c r="E189" s="33">
        <f>IO!$B$5*C189-IO!$B$6*D189</f>
        <v>4080</v>
      </c>
      <c r="G189" s="47">
        <v>188</v>
      </c>
      <c r="H189" s="38" t="s">
        <v>8</v>
      </c>
      <c r="I189" s="38">
        <v>6</v>
      </c>
      <c r="J189" s="39">
        <v>0.27167055033080834</v>
      </c>
      <c r="K189" s="40">
        <f>ROUND(NORMINV(J189,IO!$B$10,IO!$B$11),0)</f>
        <v>100</v>
      </c>
      <c r="L189" s="40">
        <f>MIN(K189,IO!$B$4+IO!$B$8)</f>
        <v>100</v>
      </c>
      <c r="M189" s="40">
        <f>IF(L189-I189&gt;IO!$B$4,Model!L189-Model!I189-IO!$B$4,0)</f>
        <v>0</v>
      </c>
      <c r="N189" s="41">
        <f>IO!$B$5*Model!L189-IO!$B$6*Model!M189</f>
        <v>4000</v>
      </c>
    </row>
    <row r="190" spans="1:14" x14ac:dyDescent="0.35">
      <c r="A190" s="30">
        <v>189</v>
      </c>
      <c r="B190" s="31">
        <v>0</v>
      </c>
      <c r="C190" s="32">
        <f>(IO!$B$4+IO!$B$8)</f>
        <v>102</v>
      </c>
      <c r="D190" s="32">
        <f>IF(B190&gt;IO!$B$8,0,IO!$B$8-Model!B190)</f>
        <v>2</v>
      </c>
      <c r="E190" s="33">
        <f>IO!$B$5*C190-IO!$B$6*D190</f>
        <v>3880</v>
      </c>
      <c r="G190" s="47">
        <v>189</v>
      </c>
      <c r="H190" s="38" t="s">
        <v>9</v>
      </c>
      <c r="I190" s="38">
        <v>0</v>
      </c>
      <c r="J190" s="39">
        <v>0.62117812844681231</v>
      </c>
      <c r="K190" s="40">
        <f>ROUND(NORMINV(J190,IO!$B$10,IO!$B$11),0)</f>
        <v>105</v>
      </c>
      <c r="L190" s="40">
        <f>MIN(K190,IO!$B$4+IO!$B$8)</f>
        <v>102</v>
      </c>
      <c r="M190" s="40">
        <f>IF(L190-I190&gt;IO!$B$4,Model!L190-Model!I190-IO!$B$4,0)</f>
        <v>2</v>
      </c>
      <c r="N190" s="41">
        <f>IO!$B$5*Model!L190-IO!$B$6*Model!M190</f>
        <v>3880</v>
      </c>
    </row>
    <row r="191" spans="1:14" x14ac:dyDescent="0.35">
      <c r="A191" s="30">
        <v>190</v>
      </c>
      <c r="B191" s="31">
        <v>5</v>
      </c>
      <c r="C191" s="32">
        <f>(IO!$B$4+IO!$B$8)</f>
        <v>102</v>
      </c>
      <c r="D191" s="32">
        <f>IF(B191&gt;IO!$B$8,0,IO!$B$8-Model!B191)</f>
        <v>0</v>
      </c>
      <c r="E191" s="33">
        <f>IO!$B$5*C191-IO!$B$6*D191</f>
        <v>4080</v>
      </c>
      <c r="G191" s="47">
        <v>190</v>
      </c>
      <c r="H191" s="38" t="s">
        <v>7</v>
      </c>
      <c r="I191" s="38">
        <v>5</v>
      </c>
      <c r="J191" s="39">
        <v>0.28755114199215959</v>
      </c>
      <c r="K191" s="40">
        <f>ROUND(NORMINV(J191,IO!$B$10,IO!$B$11),0)</f>
        <v>100</v>
      </c>
      <c r="L191" s="40">
        <f>MIN(K191,IO!$B$4+IO!$B$8)</f>
        <v>100</v>
      </c>
      <c r="M191" s="40">
        <f>IF(L191-I191&gt;IO!$B$4,Model!L191-Model!I191-IO!$B$4,0)</f>
        <v>0</v>
      </c>
      <c r="N191" s="41">
        <f>IO!$B$5*Model!L191-IO!$B$6*Model!M191</f>
        <v>4000</v>
      </c>
    </row>
    <row r="192" spans="1:14" x14ac:dyDescent="0.35">
      <c r="A192" s="30">
        <v>191</v>
      </c>
      <c r="B192" s="31">
        <v>4</v>
      </c>
      <c r="C192" s="32">
        <f>(IO!$B$4+IO!$B$8)</f>
        <v>102</v>
      </c>
      <c r="D192" s="32">
        <f>IF(B192&gt;IO!$B$8,0,IO!$B$8-Model!B192)</f>
        <v>0</v>
      </c>
      <c r="E192" s="33">
        <f>IO!$B$5*C192-IO!$B$6*D192</f>
        <v>4080</v>
      </c>
      <c r="G192" s="47">
        <v>191</v>
      </c>
      <c r="H192" s="38" t="s">
        <v>8</v>
      </c>
      <c r="I192" s="38">
        <v>4</v>
      </c>
      <c r="J192" s="39">
        <v>0.31251034281414125</v>
      </c>
      <c r="K192" s="40">
        <f>ROUND(NORMINV(J192,IO!$B$10,IO!$B$11),0)</f>
        <v>101</v>
      </c>
      <c r="L192" s="40">
        <f>MIN(K192,IO!$B$4+IO!$B$8)</f>
        <v>101</v>
      </c>
      <c r="M192" s="40">
        <f>IF(L192-I192&gt;IO!$B$4,Model!L192-Model!I192-IO!$B$4,0)</f>
        <v>0</v>
      </c>
      <c r="N192" s="41">
        <f>IO!$B$5*Model!L192-IO!$B$6*Model!M192</f>
        <v>4040</v>
      </c>
    </row>
    <row r="193" spans="1:14" x14ac:dyDescent="0.35">
      <c r="A193" s="30">
        <v>192</v>
      </c>
      <c r="B193" s="31">
        <v>2</v>
      </c>
      <c r="C193" s="32">
        <f>(IO!$B$4+IO!$B$8)</f>
        <v>102</v>
      </c>
      <c r="D193" s="32">
        <f>IF(B193&gt;IO!$B$8,0,IO!$B$8-Model!B193)</f>
        <v>0</v>
      </c>
      <c r="E193" s="33">
        <f>IO!$B$5*C193-IO!$B$6*D193</f>
        <v>4080</v>
      </c>
      <c r="G193" s="47">
        <v>192</v>
      </c>
      <c r="H193" s="38" t="s">
        <v>9</v>
      </c>
      <c r="I193" s="38">
        <v>2</v>
      </c>
      <c r="J193" s="39">
        <v>0.20248117136360921</v>
      </c>
      <c r="K193" s="40">
        <f>ROUND(NORMINV(J193,IO!$B$10,IO!$B$11),0)</f>
        <v>99</v>
      </c>
      <c r="L193" s="40">
        <f>MIN(K193,IO!$B$4+IO!$B$8)</f>
        <v>99</v>
      </c>
      <c r="M193" s="40">
        <f>IF(L193-I193&gt;IO!$B$4,Model!L193-Model!I193-IO!$B$4,0)</f>
        <v>0</v>
      </c>
      <c r="N193" s="41">
        <f>IO!$B$5*Model!L193-IO!$B$6*Model!M193</f>
        <v>3960</v>
      </c>
    </row>
    <row r="194" spans="1:14" x14ac:dyDescent="0.35">
      <c r="A194" s="30">
        <v>193</v>
      </c>
      <c r="B194" s="31">
        <v>4</v>
      </c>
      <c r="C194" s="32">
        <f>(IO!$B$4+IO!$B$8)</f>
        <v>102</v>
      </c>
      <c r="D194" s="32">
        <f>IF(B194&gt;IO!$B$8,0,IO!$B$8-Model!B194)</f>
        <v>0</v>
      </c>
      <c r="E194" s="33">
        <f>IO!$B$5*C194-IO!$B$6*D194</f>
        <v>4080</v>
      </c>
      <c r="G194" s="47">
        <v>193</v>
      </c>
      <c r="H194" s="38" t="s">
        <v>7</v>
      </c>
      <c r="I194" s="38">
        <v>4</v>
      </c>
      <c r="J194" s="39">
        <v>0.9245487243025492</v>
      </c>
      <c r="K194" s="40">
        <f>ROUND(NORMINV(J194,IO!$B$10,IO!$B$11),0)</f>
        <v>110</v>
      </c>
      <c r="L194" s="40">
        <f>MIN(K194,IO!$B$4+IO!$B$8)</f>
        <v>102</v>
      </c>
      <c r="M194" s="40">
        <f>IF(L194-I194&gt;IO!$B$4,Model!L194-Model!I194-IO!$B$4,0)</f>
        <v>0</v>
      </c>
      <c r="N194" s="41">
        <f>IO!$B$5*Model!L194-IO!$B$6*Model!M194</f>
        <v>4080</v>
      </c>
    </row>
    <row r="195" spans="1:14" x14ac:dyDescent="0.35">
      <c r="A195" s="30">
        <v>194</v>
      </c>
      <c r="B195" s="31">
        <v>4</v>
      </c>
      <c r="C195" s="32">
        <f>(IO!$B$4+IO!$B$8)</f>
        <v>102</v>
      </c>
      <c r="D195" s="32">
        <f>IF(B195&gt;IO!$B$8,0,IO!$B$8-Model!B195)</f>
        <v>0</v>
      </c>
      <c r="E195" s="33">
        <f>IO!$B$5*C195-IO!$B$6*D195</f>
        <v>4080</v>
      </c>
      <c r="G195" s="47">
        <v>194</v>
      </c>
      <c r="H195" s="38" t="s">
        <v>8</v>
      </c>
      <c r="I195" s="38">
        <v>4</v>
      </c>
      <c r="J195" s="39">
        <v>0.25716150681683059</v>
      </c>
      <c r="K195" s="40">
        <f>ROUND(NORMINV(J195,IO!$B$10,IO!$B$11),0)</f>
        <v>100</v>
      </c>
      <c r="L195" s="40">
        <f>MIN(K195,IO!$B$4+IO!$B$8)</f>
        <v>100</v>
      </c>
      <c r="M195" s="40">
        <f>IF(L195-I195&gt;IO!$B$4,Model!L195-Model!I195-IO!$B$4,0)</f>
        <v>0</v>
      </c>
      <c r="N195" s="41">
        <f>IO!$B$5*Model!L195-IO!$B$6*Model!M195</f>
        <v>4000</v>
      </c>
    </row>
    <row r="196" spans="1:14" x14ac:dyDescent="0.35">
      <c r="A196" s="30">
        <v>195</v>
      </c>
      <c r="B196" s="31">
        <v>1</v>
      </c>
      <c r="C196" s="32">
        <f>(IO!$B$4+IO!$B$8)</f>
        <v>102</v>
      </c>
      <c r="D196" s="32">
        <f>IF(B196&gt;IO!$B$8,0,IO!$B$8-Model!B196)</f>
        <v>1</v>
      </c>
      <c r="E196" s="33">
        <f>IO!$B$5*C196-IO!$B$6*D196</f>
        <v>3980</v>
      </c>
      <c r="G196" s="47">
        <v>195</v>
      </c>
      <c r="H196" s="38" t="s">
        <v>9</v>
      </c>
      <c r="I196" s="38">
        <v>1</v>
      </c>
      <c r="J196" s="39">
        <v>0.80020118442451094</v>
      </c>
      <c r="K196" s="40">
        <f>ROUND(NORMINV(J196,IO!$B$10,IO!$B$11),0)</f>
        <v>107</v>
      </c>
      <c r="L196" s="40">
        <f>MIN(K196,IO!$B$4+IO!$B$8)</f>
        <v>102</v>
      </c>
      <c r="M196" s="40">
        <f>IF(L196-I196&gt;IO!$B$4,Model!L196-Model!I196-IO!$B$4,0)</f>
        <v>1</v>
      </c>
      <c r="N196" s="41">
        <f>IO!$B$5*Model!L196-IO!$B$6*Model!M196</f>
        <v>3980</v>
      </c>
    </row>
    <row r="197" spans="1:14" x14ac:dyDescent="0.35">
      <c r="A197" s="30">
        <v>196</v>
      </c>
      <c r="B197" s="31">
        <v>6</v>
      </c>
      <c r="C197" s="32">
        <f>(IO!$B$4+IO!$B$8)</f>
        <v>102</v>
      </c>
      <c r="D197" s="32">
        <f>IF(B197&gt;IO!$B$8,0,IO!$B$8-Model!B197)</f>
        <v>0</v>
      </c>
      <c r="E197" s="33">
        <f>IO!$B$5*C197-IO!$B$6*D197</f>
        <v>4080</v>
      </c>
      <c r="G197" s="47">
        <v>196</v>
      </c>
      <c r="H197" s="38" t="s">
        <v>7</v>
      </c>
      <c r="I197" s="38">
        <v>6</v>
      </c>
      <c r="J197" s="39">
        <v>0.6145597489289476</v>
      </c>
      <c r="K197" s="40">
        <f>ROUND(NORMINV(J197,IO!$B$10,IO!$B$11),0)</f>
        <v>104</v>
      </c>
      <c r="L197" s="40">
        <f>MIN(K197,IO!$B$4+IO!$B$8)</f>
        <v>102</v>
      </c>
      <c r="M197" s="40">
        <f>IF(L197-I197&gt;IO!$B$4,Model!L197-Model!I197-IO!$B$4,0)</f>
        <v>0</v>
      </c>
      <c r="N197" s="41">
        <f>IO!$B$5*Model!L197-IO!$B$6*Model!M197</f>
        <v>4080</v>
      </c>
    </row>
    <row r="198" spans="1:14" x14ac:dyDescent="0.35">
      <c r="A198" s="30">
        <v>197</v>
      </c>
      <c r="B198" s="31">
        <v>3</v>
      </c>
      <c r="C198" s="32">
        <f>(IO!$B$4+IO!$B$8)</f>
        <v>102</v>
      </c>
      <c r="D198" s="32">
        <f>IF(B198&gt;IO!$B$8,0,IO!$B$8-Model!B198)</f>
        <v>0</v>
      </c>
      <c r="E198" s="33">
        <f>IO!$B$5*C198-IO!$B$6*D198</f>
        <v>4080</v>
      </c>
      <c r="G198" s="47">
        <v>197</v>
      </c>
      <c r="H198" s="38" t="s">
        <v>8</v>
      </c>
      <c r="I198" s="38">
        <v>3</v>
      </c>
      <c r="J198" s="39">
        <v>0.56758165707415398</v>
      </c>
      <c r="K198" s="40">
        <f>ROUND(NORMINV(J198,IO!$B$10,IO!$B$11),0)</f>
        <v>104</v>
      </c>
      <c r="L198" s="40">
        <f>MIN(K198,IO!$B$4+IO!$B$8)</f>
        <v>102</v>
      </c>
      <c r="M198" s="40">
        <f>IF(L198-I198&gt;IO!$B$4,Model!L198-Model!I198-IO!$B$4,0)</f>
        <v>0</v>
      </c>
      <c r="N198" s="41">
        <f>IO!$B$5*Model!L198-IO!$B$6*Model!M198</f>
        <v>4080</v>
      </c>
    </row>
    <row r="199" spans="1:14" x14ac:dyDescent="0.35">
      <c r="A199" s="30">
        <v>198</v>
      </c>
      <c r="B199" s="31">
        <v>1</v>
      </c>
      <c r="C199" s="32">
        <f>(IO!$B$4+IO!$B$8)</f>
        <v>102</v>
      </c>
      <c r="D199" s="32">
        <f>IF(B199&gt;IO!$B$8,0,IO!$B$8-Model!B199)</f>
        <v>1</v>
      </c>
      <c r="E199" s="33">
        <f>IO!$B$5*C199-IO!$B$6*D199</f>
        <v>3980</v>
      </c>
      <c r="G199" s="47">
        <v>198</v>
      </c>
      <c r="H199" s="38" t="s">
        <v>9</v>
      </c>
      <c r="I199" s="38">
        <v>1</v>
      </c>
      <c r="J199" s="39">
        <v>0.29740020957387836</v>
      </c>
      <c r="K199" s="40">
        <f>ROUND(NORMINV(J199,IO!$B$10,IO!$B$11),0)</f>
        <v>100</v>
      </c>
      <c r="L199" s="40">
        <f>MIN(K199,IO!$B$4+IO!$B$8)</f>
        <v>100</v>
      </c>
      <c r="M199" s="40">
        <f>IF(L199-I199&gt;IO!$B$4,Model!L199-Model!I199-IO!$B$4,0)</f>
        <v>0</v>
      </c>
      <c r="N199" s="41">
        <f>IO!$B$5*Model!L199-IO!$B$6*Model!M199</f>
        <v>4000</v>
      </c>
    </row>
    <row r="200" spans="1:14" x14ac:dyDescent="0.35">
      <c r="A200" s="30">
        <v>199</v>
      </c>
      <c r="B200" s="31">
        <v>2</v>
      </c>
      <c r="C200" s="32">
        <f>(IO!$B$4+IO!$B$8)</f>
        <v>102</v>
      </c>
      <c r="D200" s="32">
        <f>IF(B200&gt;IO!$B$8,0,IO!$B$8-Model!B200)</f>
        <v>0</v>
      </c>
      <c r="E200" s="33">
        <f>IO!$B$5*C200-IO!$B$6*D200</f>
        <v>4080</v>
      </c>
      <c r="G200" s="47">
        <v>199</v>
      </c>
      <c r="H200" s="38" t="s">
        <v>7</v>
      </c>
      <c r="I200" s="38">
        <v>2</v>
      </c>
      <c r="J200" s="39">
        <v>4.6266216396602555E-2</v>
      </c>
      <c r="K200" s="40">
        <f>ROUND(NORMINV(J200,IO!$B$10,IO!$B$11),0)</f>
        <v>95</v>
      </c>
      <c r="L200" s="40">
        <f>MIN(K200,IO!$B$4+IO!$B$8)</f>
        <v>95</v>
      </c>
      <c r="M200" s="40">
        <f>IF(L200-I200&gt;IO!$B$4,Model!L200-Model!I200-IO!$B$4,0)</f>
        <v>0</v>
      </c>
      <c r="N200" s="41">
        <f>IO!$B$5*Model!L200-IO!$B$6*Model!M200</f>
        <v>3800</v>
      </c>
    </row>
    <row r="201" spans="1:14" x14ac:dyDescent="0.35">
      <c r="A201" s="30">
        <v>200</v>
      </c>
      <c r="B201" s="31">
        <v>3</v>
      </c>
      <c r="C201" s="32">
        <f>(IO!$B$4+IO!$B$8)</f>
        <v>102</v>
      </c>
      <c r="D201" s="32">
        <f>IF(B201&gt;IO!$B$8,0,IO!$B$8-Model!B201)</f>
        <v>0</v>
      </c>
      <c r="E201" s="33">
        <f>IO!$B$5*C201-IO!$B$6*D201</f>
        <v>4080</v>
      </c>
      <c r="G201" s="47">
        <v>200</v>
      </c>
      <c r="H201" s="38" t="s">
        <v>8</v>
      </c>
      <c r="I201" s="38">
        <v>3</v>
      </c>
      <c r="J201" s="39">
        <v>0.57050916897391579</v>
      </c>
      <c r="K201" s="40">
        <f>ROUND(NORMINV(J201,IO!$B$10,IO!$B$11),0)</f>
        <v>104</v>
      </c>
      <c r="L201" s="40">
        <f>MIN(K201,IO!$B$4+IO!$B$8)</f>
        <v>102</v>
      </c>
      <c r="M201" s="40">
        <f>IF(L201-I201&gt;IO!$B$4,Model!L201-Model!I201-IO!$B$4,0)</f>
        <v>0</v>
      </c>
      <c r="N201" s="41">
        <f>IO!$B$5*Model!L201-IO!$B$6*Model!M201</f>
        <v>4080</v>
      </c>
    </row>
    <row r="202" spans="1:14" x14ac:dyDescent="0.35">
      <c r="A202" s="30">
        <v>201</v>
      </c>
      <c r="B202" s="31">
        <v>0</v>
      </c>
      <c r="C202" s="32">
        <f>(IO!$B$4+IO!$B$8)</f>
        <v>102</v>
      </c>
      <c r="D202" s="32">
        <f>IF(B202&gt;IO!$B$8,0,IO!$B$8-Model!B202)</f>
        <v>2</v>
      </c>
      <c r="E202" s="33">
        <f>IO!$B$5*C202-IO!$B$6*D202</f>
        <v>3880</v>
      </c>
      <c r="G202" s="47">
        <v>201</v>
      </c>
      <c r="H202" s="38" t="s">
        <v>9</v>
      </c>
      <c r="I202" s="38">
        <v>0</v>
      </c>
      <c r="J202" s="39">
        <v>0.26344465385161064</v>
      </c>
      <c r="K202" s="40">
        <f>ROUND(NORMINV(J202,IO!$B$10,IO!$B$11),0)</f>
        <v>100</v>
      </c>
      <c r="L202" s="40">
        <f>MIN(K202,IO!$B$4+IO!$B$8)</f>
        <v>100</v>
      </c>
      <c r="M202" s="40">
        <f>IF(L202-I202&gt;IO!$B$4,Model!L202-Model!I202-IO!$B$4,0)</f>
        <v>0</v>
      </c>
      <c r="N202" s="41">
        <f>IO!$B$5*Model!L202-IO!$B$6*Model!M202</f>
        <v>4000</v>
      </c>
    </row>
    <row r="203" spans="1:14" x14ac:dyDescent="0.35">
      <c r="A203" s="30">
        <v>202</v>
      </c>
      <c r="B203" s="31">
        <v>1</v>
      </c>
      <c r="C203" s="32">
        <f>(IO!$B$4+IO!$B$8)</f>
        <v>102</v>
      </c>
      <c r="D203" s="32">
        <f>IF(B203&gt;IO!$B$8,0,IO!$B$8-Model!B203)</f>
        <v>1</v>
      </c>
      <c r="E203" s="33">
        <f>IO!$B$5*C203-IO!$B$6*D203</f>
        <v>3980</v>
      </c>
      <c r="G203" s="47">
        <v>202</v>
      </c>
      <c r="H203" s="38" t="s">
        <v>7</v>
      </c>
      <c r="I203" s="38">
        <v>1</v>
      </c>
      <c r="J203" s="39">
        <v>0.90510466249067989</v>
      </c>
      <c r="K203" s="40">
        <f>ROUND(NORMINV(J203,IO!$B$10,IO!$B$11),0)</f>
        <v>110</v>
      </c>
      <c r="L203" s="40">
        <f>MIN(K203,IO!$B$4+IO!$B$8)</f>
        <v>102</v>
      </c>
      <c r="M203" s="40">
        <f>IF(L203-I203&gt;IO!$B$4,Model!L203-Model!I203-IO!$B$4,0)</f>
        <v>1</v>
      </c>
      <c r="N203" s="41">
        <f>IO!$B$5*Model!L203-IO!$B$6*Model!M203</f>
        <v>3980</v>
      </c>
    </row>
    <row r="204" spans="1:14" x14ac:dyDescent="0.35">
      <c r="A204" s="30">
        <v>203</v>
      </c>
      <c r="B204" s="31">
        <v>0</v>
      </c>
      <c r="C204" s="32">
        <f>(IO!$B$4+IO!$B$8)</f>
        <v>102</v>
      </c>
      <c r="D204" s="32">
        <f>IF(B204&gt;IO!$B$8,0,IO!$B$8-Model!B204)</f>
        <v>2</v>
      </c>
      <c r="E204" s="33">
        <f>IO!$B$5*C204-IO!$B$6*D204</f>
        <v>3880</v>
      </c>
      <c r="G204" s="47">
        <v>203</v>
      </c>
      <c r="H204" s="38" t="s">
        <v>8</v>
      </c>
      <c r="I204" s="38">
        <v>0</v>
      </c>
      <c r="J204" s="39">
        <v>0.30768977846809431</v>
      </c>
      <c r="K204" s="40">
        <f>ROUND(NORMINV(J204,IO!$B$10,IO!$B$11),0)</f>
        <v>100</v>
      </c>
      <c r="L204" s="40">
        <f>MIN(K204,IO!$B$4+IO!$B$8)</f>
        <v>100</v>
      </c>
      <c r="M204" s="40">
        <f>IF(L204-I204&gt;IO!$B$4,Model!L204-Model!I204-IO!$B$4,0)</f>
        <v>0</v>
      </c>
      <c r="N204" s="41">
        <f>IO!$B$5*Model!L204-IO!$B$6*Model!M204</f>
        <v>4000</v>
      </c>
    </row>
    <row r="205" spans="1:14" x14ac:dyDescent="0.35">
      <c r="A205" s="30">
        <v>204</v>
      </c>
      <c r="B205" s="31">
        <v>1</v>
      </c>
      <c r="C205" s="32">
        <f>(IO!$B$4+IO!$B$8)</f>
        <v>102</v>
      </c>
      <c r="D205" s="32">
        <f>IF(B205&gt;IO!$B$8,0,IO!$B$8-Model!B205)</f>
        <v>1</v>
      </c>
      <c r="E205" s="33">
        <f>IO!$B$5*C205-IO!$B$6*D205</f>
        <v>3980</v>
      </c>
      <c r="G205" s="47">
        <v>204</v>
      </c>
      <c r="H205" s="38" t="s">
        <v>9</v>
      </c>
      <c r="I205" s="38">
        <v>1</v>
      </c>
      <c r="J205" s="39">
        <v>0.70082898120130166</v>
      </c>
      <c r="K205" s="40">
        <f>ROUND(NORMINV(J205,IO!$B$10,IO!$B$11),0)</f>
        <v>106</v>
      </c>
      <c r="L205" s="40">
        <f>MIN(K205,IO!$B$4+IO!$B$8)</f>
        <v>102</v>
      </c>
      <c r="M205" s="40">
        <f>IF(L205-I205&gt;IO!$B$4,Model!L205-Model!I205-IO!$B$4,0)</f>
        <v>1</v>
      </c>
      <c r="N205" s="41">
        <f>IO!$B$5*Model!L205-IO!$B$6*Model!M205</f>
        <v>3980</v>
      </c>
    </row>
    <row r="206" spans="1:14" x14ac:dyDescent="0.35">
      <c r="A206" s="30">
        <v>205</v>
      </c>
      <c r="B206" s="31">
        <v>3</v>
      </c>
      <c r="C206" s="32">
        <f>(IO!$B$4+IO!$B$8)</f>
        <v>102</v>
      </c>
      <c r="D206" s="32">
        <f>IF(B206&gt;IO!$B$8,0,IO!$B$8-Model!B206)</f>
        <v>0</v>
      </c>
      <c r="E206" s="33">
        <f>IO!$B$5*C206-IO!$B$6*D206</f>
        <v>4080</v>
      </c>
      <c r="G206" s="47">
        <v>205</v>
      </c>
      <c r="H206" s="38" t="s">
        <v>7</v>
      </c>
      <c r="I206" s="38">
        <v>3</v>
      </c>
      <c r="J206" s="39">
        <v>0.54023419861238342</v>
      </c>
      <c r="K206" s="40">
        <f>ROUND(NORMINV(J206,IO!$B$10,IO!$B$11),0)</f>
        <v>104</v>
      </c>
      <c r="L206" s="40">
        <f>MIN(K206,IO!$B$4+IO!$B$8)</f>
        <v>102</v>
      </c>
      <c r="M206" s="40">
        <f>IF(L206-I206&gt;IO!$B$4,Model!L206-Model!I206-IO!$B$4,0)</f>
        <v>0</v>
      </c>
      <c r="N206" s="41">
        <f>IO!$B$5*Model!L206-IO!$B$6*Model!M206</f>
        <v>4080</v>
      </c>
    </row>
    <row r="207" spans="1:14" x14ac:dyDescent="0.35">
      <c r="A207" s="30">
        <v>206</v>
      </c>
      <c r="B207" s="31">
        <v>3</v>
      </c>
      <c r="C207" s="32">
        <f>(IO!$B$4+IO!$B$8)</f>
        <v>102</v>
      </c>
      <c r="D207" s="32">
        <f>IF(B207&gt;IO!$B$8,0,IO!$B$8-Model!B207)</f>
        <v>0</v>
      </c>
      <c r="E207" s="33">
        <f>IO!$B$5*C207-IO!$B$6*D207</f>
        <v>4080</v>
      </c>
      <c r="G207" s="47">
        <v>206</v>
      </c>
      <c r="H207" s="38" t="s">
        <v>8</v>
      </c>
      <c r="I207" s="38">
        <v>3</v>
      </c>
      <c r="J207" s="39">
        <v>0.2962994119844834</v>
      </c>
      <c r="K207" s="40">
        <f>ROUND(NORMINV(J207,IO!$B$10,IO!$B$11),0)</f>
        <v>100</v>
      </c>
      <c r="L207" s="40">
        <f>MIN(K207,IO!$B$4+IO!$B$8)</f>
        <v>100</v>
      </c>
      <c r="M207" s="40">
        <f>IF(L207-I207&gt;IO!$B$4,Model!L207-Model!I207-IO!$B$4,0)</f>
        <v>0</v>
      </c>
      <c r="N207" s="41">
        <f>IO!$B$5*Model!L207-IO!$B$6*Model!M207</f>
        <v>4000</v>
      </c>
    </row>
    <row r="208" spans="1:14" x14ac:dyDescent="0.35">
      <c r="A208" s="30">
        <v>207</v>
      </c>
      <c r="B208" s="31">
        <v>0</v>
      </c>
      <c r="C208" s="32">
        <f>(IO!$B$4+IO!$B$8)</f>
        <v>102</v>
      </c>
      <c r="D208" s="32">
        <f>IF(B208&gt;IO!$B$8,0,IO!$B$8-Model!B208)</f>
        <v>2</v>
      </c>
      <c r="E208" s="33">
        <f>IO!$B$5*C208-IO!$B$6*D208</f>
        <v>3880</v>
      </c>
      <c r="G208" s="47">
        <v>207</v>
      </c>
      <c r="H208" s="38" t="s">
        <v>9</v>
      </c>
      <c r="I208" s="38">
        <v>0</v>
      </c>
      <c r="J208" s="39">
        <v>0.3044844059354036</v>
      </c>
      <c r="K208" s="40">
        <f>ROUND(NORMINV(J208,IO!$B$10,IO!$B$11),0)</f>
        <v>100</v>
      </c>
      <c r="L208" s="40">
        <f>MIN(K208,IO!$B$4+IO!$B$8)</f>
        <v>100</v>
      </c>
      <c r="M208" s="40">
        <f>IF(L208-I208&gt;IO!$B$4,Model!L208-Model!I208-IO!$B$4,0)</f>
        <v>0</v>
      </c>
      <c r="N208" s="41">
        <f>IO!$B$5*Model!L208-IO!$B$6*Model!M208</f>
        <v>4000</v>
      </c>
    </row>
    <row r="209" spans="1:14" x14ac:dyDescent="0.35">
      <c r="A209" s="30">
        <v>208</v>
      </c>
      <c r="B209" s="31">
        <v>1</v>
      </c>
      <c r="C209" s="32">
        <f>(IO!$B$4+IO!$B$8)</f>
        <v>102</v>
      </c>
      <c r="D209" s="32">
        <f>IF(B209&gt;IO!$B$8,0,IO!$B$8-Model!B209)</f>
        <v>1</v>
      </c>
      <c r="E209" s="33">
        <f>IO!$B$5*C209-IO!$B$6*D209</f>
        <v>3980</v>
      </c>
      <c r="G209" s="47">
        <v>208</v>
      </c>
      <c r="H209" s="38" t="s">
        <v>7</v>
      </c>
      <c r="I209" s="38">
        <v>1</v>
      </c>
      <c r="J209" s="39">
        <v>0.31274257069988931</v>
      </c>
      <c r="K209" s="40">
        <f>ROUND(NORMINV(J209,IO!$B$10,IO!$B$11),0)</f>
        <v>101</v>
      </c>
      <c r="L209" s="40">
        <f>MIN(K209,IO!$B$4+IO!$B$8)</f>
        <v>101</v>
      </c>
      <c r="M209" s="40">
        <f>IF(L209-I209&gt;IO!$B$4,Model!L209-Model!I209-IO!$B$4,0)</f>
        <v>0</v>
      </c>
      <c r="N209" s="41">
        <f>IO!$B$5*Model!L209-IO!$B$6*Model!M209</f>
        <v>4040</v>
      </c>
    </row>
    <row r="210" spans="1:14" x14ac:dyDescent="0.35">
      <c r="A210" s="30">
        <v>209</v>
      </c>
      <c r="B210" s="31">
        <v>1</v>
      </c>
      <c r="C210" s="32">
        <f>(IO!$B$4+IO!$B$8)</f>
        <v>102</v>
      </c>
      <c r="D210" s="32">
        <f>IF(B210&gt;IO!$B$8,0,IO!$B$8-Model!B210)</f>
        <v>1</v>
      </c>
      <c r="E210" s="33">
        <f>IO!$B$5*C210-IO!$B$6*D210</f>
        <v>3980</v>
      </c>
      <c r="G210" s="47">
        <v>209</v>
      </c>
      <c r="H210" s="38" t="s">
        <v>8</v>
      </c>
      <c r="I210" s="38">
        <v>1</v>
      </c>
      <c r="J210" s="39">
        <v>0.90358552156611249</v>
      </c>
      <c r="K210" s="40">
        <f>ROUND(NORMINV(J210,IO!$B$10,IO!$B$11),0)</f>
        <v>110</v>
      </c>
      <c r="L210" s="40">
        <f>MIN(K210,IO!$B$4+IO!$B$8)</f>
        <v>102</v>
      </c>
      <c r="M210" s="40">
        <f>IF(L210-I210&gt;IO!$B$4,Model!L210-Model!I210-IO!$B$4,0)</f>
        <v>1</v>
      </c>
      <c r="N210" s="41">
        <f>IO!$B$5*Model!L210-IO!$B$6*Model!M210</f>
        <v>3980</v>
      </c>
    </row>
    <row r="211" spans="1:14" x14ac:dyDescent="0.35">
      <c r="A211" s="30">
        <v>210</v>
      </c>
      <c r="B211" s="31">
        <v>1</v>
      </c>
      <c r="C211" s="32">
        <f>(IO!$B$4+IO!$B$8)</f>
        <v>102</v>
      </c>
      <c r="D211" s="32">
        <f>IF(B211&gt;IO!$B$8,0,IO!$B$8-Model!B211)</f>
        <v>1</v>
      </c>
      <c r="E211" s="33">
        <f>IO!$B$5*C211-IO!$B$6*D211</f>
        <v>3980</v>
      </c>
      <c r="G211" s="47">
        <v>210</v>
      </c>
      <c r="H211" s="38" t="s">
        <v>9</v>
      </c>
      <c r="I211" s="38">
        <v>1</v>
      </c>
      <c r="J211" s="39">
        <v>0.31004525109352843</v>
      </c>
      <c r="K211" s="40">
        <f>ROUND(NORMINV(J211,IO!$B$10,IO!$B$11),0)</f>
        <v>101</v>
      </c>
      <c r="L211" s="40">
        <f>MIN(K211,IO!$B$4+IO!$B$8)</f>
        <v>101</v>
      </c>
      <c r="M211" s="40">
        <f>IF(L211-I211&gt;IO!$B$4,Model!L211-Model!I211-IO!$B$4,0)</f>
        <v>0</v>
      </c>
      <c r="N211" s="41">
        <f>IO!$B$5*Model!L211-IO!$B$6*Model!M211</f>
        <v>4040</v>
      </c>
    </row>
    <row r="212" spans="1:14" x14ac:dyDescent="0.35">
      <c r="A212" s="30">
        <v>211</v>
      </c>
      <c r="B212" s="31">
        <v>3</v>
      </c>
      <c r="C212" s="32">
        <f>(IO!$B$4+IO!$B$8)</f>
        <v>102</v>
      </c>
      <c r="D212" s="32">
        <f>IF(B212&gt;IO!$B$8,0,IO!$B$8-Model!B212)</f>
        <v>0</v>
      </c>
      <c r="E212" s="33">
        <f>IO!$B$5*C212-IO!$B$6*D212</f>
        <v>4080</v>
      </c>
      <c r="G212" s="47">
        <v>211</v>
      </c>
      <c r="H212" s="38" t="s">
        <v>7</v>
      </c>
      <c r="I212" s="38">
        <v>3</v>
      </c>
      <c r="J212" s="39">
        <v>7.5694857675149607E-2</v>
      </c>
      <c r="K212" s="40">
        <f>ROUND(NORMINV(J212,IO!$B$10,IO!$B$11),0)</f>
        <v>96</v>
      </c>
      <c r="L212" s="40">
        <f>MIN(K212,IO!$B$4+IO!$B$8)</f>
        <v>96</v>
      </c>
      <c r="M212" s="40">
        <f>IF(L212-I212&gt;IO!$B$4,Model!L212-Model!I212-IO!$B$4,0)</f>
        <v>0</v>
      </c>
      <c r="N212" s="41">
        <f>IO!$B$5*Model!L212-IO!$B$6*Model!M212</f>
        <v>3840</v>
      </c>
    </row>
    <row r="213" spans="1:14" x14ac:dyDescent="0.35">
      <c r="A213" s="30">
        <v>212</v>
      </c>
      <c r="B213" s="31">
        <v>2</v>
      </c>
      <c r="C213" s="32">
        <f>(IO!$B$4+IO!$B$8)</f>
        <v>102</v>
      </c>
      <c r="D213" s="32">
        <f>IF(B213&gt;IO!$B$8,0,IO!$B$8-Model!B213)</f>
        <v>0</v>
      </c>
      <c r="E213" s="33">
        <f>IO!$B$5*C213-IO!$B$6*D213</f>
        <v>4080</v>
      </c>
      <c r="G213" s="47">
        <v>212</v>
      </c>
      <c r="H213" s="38" t="s">
        <v>8</v>
      </c>
      <c r="I213" s="38">
        <v>2</v>
      </c>
      <c r="J213" s="39">
        <v>0.61648319087130987</v>
      </c>
      <c r="K213" s="40">
        <f>ROUND(NORMINV(J213,IO!$B$10,IO!$B$11),0)</f>
        <v>104</v>
      </c>
      <c r="L213" s="40">
        <f>MIN(K213,IO!$B$4+IO!$B$8)</f>
        <v>102</v>
      </c>
      <c r="M213" s="40">
        <f>IF(L213-I213&gt;IO!$B$4,Model!L213-Model!I213-IO!$B$4,0)</f>
        <v>0</v>
      </c>
      <c r="N213" s="41">
        <f>IO!$B$5*Model!L213-IO!$B$6*Model!M213</f>
        <v>4080</v>
      </c>
    </row>
    <row r="214" spans="1:14" x14ac:dyDescent="0.35">
      <c r="A214" s="30">
        <v>213</v>
      </c>
      <c r="B214" s="31">
        <v>2</v>
      </c>
      <c r="C214" s="32">
        <f>(IO!$B$4+IO!$B$8)</f>
        <v>102</v>
      </c>
      <c r="D214" s="32">
        <f>IF(B214&gt;IO!$B$8,0,IO!$B$8-Model!B214)</f>
        <v>0</v>
      </c>
      <c r="E214" s="33">
        <f>IO!$B$5*C214-IO!$B$6*D214</f>
        <v>4080</v>
      </c>
      <c r="G214" s="47">
        <v>213</v>
      </c>
      <c r="H214" s="38" t="s">
        <v>9</v>
      </c>
      <c r="I214" s="38">
        <v>2</v>
      </c>
      <c r="J214" s="39">
        <v>0.88289595881014271</v>
      </c>
      <c r="K214" s="40">
        <f>ROUND(NORMINV(J214,IO!$B$10,IO!$B$11),0)</f>
        <v>109</v>
      </c>
      <c r="L214" s="40">
        <f>MIN(K214,IO!$B$4+IO!$B$8)</f>
        <v>102</v>
      </c>
      <c r="M214" s="40">
        <f>IF(L214-I214&gt;IO!$B$4,Model!L214-Model!I214-IO!$B$4,0)</f>
        <v>0</v>
      </c>
      <c r="N214" s="41">
        <f>IO!$B$5*Model!L214-IO!$B$6*Model!M214</f>
        <v>4080</v>
      </c>
    </row>
    <row r="215" spans="1:14" x14ac:dyDescent="0.35">
      <c r="A215" s="30">
        <v>214</v>
      </c>
      <c r="B215" s="31">
        <v>4</v>
      </c>
      <c r="C215" s="32">
        <f>(IO!$B$4+IO!$B$8)</f>
        <v>102</v>
      </c>
      <c r="D215" s="32">
        <f>IF(B215&gt;IO!$B$8,0,IO!$B$8-Model!B215)</f>
        <v>0</v>
      </c>
      <c r="E215" s="33">
        <f>IO!$B$5*C215-IO!$B$6*D215</f>
        <v>4080</v>
      </c>
      <c r="G215" s="47">
        <v>214</v>
      </c>
      <c r="H215" s="38" t="s">
        <v>7</v>
      </c>
      <c r="I215" s="38">
        <v>4</v>
      </c>
      <c r="J215" s="39">
        <v>0.53594988528803089</v>
      </c>
      <c r="K215" s="40">
        <f>ROUND(NORMINV(J215,IO!$B$10,IO!$B$11),0)</f>
        <v>103</v>
      </c>
      <c r="L215" s="40">
        <f>MIN(K215,IO!$B$4+IO!$B$8)</f>
        <v>102</v>
      </c>
      <c r="M215" s="40">
        <f>IF(L215-I215&gt;IO!$B$4,Model!L215-Model!I215-IO!$B$4,0)</f>
        <v>0</v>
      </c>
      <c r="N215" s="41">
        <f>IO!$B$5*Model!L215-IO!$B$6*Model!M215</f>
        <v>4080</v>
      </c>
    </row>
    <row r="216" spans="1:14" x14ac:dyDescent="0.35">
      <c r="A216" s="30">
        <v>215</v>
      </c>
      <c r="B216" s="31">
        <v>1</v>
      </c>
      <c r="C216" s="32">
        <f>(IO!$B$4+IO!$B$8)</f>
        <v>102</v>
      </c>
      <c r="D216" s="32">
        <f>IF(B216&gt;IO!$B$8,0,IO!$B$8-Model!B216)</f>
        <v>1</v>
      </c>
      <c r="E216" s="33">
        <f>IO!$B$5*C216-IO!$B$6*D216</f>
        <v>3980</v>
      </c>
      <c r="G216" s="47">
        <v>215</v>
      </c>
      <c r="H216" s="38" t="s">
        <v>8</v>
      </c>
      <c r="I216" s="38">
        <v>1</v>
      </c>
      <c r="J216" s="39">
        <v>0.275621923696448</v>
      </c>
      <c r="K216" s="40">
        <f>ROUND(NORMINV(J216,IO!$B$10,IO!$B$11),0)</f>
        <v>100</v>
      </c>
      <c r="L216" s="40">
        <f>MIN(K216,IO!$B$4+IO!$B$8)</f>
        <v>100</v>
      </c>
      <c r="M216" s="40">
        <f>IF(L216-I216&gt;IO!$B$4,Model!L216-Model!I216-IO!$B$4,0)</f>
        <v>0</v>
      </c>
      <c r="N216" s="41">
        <f>IO!$B$5*Model!L216-IO!$B$6*Model!M216</f>
        <v>4000</v>
      </c>
    </row>
    <row r="217" spans="1:14" x14ac:dyDescent="0.35">
      <c r="A217" s="30">
        <v>216</v>
      </c>
      <c r="B217" s="31">
        <v>0</v>
      </c>
      <c r="C217" s="32">
        <f>(IO!$B$4+IO!$B$8)</f>
        <v>102</v>
      </c>
      <c r="D217" s="32">
        <f>IF(B217&gt;IO!$B$8,0,IO!$B$8-Model!B217)</f>
        <v>2</v>
      </c>
      <c r="E217" s="33">
        <f>IO!$B$5*C217-IO!$B$6*D217</f>
        <v>3880</v>
      </c>
      <c r="G217" s="47">
        <v>216</v>
      </c>
      <c r="H217" s="38" t="s">
        <v>9</v>
      </c>
      <c r="I217" s="38">
        <v>0</v>
      </c>
      <c r="J217" s="39">
        <v>0.15816301393897414</v>
      </c>
      <c r="K217" s="40">
        <f>ROUND(NORMINV(J217,IO!$B$10,IO!$B$11),0)</f>
        <v>98</v>
      </c>
      <c r="L217" s="40">
        <f>MIN(K217,IO!$B$4+IO!$B$8)</f>
        <v>98</v>
      </c>
      <c r="M217" s="40">
        <f>IF(L217-I217&gt;IO!$B$4,Model!L217-Model!I217-IO!$B$4,0)</f>
        <v>0</v>
      </c>
      <c r="N217" s="41">
        <f>IO!$B$5*Model!L217-IO!$B$6*Model!M217</f>
        <v>3920</v>
      </c>
    </row>
    <row r="218" spans="1:14" x14ac:dyDescent="0.35">
      <c r="A218" s="30">
        <v>217</v>
      </c>
      <c r="B218" s="31">
        <v>2</v>
      </c>
      <c r="C218" s="32">
        <f>(IO!$B$4+IO!$B$8)</f>
        <v>102</v>
      </c>
      <c r="D218" s="32">
        <f>IF(B218&gt;IO!$B$8,0,IO!$B$8-Model!B218)</f>
        <v>0</v>
      </c>
      <c r="E218" s="33">
        <f>IO!$B$5*C218-IO!$B$6*D218</f>
        <v>4080</v>
      </c>
      <c r="G218" s="47">
        <v>217</v>
      </c>
      <c r="H218" s="38" t="s">
        <v>7</v>
      </c>
      <c r="I218" s="38">
        <v>2</v>
      </c>
      <c r="J218" s="39">
        <v>0.4958746527369402</v>
      </c>
      <c r="K218" s="40">
        <f>ROUND(NORMINV(J218,IO!$B$10,IO!$B$11),0)</f>
        <v>103</v>
      </c>
      <c r="L218" s="40">
        <f>MIN(K218,IO!$B$4+IO!$B$8)</f>
        <v>102</v>
      </c>
      <c r="M218" s="40">
        <f>IF(L218-I218&gt;IO!$B$4,Model!L218-Model!I218-IO!$B$4,0)</f>
        <v>0</v>
      </c>
      <c r="N218" s="41">
        <f>IO!$B$5*Model!L218-IO!$B$6*Model!M218</f>
        <v>4080</v>
      </c>
    </row>
    <row r="219" spans="1:14" x14ac:dyDescent="0.35">
      <c r="A219" s="30">
        <v>218</v>
      </c>
      <c r="B219" s="31">
        <v>3</v>
      </c>
      <c r="C219" s="32">
        <f>(IO!$B$4+IO!$B$8)</f>
        <v>102</v>
      </c>
      <c r="D219" s="32">
        <f>IF(B219&gt;IO!$B$8,0,IO!$B$8-Model!B219)</f>
        <v>0</v>
      </c>
      <c r="E219" s="33">
        <f>IO!$B$5*C219-IO!$B$6*D219</f>
        <v>4080</v>
      </c>
      <c r="G219" s="47">
        <v>218</v>
      </c>
      <c r="H219" s="38" t="s">
        <v>8</v>
      </c>
      <c r="I219" s="38">
        <v>3</v>
      </c>
      <c r="J219" s="39">
        <v>0.58446283941994626</v>
      </c>
      <c r="K219" s="40">
        <f>ROUND(NORMINV(J219,IO!$B$10,IO!$B$11),0)</f>
        <v>104</v>
      </c>
      <c r="L219" s="40">
        <f>MIN(K219,IO!$B$4+IO!$B$8)</f>
        <v>102</v>
      </c>
      <c r="M219" s="40">
        <f>IF(L219-I219&gt;IO!$B$4,Model!L219-Model!I219-IO!$B$4,0)</f>
        <v>0</v>
      </c>
      <c r="N219" s="41">
        <f>IO!$B$5*Model!L219-IO!$B$6*Model!M219</f>
        <v>4080</v>
      </c>
    </row>
    <row r="220" spans="1:14" x14ac:dyDescent="0.35">
      <c r="A220" s="30">
        <v>219</v>
      </c>
      <c r="B220" s="31">
        <v>1</v>
      </c>
      <c r="C220" s="32">
        <f>(IO!$B$4+IO!$B$8)</f>
        <v>102</v>
      </c>
      <c r="D220" s="32">
        <f>IF(B220&gt;IO!$B$8,0,IO!$B$8-Model!B220)</f>
        <v>1</v>
      </c>
      <c r="E220" s="33">
        <f>IO!$B$5*C220-IO!$B$6*D220</f>
        <v>3980</v>
      </c>
      <c r="G220" s="47">
        <v>219</v>
      </c>
      <c r="H220" s="38" t="s">
        <v>9</v>
      </c>
      <c r="I220" s="38">
        <v>1</v>
      </c>
      <c r="J220" s="39">
        <v>0.45337253053114557</v>
      </c>
      <c r="K220" s="40">
        <f>ROUND(NORMINV(J220,IO!$B$10,IO!$B$11),0)</f>
        <v>102</v>
      </c>
      <c r="L220" s="40">
        <f>MIN(K220,IO!$B$4+IO!$B$8)</f>
        <v>102</v>
      </c>
      <c r="M220" s="40">
        <f>IF(L220-I220&gt;IO!$B$4,Model!L220-Model!I220-IO!$B$4,0)</f>
        <v>1</v>
      </c>
      <c r="N220" s="41">
        <f>IO!$B$5*Model!L220-IO!$B$6*Model!M220</f>
        <v>3980</v>
      </c>
    </row>
    <row r="221" spans="1:14" x14ac:dyDescent="0.35">
      <c r="A221" s="30">
        <v>220</v>
      </c>
      <c r="B221" s="31">
        <v>1</v>
      </c>
      <c r="C221" s="32">
        <f>(IO!$B$4+IO!$B$8)</f>
        <v>102</v>
      </c>
      <c r="D221" s="32">
        <f>IF(B221&gt;IO!$B$8,0,IO!$B$8-Model!B221)</f>
        <v>1</v>
      </c>
      <c r="E221" s="33">
        <f>IO!$B$5*C221-IO!$B$6*D221</f>
        <v>3980</v>
      </c>
      <c r="G221" s="47">
        <v>220</v>
      </c>
      <c r="H221" s="38" t="s">
        <v>7</v>
      </c>
      <c r="I221" s="38">
        <v>1</v>
      </c>
      <c r="J221" s="39">
        <v>0.71203577378100613</v>
      </c>
      <c r="K221" s="40">
        <f>ROUND(NORMINV(J221,IO!$B$10,IO!$B$11),0)</f>
        <v>106</v>
      </c>
      <c r="L221" s="40">
        <f>MIN(K221,IO!$B$4+IO!$B$8)</f>
        <v>102</v>
      </c>
      <c r="M221" s="40">
        <f>IF(L221-I221&gt;IO!$B$4,Model!L221-Model!I221-IO!$B$4,0)</f>
        <v>1</v>
      </c>
      <c r="N221" s="41">
        <f>IO!$B$5*Model!L221-IO!$B$6*Model!M221</f>
        <v>3980</v>
      </c>
    </row>
    <row r="222" spans="1:14" x14ac:dyDescent="0.35">
      <c r="A222" s="30">
        <v>221</v>
      </c>
      <c r="B222" s="31">
        <v>0</v>
      </c>
      <c r="C222" s="32">
        <f>(IO!$B$4+IO!$B$8)</f>
        <v>102</v>
      </c>
      <c r="D222" s="32">
        <f>IF(B222&gt;IO!$B$8,0,IO!$B$8-Model!B222)</f>
        <v>2</v>
      </c>
      <c r="E222" s="33">
        <f>IO!$B$5*C222-IO!$B$6*D222</f>
        <v>3880</v>
      </c>
      <c r="G222" s="47">
        <v>221</v>
      </c>
      <c r="H222" s="38" t="s">
        <v>8</v>
      </c>
      <c r="I222" s="38">
        <v>0</v>
      </c>
      <c r="J222" s="39">
        <v>0.94279398128903569</v>
      </c>
      <c r="K222" s="40">
        <f>ROUND(NORMINV(J222,IO!$B$10,IO!$B$11),0)</f>
        <v>111</v>
      </c>
      <c r="L222" s="40">
        <f>MIN(K222,IO!$B$4+IO!$B$8)</f>
        <v>102</v>
      </c>
      <c r="M222" s="40">
        <f>IF(L222-I222&gt;IO!$B$4,Model!L222-Model!I222-IO!$B$4,0)</f>
        <v>2</v>
      </c>
      <c r="N222" s="41">
        <f>IO!$B$5*Model!L222-IO!$B$6*Model!M222</f>
        <v>3880</v>
      </c>
    </row>
    <row r="223" spans="1:14" x14ac:dyDescent="0.35">
      <c r="A223" s="30">
        <v>222</v>
      </c>
      <c r="B223" s="31">
        <v>0</v>
      </c>
      <c r="C223" s="32">
        <f>(IO!$B$4+IO!$B$8)</f>
        <v>102</v>
      </c>
      <c r="D223" s="32">
        <f>IF(B223&gt;IO!$B$8,0,IO!$B$8-Model!B223)</f>
        <v>2</v>
      </c>
      <c r="E223" s="33">
        <f>IO!$B$5*C223-IO!$B$6*D223</f>
        <v>3880</v>
      </c>
      <c r="G223" s="47">
        <v>222</v>
      </c>
      <c r="H223" s="38" t="s">
        <v>9</v>
      </c>
      <c r="I223" s="38">
        <v>0</v>
      </c>
      <c r="J223" s="39">
        <v>0.51746434183501022</v>
      </c>
      <c r="K223" s="40">
        <f>ROUND(NORMINV(J223,IO!$B$10,IO!$B$11),0)</f>
        <v>103</v>
      </c>
      <c r="L223" s="40">
        <f>MIN(K223,IO!$B$4+IO!$B$8)</f>
        <v>102</v>
      </c>
      <c r="M223" s="40">
        <f>IF(L223-I223&gt;IO!$B$4,Model!L223-Model!I223-IO!$B$4,0)</f>
        <v>2</v>
      </c>
      <c r="N223" s="41">
        <f>IO!$B$5*Model!L223-IO!$B$6*Model!M223</f>
        <v>3880</v>
      </c>
    </row>
    <row r="224" spans="1:14" x14ac:dyDescent="0.35">
      <c r="A224" s="30">
        <v>223</v>
      </c>
      <c r="B224" s="31">
        <v>2</v>
      </c>
      <c r="C224" s="32">
        <f>(IO!$B$4+IO!$B$8)</f>
        <v>102</v>
      </c>
      <c r="D224" s="32">
        <f>IF(B224&gt;IO!$B$8,0,IO!$B$8-Model!B224)</f>
        <v>0</v>
      </c>
      <c r="E224" s="33">
        <f>IO!$B$5*C224-IO!$B$6*D224</f>
        <v>4080</v>
      </c>
      <c r="G224" s="47">
        <v>223</v>
      </c>
      <c r="H224" s="38" t="s">
        <v>7</v>
      </c>
      <c r="I224" s="38">
        <v>2</v>
      </c>
      <c r="J224" s="39">
        <v>0.99521598526201149</v>
      </c>
      <c r="K224" s="40">
        <f>ROUND(NORMINV(J224,IO!$B$10,IO!$B$11),0)</f>
        <v>116</v>
      </c>
      <c r="L224" s="40">
        <f>MIN(K224,IO!$B$4+IO!$B$8)</f>
        <v>102</v>
      </c>
      <c r="M224" s="40">
        <f>IF(L224-I224&gt;IO!$B$4,Model!L224-Model!I224-IO!$B$4,0)</f>
        <v>0</v>
      </c>
      <c r="N224" s="41">
        <f>IO!$B$5*Model!L224-IO!$B$6*Model!M224</f>
        <v>4080</v>
      </c>
    </row>
    <row r="225" spans="1:14" x14ac:dyDescent="0.35">
      <c r="A225" s="30">
        <v>224</v>
      </c>
      <c r="B225" s="31">
        <v>3</v>
      </c>
      <c r="C225" s="32">
        <f>(IO!$B$4+IO!$B$8)</f>
        <v>102</v>
      </c>
      <c r="D225" s="32">
        <f>IF(B225&gt;IO!$B$8,0,IO!$B$8-Model!B225)</f>
        <v>0</v>
      </c>
      <c r="E225" s="33">
        <f>IO!$B$5*C225-IO!$B$6*D225</f>
        <v>4080</v>
      </c>
      <c r="G225" s="47">
        <v>224</v>
      </c>
      <c r="H225" s="38" t="s">
        <v>8</v>
      </c>
      <c r="I225" s="38">
        <v>3</v>
      </c>
      <c r="J225" s="39">
        <v>9.9165337702132761E-2</v>
      </c>
      <c r="K225" s="40">
        <f>ROUND(NORMINV(J225,IO!$B$10,IO!$B$11),0)</f>
        <v>97</v>
      </c>
      <c r="L225" s="40">
        <f>MIN(K225,IO!$B$4+IO!$B$8)</f>
        <v>97</v>
      </c>
      <c r="M225" s="40">
        <f>IF(L225-I225&gt;IO!$B$4,Model!L225-Model!I225-IO!$B$4,0)</f>
        <v>0</v>
      </c>
      <c r="N225" s="41">
        <f>IO!$B$5*Model!L225-IO!$B$6*Model!M225</f>
        <v>3880</v>
      </c>
    </row>
    <row r="226" spans="1:14" x14ac:dyDescent="0.35">
      <c r="A226" s="30">
        <v>225</v>
      </c>
      <c r="B226" s="31">
        <v>1</v>
      </c>
      <c r="C226" s="32">
        <f>(IO!$B$4+IO!$B$8)</f>
        <v>102</v>
      </c>
      <c r="D226" s="32">
        <f>IF(B226&gt;IO!$B$8,0,IO!$B$8-Model!B226)</f>
        <v>1</v>
      </c>
      <c r="E226" s="33">
        <f>IO!$B$5*C226-IO!$B$6*D226</f>
        <v>3980</v>
      </c>
      <c r="G226" s="47">
        <v>225</v>
      </c>
      <c r="H226" s="38" t="s">
        <v>9</v>
      </c>
      <c r="I226" s="38">
        <v>1</v>
      </c>
      <c r="J226" s="39">
        <v>0.92773999985173694</v>
      </c>
      <c r="K226" s="40">
        <f>ROUND(NORMINV(J226,IO!$B$10,IO!$B$11),0)</f>
        <v>110</v>
      </c>
      <c r="L226" s="40">
        <f>MIN(K226,IO!$B$4+IO!$B$8)</f>
        <v>102</v>
      </c>
      <c r="M226" s="40">
        <f>IF(L226-I226&gt;IO!$B$4,Model!L226-Model!I226-IO!$B$4,0)</f>
        <v>1</v>
      </c>
      <c r="N226" s="41">
        <f>IO!$B$5*Model!L226-IO!$B$6*Model!M226</f>
        <v>3980</v>
      </c>
    </row>
    <row r="227" spans="1:14" x14ac:dyDescent="0.35">
      <c r="A227" s="30">
        <v>226</v>
      </c>
      <c r="B227" s="31">
        <v>4</v>
      </c>
      <c r="C227" s="32">
        <f>(IO!$B$4+IO!$B$8)</f>
        <v>102</v>
      </c>
      <c r="D227" s="32">
        <f>IF(B227&gt;IO!$B$8,0,IO!$B$8-Model!B227)</f>
        <v>0</v>
      </c>
      <c r="E227" s="33">
        <f>IO!$B$5*C227-IO!$B$6*D227</f>
        <v>4080</v>
      </c>
      <c r="G227" s="47">
        <v>226</v>
      </c>
      <c r="H227" s="38" t="s">
        <v>7</v>
      </c>
      <c r="I227" s="38">
        <v>4</v>
      </c>
      <c r="J227" s="39">
        <v>0.56297015267365125</v>
      </c>
      <c r="K227" s="40">
        <f>ROUND(NORMINV(J227,IO!$B$10,IO!$B$11),0)</f>
        <v>104</v>
      </c>
      <c r="L227" s="40">
        <f>MIN(K227,IO!$B$4+IO!$B$8)</f>
        <v>102</v>
      </c>
      <c r="M227" s="40">
        <f>IF(L227-I227&gt;IO!$B$4,Model!L227-Model!I227-IO!$B$4,0)</f>
        <v>0</v>
      </c>
      <c r="N227" s="41">
        <f>IO!$B$5*Model!L227-IO!$B$6*Model!M227</f>
        <v>4080</v>
      </c>
    </row>
    <row r="228" spans="1:14" x14ac:dyDescent="0.35">
      <c r="A228" s="30">
        <v>227</v>
      </c>
      <c r="B228" s="31">
        <v>1</v>
      </c>
      <c r="C228" s="32">
        <f>(IO!$B$4+IO!$B$8)</f>
        <v>102</v>
      </c>
      <c r="D228" s="32">
        <f>IF(B228&gt;IO!$B$8,0,IO!$B$8-Model!B228)</f>
        <v>1</v>
      </c>
      <c r="E228" s="33">
        <f>IO!$B$5*C228-IO!$B$6*D228</f>
        <v>3980</v>
      </c>
      <c r="G228" s="47">
        <v>227</v>
      </c>
      <c r="H228" s="38" t="s">
        <v>8</v>
      </c>
      <c r="I228" s="38">
        <v>1</v>
      </c>
      <c r="J228" s="39">
        <v>0.89772009327138502</v>
      </c>
      <c r="K228" s="40">
        <f>ROUND(NORMINV(J228,IO!$B$10,IO!$B$11),0)</f>
        <v>109</v>
      </c>
      <c r="L228" s="40">
        <f>MIN(K228,IO!$B$4+IO!$B$8)</f>
        <v>102</v>
      </c>
      <c r="M228" s="40">
        <f>IF(L228-I228&gt;IO!$B$4,Model!L228-Model!I228-IO!$B$4,0)</f>
        <v>1</v>
      </c>
      <c r="N228" s="41">
        <f>IO!$B$5*Model!L228-IO!$B$6*Model!M228</f>
        <v>3980</v>
      </c>
    </row>
    <row r="229" spans="1:14" x14ac:dyDescent="0.35">
      <c r="A229" s="30">
        <v>228</v>
      </c>
      <c r="B229" s="31">
        <v>0</v>
      </c>
      <c r="C229" s="32">
        <f>(IO!$B$4+IO!$B$8)</f>
        <v>102</v>
      </c>
      <c r="D229" s="32">
        <f>IF(B229&gt;IO!$B$8,0,IO!$B$8-Model!B229)</f>
        <v>2</v>
      </c>
      <c r="E229" s="33">
        <f>IO!$B$5*C229-IO!$B$6*D229</f>
        <v>3880</v>
      </c>
      <c r="G229" s="47">
        <v>228</v>
      </c>
      <c r="H229" s="38" t="s">
        <v>9</v>
      </c>
      <c r="I229" s="38">
        <v>0</v>
      </c>
      <c r="J229" s="39">
        <v>0.74582795165679472</v>
      </c>
      <c r="K229" s="40">
        <f>ROUND(NORMINV(J229,IO!$B$10,IO!$B$11),0)</f>
        <v>106</v>
      </c>
      <c r="L229" s="40">
        <f>MIN(K229,IO!$B$4+IO!$B$8)</f>
        <v>102</v>
      </c>
      <c r="M229" s="40">
        <f>IF(L229-I229&gt;IO!$B$4,Model!L229-Model!I229-IO!$B$4,0)</f>
        <v>2</v>
      </c>
      <c r="N229" s="41">
        <f>IO!$B$5*Model!L229-IO!$B$6*Model!M229</f>
        <v>3880</v>
      </c>
    </row>
    <row r="230" spans="1:14" x14ac:dyDescent="0.35">
      <c r="A230" s="30">
        <v>229</v>
      </c>
      <c r="B230" s="31">
        <v>2</v>
      </c>
      <c r="C230" s="32">
        <f>(IO!$B$4+IO!$B$8)</f>
        <v>102</v>
      </c>
      <c r="D230" s="32">
        <f>IF(B230&gt;IO!$B$8,0,IO!$B$8-Model!B230)</f>
        <v>0</v>
      </c>
      <c r="E230" s="33">
        <f>IO!$B$5*C230-IO!$B$6*D230</f>
        <v>4080</v>
      </c>
      <c r="G230" s="47">
        <v>229</v>
      </c>
      <c r="H230" s="38" t="s">
        <v>7</v>
      </c>
      <c r="I230" s="38">
        <v>2</v>
      </c>
      <c r="J230" s="39">
        <v>0.30861959396413774</v>
      </c>
      <c r="K230" s="40">
        <f>ROUND(NORMINV(J230,IO!$B$10,IO!$B$11),0)</f>
        <v>101</v>
      </c>
      <c r="L230" s="40">
        <f>MIN(K230,IO!$B$4+IO!$B$8)</f>
        <v>101</v>
      </c>
      <c r="M230" s="40">
        <f>IF(L230-I230&gt;IO!$B$4,Model!L230-Model!I230-IO!$B$4,0)</f>
        <v>0</v>
      </c>
      <c r="N230" s="41">
        <f>IO!$B$5*Model!L230-IO!$B$6*Model!M230</f>
        <v>4040</v>
      </c>
    </row>
    <row r="231" spans="1:14" x14ac:dyDescent="0.35">
      <c r="A231" s="30">
        <v>230</v>
      </c>
      <c r="B231" s="31">
        <v>1</v>
      </c>
      <c r="C231" s="32">
        <f>(IO!$B$4+IO!$B$8)</f>
        <v>102</v>
      </c>
      <c r="D231" s="32">
        <f>IF(B231&gt;IO!$B$8,0,IO!$B$8-Model!B231)</f>
        <v>1</v>
      </c>
      <c r="E231" s="33">
        <f>IO!$B$5*C231-IO!$B$6*D231</f>
        <v>3980</v>
      </c>
      <c r="G231" s="47">
        <v>230</v>
      </c>
      <c r="H231" s="38" t="s">
        <v>8</v>
      </c>
      <c r="I231" s="38">
        <v>1</v>
      </c>
      <c r="J231" s="39">
        <v>0.43652090675226396</v>
      </c>
      <c r="K231" s="40">
        <f>ROUND(NORMINV(J231,IO!$B$10,IO!$B$11),0)</f>
        <v>102</v>
      </c>
      <c r="L231" s="40">
        <f>MIN(K231,IO!$B$4+IO!$B$8)</f>
        <v>102</v>
      </c>
      <c r="M231" s="40">
        <f>IF(L231-I231&gt;IO!$B$4,Model!L231-Model!I231-IO!$B$4,0)</f>
        <v>1</v>
      </c>
      <c r="N231" s="41">
        <f>IO!$B$5*Model!L231-IO!$B$6*Model!M231</f>
        <v>3980</v>
      </c>
    </row>
    <row r="232" spans="1:14" x14ac:dyDescent="0.35">
      <c r="A232" s="30">
        <v>231</v>
      </c>
      <c r="B232" s="31">
        <v>4</v>
      </c>
      <c r="C232" s="32">
        <f>(IO!$B$4+IO!$B$8)</f>
        <v>102</v>
      </c>
      <c r="D232" s="32">
        <f>IF(B232&gt;IO!$B$8,0,IO!$B$8-Model!B232)</f>
        <v>0</v>
      </c>
      <c r="E232" s="33">
        <f>IO!$B$5*C232-IO!$B$6*D232</f>
        <v>4080</v>
      </c>
      <c r="G232" s="47">
        <v>231</v>
      </c>
      <c r="H232" s="38" t="s">
        <v>9</v>
      </c>
      <c r="I232" s="38">
        <v>4</v>
      </c>
      <c r="J232" s="39">
        <v>0.69332192599923381</v>
      </c>
      <c r="K232" s="40">
        <f>ROUND(NORMINV(J232,IO!$B$10,IO!$B$11),0)</f>
        <v>106</v>
      </c>
      <c r="L232" s="40">
        <f>MIN(K232,IO!$B$4+IO!$B$8)</f>
        <v>102</v>
      </c>
      <c r="M232" s="40">
        <f>IF(L232-I232&gt;IO!$B$4,Model!L232-Model!I232-IO!$B$4,0)</f>
        <v>0</v>
      </c>
      <c r="N232" s="41">
        <f>IO!$B$5*Model!L232-IO!$B$6*Model!M232</f>
        <v>4080</v>
      </c>
    </row>
    <row r="233" spans="1:14" x14ac:dyDescent="0.35">
      <c r="A233" s="30">
        <v>232</v>
      </c>
      <c r="B233" s="31">
        <v>3</v>
      </c>
      <c r="C233" s="32">
        <f>(IO!$B$4+IO!$B$8)</f>
        <v>102</v>
      </c>
      <c r="D233" s="32">
        <f>IF(B233&gt;IO!$B$8,0,IO!$B$8-Model!B233)</f>
        <v>0</v>
      </c>
      <c r="E233" s="33">
        <f>IO!$B$5*C233-IO!$B$6*D233</f>
        <v>4080</v>
      </c>
      <c r="G233" s="47">
        <v>232</v>
      </c>
      <c r="H233" s="38" t="s">
        <v>7</v>
      </c>
      <c r="I233" s="38">
        <v>3</v>
      </c>
      <c r="J233" s="39">
        <v>4.4372304368537896E-2</v>
      </c>
      <c r="K233" s="40">
        <f>ROUND(NORMINV(J233,IO!$B$10,IO!$B$11),0)</f>
        <v>94</v>
      </c>
      <c r="L233" s="40">
        <f>MIN(K233,IO!$B$4+IO!$B$8)</f>
        <v>94</v>
      </c>
      <c r="M233" s="40">
        <f>IF(L233-I233&gt;IO!$B$4,Model!L233-Model!I233-IO!$B$4,0)</f>
        <v>0</v>
      </c>
      <c r="N233" s="41">
        <f>IO!$B$5*Model!L233-IO!$B$6*Model!M233</f>
        <v>3760</v>
      </c>
    </row>
    <row r="234" spans="1:14" x14ac:dyDescent="0.35">
      <c r="A234" s="30">
        <v>233</v>
      </c>
      <c r="B234" s="31">
        <v>6</v>
      </c>
      <c r="C234" s="32">
        <f>(IO!$B$4+IO!$B$8)</f>
        <v>102</v>
      </c>
      <c r="D234" s="32">
        <f>IF(B234&gt;IO!$B$8,0,IO!$B$8-Model!B234)</f>
        <v>0</v>
      </c>
      <c r="E234" s="33">
        <f>IO!$B$5*C234-IO!$B$6*D234</f>
        <v>4080</v>
      </c>
      <c r="G234" s="47">
        <v>233</v>
      </c>
      <c r="H234" s="38" t="s">
        <v>8</v>
      </c>
      <c r="I234" s="38">
        <v>6</v>
      </c>
      <c r="J234" s="39">
        <v>0.65799146272558684</v>
      </c>
      <c r="K234" s="40">
        <f>ROUND(NORMINV(J234,IO!$B$10,IO!$B$11),0)</f>
        <v>105</v>
      </c>
      <c r="L234" s="40">
        <f>MIN(K234,IO!$B$4+IO!$B$8)</f>
        <v>102</v>
      </c>
      <c r="M234" s="40">
        <f>IF(L234-I234&gt;IO!$B$4,Model!L234-Model!I234-IO!$B$4,0)</f>
        <v>0</v>
      </c>
      <c r="N234" s="41">
        <f>IO!$B$5*Model!L234-IO!$B$6*Model!M234</f>
        <v>4080</v>
      </c>
    </row>
    <row r="235" spans="1:14" x14ac:dyDescent="0.35">
      <c r="A235" s="30">
        <v>234</v>
      </c>
      <c r="B235" s="31">
        <v>0</v>
      </c>
      <c r="C235" s="32">
        <f>(IO!$B$4+IO!$B$8)</f>
        <v>102</v>
      </c>
      <c r="D235" s="32">
        <f>IF(B235&gt;IO!$B$8,0,IO!$B$8-Model!B235)</f>
        <v>2</v>
      </c>
      <c r="E235" s="33">
        <f>IO!$B$5*C235-IO!$B$6*D235</f>
        <v>3880</v>
      </c>
      <c r="G235" s="47">
        <v>234</v>
      </c>
      <c r="H235" s="38" t="s">
        <v>9</v>
      </c>
      <c r="I235" s="38">
        <v>0</v>
      </c>
      <c r="J235" s="39">
        <v>0.95313906351617339</v>
      </c>
      <c r="K235" s="40">
        <f>ROUND(NORMINV(J235,IO!$B$10,IO!$B$11),0)</f>
        <v>111</v>
      </c>
      <c r="L235" s="40">
        <f>MIN(K235,IO!$B$4+IO!$B$8)</f>
        <v>102</v>
      </c>
      <c r="M235" s="40">
        <f>IF(L235-I235&gt;IO!$B$4,Model!L235-Model!I235-IO!$B$4,0)</f>
        <v>2</v>
      </c>
      <c r="N235" s="41">
        <f>IO!$B$5*Model!L235-IO!$B$6*Model!M235</f>
        <v>3880</v>
      </c>
    </row>
    <row r="236" spans="1:14" x14ac:dyDescent="0.35">
      <c r="A236" s="30">
        <v>235</v>
      </c>
      <c r="B236" s="31">
        <v>4</v>
      </c>
      <c r="C236" s="32">
        <f>(IO!$B$4+IO!$B$8)</f>
        <v>102</v>
      </c>
      <c r="D236" s="32">
        <f>IF(B236&gt;IO!$B$8,0,IO!$B$8-Model!B236)</f>
        <v>0</v>
      </c>
      <c r="E236" s="33">
        <f>IO!$B$5*C236-IO!$B$6*D236</f>
        <v>4080</v>
      </c>
      <c r="G236" s="47">
        <v>235</v>
      </c>
      <c r="H236" s="38" t="s">
        <v>7</v>
      </c>
      <c r="I236" s="38">
        <v>4</v>
      </c>
      <c r="J236" s="39">
        <v>6.9755250960735871E-2</v>
      </c>
      <c r="K236" s="40">
        <f>ROUND(NORMINV(J236,IO!$B$10,IO!$B$11),0)</f>
        <v>96</v>
      </c>
      <c r="L236" s="40">
        <f>MIN(K236,IO!$B$4+IO!$B$8)</f>
        <v>96</v>
      </c>
      <c r="M236" s="40">
        <f>IF(L236-I236&gt;IO!$B$4,Model!L236-Model!I236-IO!$B$4,0)</f>
        <v>0</v>
      </c>
      <c r="N236" s="41">
        <f>IO!$B$5*Model!L236-IO!$B$6*Model!M236</f>
        <v>3840</v>
      </c>
    </row>
    <row r="237" spans="1:14" x14ac:dyDescent="0.35">
      <c r="A237" s="30">
        <v>236</v>
      </c>
      <c r="B237" s="31">
        <v>2</v>
      </c>
      <c r="C237" s="32">
        <f>(IO!$B$4+IO!$B$8)</f>
        <v>102</v>
      </c>
      <c r="D237" s="32">
        <f>IF(B237&gt;IO!$B$8,0,IO!$B$8-Model!B237)</f>
        <v>0</v>
      </c>
      <c r="E237" s="33">
        <f>IO!$B$5*C237-IO!$B$6*D237</f>
        <v>4080</v>
      </c>
      <c r="G237" s="47">
        <v>236</v>
      </c>
      <c r="H237" s="38" t="s">
        <v>8</v>
      </c>
      <c r="I237" s="38">
        <v>2</v>
      </c>
      <c r="J237" s="39">
        <v>0.96945823855786728</v>
      </c>
      <c r="K237" s="40">
        <f>ROUND(NORMINV(J237,IO!$B$10,IO!$B$11),0)</f>
        <v>112</v>
      </c>
      <c r="L237" s="40">
        <f>MIN(K237,IO!$B$4+IO!$B$8)</f>
        <v>102</v>
      </c>
      <c r="M237" s="40">
        <f>IF(L237-I237&gt;IO!$B$4,Model!L237-Model!I237-IO!$B$4,0)</f>
        <v>0</v>
      </c>
      <c r="N237" s="41">
        <f>IO!$B$5*Model!L237-IO!$B$6*Model!M237</f>
        <v>4080</v>
      </c>
    </row>
    <row r="238" spans="1:14" x14ac:dyDescent="0.35">
      <c r="A238" s="30">
        <v>237</v>
      </c>
      <c r="B238" s="31">
        <v>3</v>
      </c>
      <c r="C238" s="32">
        <f>(IO!$B$4+IO!$B$8)</f>
        <v>102</v>
      </c>
      <c r="D238" s="32">
        <f>IF(B238&gt;IO!$B$8,0,IO!$B$8-Model!B238)</f>
        <v>0</v>
      </c>
      <c r="E238" s="33">
        <f>IO!$B$5*C238-IO!$B$6*D238</f>
        <v>4080</v>
      </c>
      <c r="G238" s="47">
        <v>237</v>
      </c>
      <c r="H238" s="38" t="s">
        <v>9</v>
      </c>
      <c r="I238" s="38">
        <v>3</v>
      </c>
      <c r="J238" s="39">
        <v>0.19937093401760564</v>
      </c>
      <c r="K238" s="40">
        <f>ROUND(NORMINV(J238,IO!$B$10,IO!$B$11),0)</f>
        <v>99</v>
      </c>
      <c r="L238" s="40">
        <f>MIN(K238,IO!$B$4+IO!$B$8)</f>
        <v>99</v>
      </c>
      <c r="M238" s="40">
        <f>IF(L238-I238&gt;IO!$B$4,Model!L238-Model!I238-IO!$B$4,0)</f>
        <v>0</v>
      </c>
      <c r="N238" s="41">
        <f>IO!$B$5*Model!L238-IO!$B$6*Model!M238</f>
        <v>3960</v>
      </c>
    </row>
    <row r="239" spans="1:14" x14ac:dyDescent="0.35">
      <c r="A239" s="30">
        <v>238</v>
      </c>
      <c r="B239" s="31">
        <v>1</v>
      </c>
      <c r="C239" s="32">
        <f>(IO!$B$4+IO!$B$8)</f>
        <v>102</v>
      </c>
      <c r="D239" s="32">
        <f>IF(B239&gt;IO!$B$8,0,IO!$B$8-Model!B239)</f>
        <v>1</v>
      </c>
      <c r="E239" s="33">
        <f>IO!$B$5*C239-IO!$B$6*D239</f>
        <v>3980</v>
      </c>
      <c r="G239" s="47">
        <v>238</v>
      </c>
      <c r="H239" s="38" t="s">
        <v>7</v>
      </c>
      <c r="I239" s="38">
        <v>1</v>
      </c>
      <c r="J239" s="39">
        <v>0.39625767267853529</v>
      </c>
      <c r="K239" s="40">
        <f>ROUND(NORMINV(J239,IO!$B$10,IO!$B$11),0)</f>
        <v>102</v>
      </c>
      <c r="L239" s="40">
        <f>MIN(K239,IO!$B$4+IO!$B$8)</f>
        <v>102</v>
      </c>
      <c r="M239" s="40">
        <f>IF(L239-I239&gt;IO!$B$4,Model!L239-Model!I239-IO!$B$4,0)</f>
        <v>1</v>
      </c>
      <c r="N239" s="41">
        <f>IO!$B$5*Model!L239-IO!$B$6*Model!M239</f>
        <v>3980</v>
      </c>
    </row>
    <row r="240" spans="1:14" x14ac:dyDescent="0.35">
      <c r="A240" s="30">
        <v>239</v>
      </c>
      <c r="B240" s="31">
        <v>0</v>
      </c>
      <c r="C240" s="32">
        <f>(IO!$B$4+IO!$B$8)</f>
        <v>102</v>
      </c>
      <c r="D240" s="32">
        <f>IF(B240&gt;IO!$B$8,0,IO!$B$8-Model!B240)</f>
        <v>2</v>
      </c>
      <c r="E240" s="33">
        <f>IO!$B$5*C240-IO!$B$6*D240</f>
        <v>3880</v>
      </c>
      <c r="G240" s="47">
        <v>239</v>
      </c>
      <c r="H240" s="38" t="s">
        <v>8</v>
      </c>
      <c r="I240" s="38">
        <v>0</v>
      </c>
      <c r="J240" s="39">
        <v>0.48084103601805894</v>
      </c>
      <c r="K240" s="40">
        <f>ROUND(NORMINV(J240,IO!$B$10,IO!$B$11),0)</f>
        <v>103</v>
      </c>
      <c r="L240" s="40">
        <f>MIN(K240,IO!$B$4+IO!$B$8)</f>
        <v>102</v>
      </c>
      <c r="M240" s="40">
        <f>IF(L240-I240&gt;IO!$B$4,Model!L240-Model!I240-IO!$B$4,0)</f>
        <v>2</v>
      </c>
      <c r="N240" s="41">
        <f>IO!$B$5*Model!L240-IO!$B$6*Model!M240</f>
        <v>3880</v>
      </c>
    </row>
    <row r="241" spans="1:14" x14ac:dyDescent="0.35">
      <c r="A241" s="30">
        <v>240</v>
      </c>
      <c r="B241" s="31">
        <v>0</v>
      </c>
      <c r="C241" s="32">
        <f>(IO!$B$4+IO!$B$8)</f>
        <v>102</v>
      </c>
      <c r="D241" s="32">
        <f>IF(B241&gt;IO!$B$8,0,IO!$B$8-Model!B241)</f>
        <v>2</v>
      </c>
      <c r="E241" s="33">
        <f>IO!$B$5*C241-IO!$B$6*D241</f>
        <v>3880</v>
      </c>
      <c r="G241" s="47">
        <v>240</v>
      </c>
      <c r="H241" s="38" t="s">
        <v>9</v>
      </c>
      <c r="I241" s="38">
        <v>0</v>
      </c>
      <c r="J241" s="39">
        <v>6.5211528583957956E-2</v>
      </c>
      <c r="K241" s="40">
        <f>ROUND(NORMINV(J241,IO!$B$10,IO!$B$11),0)</f>
        <v>95</v>
      </c>
      <c r="L241" s="40">
        <f>MIN(K241,IO!$B$4+IO!$B$8)</f>
        <v>95</v>
      </c>
      <c r="M241" s="40">
        <f>IF(L241-I241&gt;IO!$B$4,Model!L241-Model!I241-IO!$B$4,0)</f>
        <v>0</v>
      </c>
      <c r="N241" s="41">
        <f>IO!$B$5*Model!L241-IO!$B$6*Model!M241</f>
        <v>3800</v>
      </c>
    </row>
    <row r="242" spans="1:14" x14ac:dyDescent="0.35">
      <c r="A242" s="30">
        <v>241</v>
      </c>
      <c r="B242" s="31">
        <v>5</v>
      </c>
      <c r="C242" s="32">
        <f>(IO!$B$4+IO!$B$8)</f>
        <v>102</v>
      </c>
      <c r="D242" s="32">
        <f>IF(B242&gt;IO!$B$8,0,IO!$B$8-Model!B242)</f>
        <v>0</v>
      </c>
      <c r="E242" s="33">
        <f>IO!$B$5*C242-IO!$B$6*D242</f>
        <v>4080</v>
      </c>
      <c r="G242" s="47">
        <v>241</v>
      </c>
      <c r="H242" s="38" t="s">
        <v>7</v>
      </c>
      <c r="I242" s="38">
        <v>5</v>
      </c>
      <c r="J242" s="39">
        <v>0.26026301789927109</v>
      </c>
      <c r="K242" s="40">
        <f>ROUND(NORMINV(J242,IO!$B$10,IO!$B$11),0)</f>
        <v>100</v>
      </c>
      <c r="L242" s="40">
        <f>MIN(K242,IO!$B$4+IO!$B$8)</f>
        <v>100</v>
      </c>
      <c r="M242" s="40">
        <f>IF(L242-I242&gt;IO!$B$4,Model!L242-Model!I242-IO!$B$4,0)</f>
        <v>0</v>
      </c>
      <c r="N242" s="41">
        <f>IO!$B$5*Model!L242-IO!$B$6*Model!M242</f>
        <v>4000</v>
      </c>
    </row>
    <row r="243" spans="1:14" x14ac:dyDescent="0.35">
      <c r="A243" s="30">
        <v>242</v>
      </c>
      <c r="B243" s="31">
        <v>1</v>
      </c>
      <c r="C243" s="32">
        <f>(IO!$B$4+IO!$B$8)</f>
        <v>102</v>
      </c>
      <c r="D243" s="32">
        <f>IF(B243&gt;IO!$B$8,0,IO!$B$8-Model!B243)</f>
        <v>1</v>
      </c>
      <c r="E243" s="33">
        <f>IO!$B$5*C243-IO!$B$6*D243</f>
        <v>3980</v>
      </c>
      <c r="G243" s="47">
        <v>242</v>
      </c>
      <c r="H243" s="38" t="s">
        <v>8</v>
      </c>
      <c r="I243" s="38">
        <v>1</v>
      </c>
      <c r="J243" s="39">
        <v>0.8906815008132789</v>
      </c>
      <c r="K243" s="40">
        <f>ROUND(NORMINV(J243,IO!$B$10,IO!$B$11),0)</f>
        <v>109</v>
      </c>
      <c r="L243" s="40">
        <f>MIN(K243,IO!$B$4+IO!$B$8)</f>
        <v>102</v>
      </c>
      <c r="M243" s="40">
        <f>IF(L243-I243&gt;IO!$B$4,Model!L243-Model!I243-IO!$B$4,0)</f>
        <v>1</v>
      </c>
      <c r="N243" s="41">
        <f>IO!$B$5*Model!L243-IO!$B$6*Model!M243</f>
        <v>3980</v>
      </c>
    </row>
    <row r="244" spans="1:14" x14ac:dyDescent="0.35">
      <c r="A244" s="30">
        <v>243</v>
      </c>
      <c r="B244" s="31">
        <v>1</v>
      </c>
      <c r="C244" s="32">
        <f>(IO!$B$4+IO!$B$8)</f>
        <v>102</v>
      </c>
      <c r="D244" s="32">
        <f>IF(B244&gt;IO!$B$8,0,IO!$B$8-Model!B244)</f>
        <v>1</v>
      </c>
      <c r="E244" s="33">
        <f>IO!$B$5*C244-IO!$B$6*D244</f>
        <v>3980</v>
      </c>
      <c r="G244" s="47">
        <v>243</v>
      </c>
      <c r="H244" s="38" t="s">
        <v>9</v>
      </c>
      <c r="I244" s="38">
        <v>1</v>
      </c>
      <c r="J244" s="39">
        <v>3.6275228221176792E-2</v>
      </c>
      <c r="K244" s="40">
        <f>ROUND(NORMINV(J244,IO!$B$10,IO!$B$11),0)</f>
        <v>94</v>
      </c>
      <c r="L244" s="40">
        <f>MIN(K244,IO!$B$4+IO!$B$8)</f>
        <v>94</v>
      </c>
      <c r="M244" s="40">
        <f>IF(L244-I244&gt;IO!$B$4,Model!L244-Model!I244-IO!$B$4,0)</f>
        <v>0</v>
      </c>
      <c r="N244" s="41">
        <f>IO!$B$5*Model!L244-IO!$B$6*Model!M244</f>
        <v>3760</v>
      </c>
    </row>
    <row r="245" spans="1:14" x14ac:dyDescent="0.35">
      <c r="A245" s="30">
        <v>244</v>
      </c>
      <c r="B245" s="31">
        <v>4</v>
      </c>
      <c r="C245" s="32">
        <f>(IO!$B$4+IO!$B$8)</f>
        <v>102</v>
      </c>
      <c r="D245" s="32">
        <f>IF(B245&gt;IO!$B$8,0,IO!$B$8-Model!B245)</f>
        <v>0</v>
      </c>
      <c r="E245" s="33">
        <f>IO!$B$5*C245-IO!$B$6*D245</f>
        <v>4080</v>
      </c>
      <c r="G245" s="47">
        <v>244</v>
      </c>
      <c r="H245" s="38" t="s">
        <v>7</v>
      </c>
      <c r="I245" s="38">
        <v>4</v>
      </c>
      <c r="J245" s="39">
        <v>0.46021736887942633</v>
      </c>
      <c r="K245" s="40">
        <f>ROUND(NORMINV(J245,IO!$B$10,IO!$B$11),0)</f>
        <v>103</v>
      </c>
      <c r="L245" s="40">
        <f>MIN(K245,IO!$B$4+IO!$B$8)</f>
        <v>102</v>
      </c>
      <c r="M245" s="40">
        <f>IF(L245-I245&gt;IO!$B$4,Model!L245-Model!I245-IO!$B$4,0)</f>
        <v>0</v>
      </c>
      <c r="N245" s="41">
        <f>IO!$B$5*Model!L245-IO!$B$6*Model!M245</f>
        <v>4080</v>
      </c>
    </row>
    <row r="246" spans="1:14" x14ac:dyDescent="0.35">
      <c r="A246" s="30">
        <v>245</v>
      </c>
      <c r="B246" s="31">
        <v>1</v>
      </c>
      <c r="C246" s="32">
        <f>(IO!$B$4+IO!$B$8)</f>
        <v>102</v>
      </c>
      <c r="D246" s="32">
        <f>IF(B246&gt;IO!$B$8,0,IO!$B$8-Model!B246)</f>
        <v>1</v>
      </c>
      <c r="E246" s="33">
        <f>IO!$B$5*C246-IO!$B$6*D246</f>
        <v>3980</v>
      </c>
      <c r="G246" s="47">
        <v>245</v>
      </c>
      <c r="H246" s="38" t="s">
        <v>8</v>
      </c>
      <c r="I246" s="38">
        <v>1</v>
      </c>
      <c r="J246" s="39">
        <v>0.31824088835592246</v>
      </c>
      <c r="K246" s="40">
        <f>ROUND(NORMINV(J246,IO!$B$10,IO!$B$11),0)</f>
        <v>101</v>
      </c>
      <c r="L246" s="40">
        <f>MIN(K246,IO!$B$4+IO!$B$8)</f>
        <v>101</v>
      </c>
      <c r="M246" s="40">
        <f>IF(L246-I246&gt;IO!$B$4,Model!L246-Model!I246-IO!$B$4,0)</f>
        <v>0</v>
      </c>
      <c r="N246" s="41">
        <f>IO!$B$5*Model!L246-IO!$B$6*Model!M246</f>
        <v>4040</v>
      </c>
    </row>
    <row r="247" spans="1:14" x14ac:dyDescent="0.35">
      <c r="A247" s="30">
        <v>246</v>
      </c>
      <c r="B247" s="31">
        <v>0</v>
      </c>
      <c r="C247" s="32">
        <f>(IO!$B$4+IO!$B$8)</f>
        <v>102</v>
      </c>
      <c r="D247" s="32">
        <f>IF(B247&gt;IO!$B$8,0,IO!$B$8-Model!B247)</f>
        <v>2</v>
      </c>
      <c r="E247" s="33">
        <f>IO!$B$5*C247-IO!$B$6*D247</f>
        <v>3880</v>
      </c>
      <c r="G247" s="47">
        <v>246</v>
      </c>
      <c r="H247" s="38" t="s">
        <v>9</v>
      </c>
      <c r="I247" s="38">
        <v>0</v>
      </c>
      <c r="J247" s="39">
        <v>0.81756236315073583</v>
      </c>
      <c r="K247" s="40">
        <f>ROUND(NORMINV(J247,IO!$B$10,IO!$B$11),0)</f>
        <v>108</v>
      </c>
      <c r="L247" s="40">
        <f>MIN(K247,IO!$B$4+IO!$B$8)</f>
        <v>102</v>
      </c>
      <c r="M247" s="40">
        <f>IF(L247-I247&gt;IO!$B$4,Model!L247-Model!I247-IO!$B$4,0)</f>
        <v>2</v>
      </c>
      <c r="N247" s="41">
        <f>IO!$B$5*Model!L247-IO!$B$6*Model!M247</f>
        <v>3880</v>
      </c>
    </row>
    <row r="248" spans="1:14" x14ac:dyDescent="0.35">
      <c r="A248" s="30">
        <v>247</v>
      </c>
      <c r="B248" s="31">
        <v>5</v>
      </c>
      <c r="C248" s="32">
        <f>(IO!$B$4+IO!$B$8)</f>
        <v>102</v>
      </c>
      <c r="D248" s="32">
        <f>IF(B248&gt;IO!$B$8,0,IO!$B$8-Model!B248)</f>
        <v>0</v>
      </c>
      <c r="E248" s="33">
        <f>IO!$B$5*C248-IO!$B$6*D248</f>
        <v>4080</v>
      </c>
      <c r="G248" s="47">
        <v>247</v>
      </c>
      <c r="H248" s="38" t="s">
        <v>7</v>
      </c>
      <c r="I248" s="38">
        <v>5</v>
      </c>
      <c r="J248" s="39">
        <v>0.37558976761069973</v>
      </c>
      <c r="K248" s="40">
        <f>ROUND(NORMINV(J248,IO!$B$10,IO!$B$11),0)</f>
        <v>101</v>
      </c>
      <c r="L248" s="40">
        <f>MIN(K248,IO!$B$4+IO!$B$8)</f>
        <v>101</v>
      </c>
      <c r="M248" s="40">
        <f>IF(L248-I248&gt;IO!$B$4,Model!L248-Model!I248-IO!$B$4,0)</f>
        <v>0</v>
      </c>
      <c r="N248" s="41">
        <f>IO!$B$5*Model!L248-IO!$B$6*Model!M248</f>
        <v>4040</v>
      </c>
    </row>
    <row r="249" spans="1:14" x14ac:dyDescent="0.35">
      <c r="A249" s="30">
        <v>248</v>
      </c>
      <c r="B249" s="31">
        <v>0</v>
      </c>
      <c r="C249" s="32">
        <f>(IO!$B$4+IO!$B$8)</f>
        <v>102</v>
      </c>
      <c r="D249" s="32">
        <f>IF(B249&gt;IO!$B$8,0,IO!$B$8-Model!B249)</f>
        <v>2</v>
      </c>
      <c r="E249" s="33">
        <f>IO!$B$5*C249-IO!$B$6*D249</f>
        <v>3880</v>
      </c>
      <c r="G249" s="47">
        <v>248</v>
      </c>
      <c r="H249" s="38" t="s">
        <v>8</v>
      </c>
      <c r="I249" s="38">
        <v>0</v>
      </c>
      <c r="J249" s="39">
        <v>0.49197327338205254</v>
      </c>
      <c r="K249" s="40">
        <f>ROUND(NORMINV(J249,IO!$B$10,IO!$B$11),0)</f>
        <v>103</v>
      </c>
      <c r="L249" s="40">
        <f>MIN(K249,IO!$B$4+IO!$B$8)</f>
        <v>102</v>
      </c>
      <c r="M249" s="40">
        <f>IF(L249-I249&gt;IO!$B$4,Model!L249-Model!I249-IO!$B$4,0)</f>
        <v>2</v>
      </c>
      <c r="N249" s="41">
        <f>IO!$B$5*Model!L249-IO!$B$6*Model!M249</f>
        <v>3880</v>
      </c>
    </row>
    <row r="250" spans="1:14" x14ac:dyDescent="0.35">
      <c r="A250" s="30">
        <v>249</v>
      </c>
      <c r="B250" s="31">
        <v>0</v>
      </c>
      <c r="C250" s="32">
        <f>(IO!$B$4+IO!$B$8)</f>
        <v>102</v>
      </c>
      <c r="D250" s="32">
        <f>IF(B250&gt;IO!$B$8,0,IO!$B$8-Model!B250)</f>
        <v>2</v>
      </c>
      <c r="E250" s="33">
        <f>IO!$B$5*C250-IO!$B$6*D250</f>
        <v>3880</v>
      </c>
      <c r="G250" s="47">
        <v>249</v>
      </c>
      <c r="H250" s="38" t="s">
        <v>9</v>
      </c>
      <c r="I250" s="38">
        <v>0</v>
      </c>
      <c r="J250" s="39">
        <v>0.81300152823719973</v>
      </c>
      <c r="K250" s="40">
        <f>ROUND(NORMINV(J250,IO!$B$10,IO!$B$11),0)</f>
        <v>107</v>
      </c>
      <c r="L250" s="40">
        <f>MIN(K250,IO!$B$4+IO!$B$8)</f>
        <v>102</v>
      </c>
      <c r="M250" s="40">
        <f>IF(L250-I250&gt;IO!$B$4,Model!L250-Model!I250-IO!$B$4,0)</f>
        <v>2</v>
      </c>
      <c r="N250" s="41">
        <f>IO!$B$5*Model!L250-IO!$B$6*Model!M250</f>
        <v>3880</v>
      </c>
    </row>
    <row r="251" spans="1:14" x14ac:dyDescent="0.35">
      <c r="A251" s="30">
        <v>250</v>
      </c>
      <c r="B251" s="31">
        <v>6</v>
      </c>
      <c r="C251" s="32">
        <f>(IO!$B$4+IO!$B$8)</f>
        <v>102</v>
      </c>
      <c r="D251" s="32">
        <f>IF(B251&gt;IO!$B$8,0,IO!$B$8-Model!B251)</f>
        <v>0</v>
      </c>
      <c r="E251" s="33">
        <f>IO!$B$5*C251-IO!$B$6*D251</f>
        <v>4080</v>
      </c>
      <c r="G251" s="47">
        <v>250</v>
      </c>
      <c r="H251" s="38" t="s">
        <v>7</v>
      </c>
      <c r="I251" s="38">
        <v>6</v>
      </c>
      <c r="J251" s="39">
        <v>0.1509192835424471</v>
      </c>
      <c r="K251" s="40">
        <f>ROUND(NORMINV(J251,IO!$B$10,IO!$B$11),0)</f>
        <v>98</v>
      </c>
      <c r="L251" s="40">
        <f>MIN(K251,IO!$B$4+IO!$B$8)</f>
        <v>98</v>
      </c>
      <c r="M251" s="40">
        <f>IF(L251-I251&gt;IO!$B$4,Model!L251-Model!I251-IO!$B$4,0)</f>
        <v>0</v>
      </c>
      <c r="N251" s="41">
        <f>IO!$B$5*Model!L251-IO!$B$6*Model!M251</f>
        <v>3920</v>
      </c>
    </row>
    <row r="252" spans="1:14" x14ac:dyDescent="0.35">
      <c r="A252" s="30">
        <v>251</v>
      </c>
      <c r="B252" s="31">
        <v>0</v>
      </c>
      <c r="C252" s="32">
        <f>(IO!$B$4+IO!$B$8)</f>
        <v>102</v>
      </c>
      <c r="D252" s="32">
        <f>IF(B252&gt;IO!$B$8,0,IO!$B$8-Model!B252)</f>
        <v>2</v>
      </c>
      <c r="E252" s="33">
        <f>IO!$B$5*C252-IO!$B$6*D252</f>
        <v>3880</v>
      </c>
      <c r="G252" s="47">
        <v>251</v>
      </c>
      <c r="H252" s="38" t="s">
        <v>8</v>
      </c>
      <c r="I252" s="38">
        <v>0</v>
      </c>
      <c r="J252" s="39">
        <v>0.72359104515989459</v>
      </c>
      <c r="K252" s="40">
        <f>ROUND(NORMINV(J252,IO!$B$10,IO!$B$11),0)</f>
        <v>106</v>
      </c>
      <c r="L252" s="40">
        <f>MIN(K252,IO!$B$4+IO!$B$8)</f>
        <v>102</v>
      </c>
      <c r="M252" s="40">
        <f>IF(L252-I252&gt;IO!$B$4,Model!L252-Model!I252-IO!$B$4,0)</f>
        <v>2</v>
      </c>
      <c r="N252" s="41">
        <f>IO!$B$5*Model!L252-IO!$B$6*Model!M252</f>
        <v>3880</v>
      </c>
    </row>
    <row r="253" spans="1:14" x14ac:dyDescent="0.35">
      <c r="A253" s="30">
        <v>252</v>
      </c>
      <c r="B253" s="31">
        <v>2</v>
      </c>
      <c r="C253" s="32">
        <f>(IO!$B$4+IO!$B$8)</f>
        <v>102</v>
      </c>
      <c r="D253" s="32">
        <f>IF(B253&gt;IO!$B$8,0,IO!$B$8-Model!B253)</f>
        <v>0</v>
      </c>
      <c r="E253" s="33">
        <f>IO!$B$5*C253-IO!$B$6*D253</f>
        <v>4080</v>
      </c>
      <c r="G253" s="47">
        <v>252</v>
      </c>
      <c r="H253" s="38" t="s">
        <v>9</v>
      </c>
      <c r="I253" s="38">
        <v>2</v>
      </c>
      <c r="J253" s="39">
        <v>0.42331890600575039</v>
      </c>
      <c r="K253" s="40">
        <f>ROUND(NORMINV(J253,IO!$B$10,IO!$B$11),0)</f>
        <v>102</v>
      </c>
      <c r="L253" s="40">
        <f>MIN(K253,IO!$B$4+IO!$B$8)</f>
        <v>102</v>
      </c>
      <c r="M253" s="40">
        <f>IF(L253-I253&gt;IO!$B$4,Model!L253-Model!I253-IO!$B$4,0)</f>
        <v>0</v>
      </c>
      <c r="N253" s="41">
        <f>IO!$B$5*Model!L253-IO!$B$6*Model!M253</f>
        <v>4080</v>
      </c>
    </row>
    <row r="254" spans="1:14" x14ac:dyDescent="0.35">
      <c r="A254" s="30">
        <v>253</v>
      </c>
      <c r="B254" s="31">
        <v>1</v>
      </c>
      <c r="C254" s="32">
        <f>(IO!$B$4+IO!$B$8)</f>
        <v>102</v>
      </c>
      <c r="D254" s="32">
        <f>IF(B254&gt;IO!$B$8,0,IO!$B$8-Model!B254)</f>
        <v>1</v>
      </c>
      <c r="E254" s="33">
        <f>IO!$B$5*C254-IO!$B$6*D254</f>
        <v>3980</v>
      </c>
      <c r="G254" s="47">
        <v>253</v>
      </c>
      <c r="H254" s="38" t="s">
        <v>7</v>
      </c>
      <c r="I254" s="38">
        <v>1</v>
      </c>
      <c r="J254" s="39">
        <v>0.88188373043311774</v>
      </c>
      <c r="K254" s="40">
        <f>ROUND(NORMINV(J254,IO!$B$10,IO!$B$11),0)</f>
        <v>109</v>
      </c>
      <c r="L254" s="40">
        <f>MIN(K254,IO!$B$4+IO!$B$8)</f>
        <v>102</v>
      </c>
      <c r="M254" s="40">
        <f>IF(L254-I254&gt;IO!$B$4,Model!L254-Model!I254-IO!$B$4,0)</f>
        <v>1</v>
      </c>
      <c r="N254" s="41">
        <f>IO!$B$5*Model!L254-IO!$B$6*Model!M254</f>
        <v>3980</v>
      </c>
    </row>
    <row r="255" spans="1:14" x14ac:dyDescent="0.35">
      <c r="A255" s="30">
        <v>254</v>
      </c>
      <c r="B255" s="31">
        <v>5</v>
      </c>
      <c r="C255" s="32">
        <f>(IO!$B$4+IO!$B$8)</f>
        <v>102</v>
      </c>
      <c r="D255" s="32">
        <f>IF(B255&gt;IO!$B$8,0,IO!$B$8-Model!B255)</f>
        <v>0</v>
      </c>
      <c r="E255" s="33">
        <f>IO!$B$5*C255-IO!$B$6*D255</f>
        <v>4080</v>
      </c>
      <c r="G255" s="47">
        <v>254</v>
      </c>
      <c r="H255" s="38" t="s">
        <v>8</v>
      </c>
      <c r="I255" s="38">
        <v>5</v>
      </c>
      <c r="J255" s="39">
        <v>0.2825917464843346</v>
      </c>
      <c r="K255" s="40">
        <f>ROUND(NORMINV(J255,IO!$B$10,IO!$B$11),0)</f>
        <v>100</v>
      </c>
      <c r="L255" s="40">
        <f>MIN(K255,IO!$B$4+IO!$B$8)</f>
        <v>100</v>
      </c>
      <c r="M255" s="40">
        <f>IF(L255-I255&gt;IO!$B$4,Model!L255-Model!I255-IO!$B$4,0)</f>
        <v>0</v>
      </c>
      <c r="N255" s="41">
        <f>IO!$B$5*Model!L255-IO!$B$6*Model!M255</f>
        <v>4000</v>
      </c>
    </row>
    <row r="256" spans="1:14" x14ac:dyDescent="0.35">
      <c r="A256" s="30">
        <v>255</v>
      </c>
      <c r="B256" s="31">
        <v>0</v>
      </c>
      <c r="C256" s="32">
        <f>(IO!$B$4+IO!$B$8)</f>
        <v>102</v>
      </c>
      <c r="D256" s="32">
        <f>IF(B256&gt;IO!$B$8,0,IO!$B$8-Model!B256)</f>
        <v>2</v>
      </c>
      <c r="E256" s="33">
        <f>IO!$B$5*C256-IO!$B$6*D256</f>
        <v>3880</v>
      </c>
      <c r="G256" s="47">
        <v>255</v>
      </c>
      <c r="H256" s="38" t="s">
        <v>9</v>
      </c>
      <c r="I256" s="38">
        <v>0</v>
      </c>
      <c r="J256" s="39">
        <v>0.19969461068734051</v>
      </c>
      <c r="K256" s="40">
        <f>ROUND(NORMINV(J256,IO!$B$10,IO!$B$11),0)</f>
        <v>99</v>
      </c>
      <c r="L256" s="40">
        <f>MIN(K256,IO!$B$4+IO!$B$8)</f>
        <v>99</v>
      </c>
      <c r="M256" s="40">
        <f>IF(L256-I256&gt;IO!$B$4,Model!L256-Model!I256-IO!$B$4,0)</f>
        <v>0</v>
      </c>
      <c r="N256" s="41">
        <f>IO!$B$5*Model!L256-IO!$B$6*Model!M256</f>
        <v>3960</v>
      </c>
    </row>
    <row r="257" spans="1:14" x14ac:dyDescent="0.35">
      <c r="A257" s="30">
        <v>256</v>
      </c>
      <c r="B257" s="31">
        <v>2</v>
      </c>
      <c r="C257" s="32">
        <f>(IO!$B$4+IO!$B$8)</f>
        <v>102</v>
      </c>
      <c r="D257" s="32">
        <f>IF(B257&gt;IO!$B$8,0,IO!$B$8-Model!B257)</f>
        <v>0</v>
      </c>
      <c r="E257" s="33">
        <f>IO!$B$5*C257-IO!$B$6*D257</f>
        <v>4080</v>
      </c>
      <c r="G257" s="47">
        <v>256</v>
      </c>
      <c r="H257" s="38" t="s">
        <v>7</v>
      </c>
      <c r="I257" s="38">
        <v>2</v>
      </c>
      <c r="J257" s="39">
        <v>0.63633755654437629</v>
      </c>
      <c r="K257" s="40">
        <f>ROUND(NORMINV(J257,IO!$B$10,IO!$B$11),0)</f>
        <v>105</v>
      </c>
      <c r="L257" s="40">
        <f>MIN(K257,IO!$B$4+IO!$B$8)</f>
        <v>102</v>
      </c>
      <c r="M257" s="40">
        <f>IF(L257-I257&gt;IO!$B$4,Model!L257-Model!I257-IO!$B$4,0)</f>
        <v>0</v>
      </c>
      <c r="N257" s="41">
        <f>IO!$B$5*Model!L257-IO!$B$6*Model!M257</f>
        <v>4080</v>
      </c>
    </row>
    <row r="258" spans="1:14" x14ac:dyDescent="0.35">
      <c r="A258" s="30">
        <v>257</v>
      </c>
      <c r="B258" s="31">
        <v>2</v>
      </c>
      <c r="C258" s="32">
        <f>(IO!$B$4+IO!$B$8)</f>
        <v>102</v>
      </c>
      <c r="D258" s="32">
        <f>IF(B258&gt;IO!$B$8,0,IO!$B$8-Model!B258)</f>
        <v>0</v>
      </c>
      <c r="E258" s="33">
        <f>IO!$B$5*C258-IO!$B$6*D258</f>
        <v>4080</v>
      </c>
      <c r="G258" s="47">
        <v>257</v>
      </c>
      <c r="H258" s="38" t="s">
        <v>8</v>
      </c>
      <c r="I258" s="38">
        <v>2</v>
      </c>
      <c r="J258" s="39">
        <v>0.77116785153472844</v>
      </c>
      <c r="K258" s="40">
        <f>ROUND(NORMINV(J258,IO!$B$10,IO!$B$11),0)</f>
        <v>107</v>
      </c>
      <c r="L258" s="40">
        <f>MIN(K258,IO!$B$4+IO!$B$8)</f>
        <v>102</v>
      </c>
      <c r="M258" s="40">
        <f>IF(L258-I258&gt;IO!$B$4,Model!L258-Model!I258-IO!$B$4,0)</f>
        <v>0</v>
      </c>
      <c r="N258" s="41">
        <f>IO!$B$5*Model!L258-IO!$B$6*Model!M258</f>
        <v>4080</v>
      </c>
    </row>
    <row r="259" spans="1:14" x14ac:dyDescent="0.35">
      <c r="A259" s="30">
        <v>258</v>
      </c>
      <c r="B259" s="31">
        <v>0</v>
      </c>
      <c r="C259" s="32">
        <f>(IO!$B$4+IO!$B$8)</f>
        <v>102</v>
      </c>
      <c r="D259" s="32">
        <f>IF(B259&gt;IO!$B$8,0,IO!$B$8-Model!B259)</f>
        <v>2</v>
      </c>
      <c r="E259" s="33">
        <f>IO!$B$5*C259-IO!$B$6*D259</f>
        <v>3880</v>
      </c>
      <c r="G259" s="47">
        <v>258</v>
      </c>
      <c r="H259" s="38" t="s">
        <v>9</v>
      </c>
      <c r="I259" s="38">
        <v>0</v>
      </c>
      <c r="J259" s="39">
        <v>0.45976894184485051</v>
      </c>
      <c r="K259" s="40">
        <f>ROUND(NORMINV(J259,IO!$B$10,IO!$B$11),0)</f>
        <v>102</v>
      </c>
      <c r="L259" s="40">
        <f>MIN(K259,IO!$B$4+IO!$B$8)</f>
        <v>102</v>
      </c>
      <c r="M259" s="40">
        <f>IF(L259-I259&gt;IO!$B$4,Model!L259-Model!I259-IO!$B$4,0)</f>
        <v>2</v>
      </c>
      <c r="N259" s="41">
        <f>IO!$B$5*Model!L259-IO!$B$6*Model!M259</f>
        <v>3880</v>
      </c>
    </row>
    <row r="260" spans="1:14" x14ac:dyDescent="0.35">
      <c r="A260" s="30">
        <v>259</v>
      </c>
      <c r="B260" s="31">
        <v>3</v>
      </c>
      <c r="C260" s="32">
        <f>(IO!$B$4+IO!$B$8)</f>
        <v>102</v>
      </c>
      <c r="D260" s="32">
        <f>IF(B260&gt;IO!$B$8,0,IO!$B$8-Model!B260)</f>
        <v>0</v>
      </c>
      <c r="E260" s="33">
        <f>IO!$B$5*C260-IO!$B$6*D260</f>
        <v>4080</v>
      </c>
      <c r="G260" s="47">
        <v>259</v>
      </c>
      <c r="H260" s="38" t="s">
        <v>7</v>
      </c>
      <c r="I260" s="38">
        <v>3</v>
      </c>
      <c r="J260" s="39">
        <v>0.90393565611799753</v>
      </c>
      <c r="K260" s="40">
        <f>ROUND(NORMINV(J260,IO!$B$10,IO!$B$11),0)</f>
        <v>110</v>
      </c>
      <c r="L260" s="40">
        <f>MIN(K260,IO!$B$4+IO!$B$8)</f>
        <v>102</v>
      </c>
      <c r="M260" s="40">
        <f>IF(L260-I260&gt;IO!$B$4,Model!L260-Model!I260-IO!$B$4,0)</f>
        <v>0</v>
      </c>
      <c r="N260" s="41">
        <f>IO!$B$5*Model!L260-IO!$B$6*Model!M260</f>
        <v>4080</v>
      </c>
    </row>
    <row r="261" spans="1:14" x14ac:dyDescent="0.35">
      <c r="A261" s="30">
        <v>260</v>
      </c>
      <c r="B261" s="31">
        <v>4</v>
      </c>
      <c r="C261" s="32">
        <f>(IO!$B$4+IO!$B$8)</f>
        <v>102</v>
      </c>
      <c r="D261" s="32">
        <f>IF(B261&gt;IO!$B$8,0,IO!$B$8-Model!B261)</f>
        <v>0</v>
      </c>
      <c r="E261" s="33">
        <f>IO!$B$5*C261-IO!$B$6*D261</f>
        <v>4080</v>
      </c>
      <c r="G261" s="47">
        <v>260</v>
      </c>
      <c r="H261" s="38" t="s">
        <v>8</v>
      </c>
      <c r="I261" s="38">
        <v>4</v>
      </c>
      <c r="J261" s="39">
        <v>0.69224763802999167</v>
      </c>
      <c r="K261" s="40">
        <f>ROUND(NORMINV(J261,IO!$B$10,IO!$B$11),0)</f>
        <v>106</v>
      </c>
      <c r="L261" s="40">
        <f>MIN(K261,IO!$B$4+IO!$B$8)</f>
        <v>102</v>
      </c>
      <c r="M261" s="40">
        <f>IF(L261-I261&gt;IO!$B$4,Model!L261-Model!I261-IO!$B$4,0)</f>
        <v>0</v>
      </c>
      <c r="N261" s="41">
        <f>IO!$B$5*Model!L261-IO!$B$6*Model!M261</f>
        <v>4080</v>
      </c>
    </row>
    <row r="262" spans="1:14" x14ac:dyDescent="0.35">
      <c r="A262" s="30">
        <v>261</v>
      </c>
      <c r="B262" s="31">
        <v>0</v>
      </c>
      <c r="C262" s="32">
        <f>(IO!$B$4+IO!$B$8)</f>
        <v>102</v>
      </c>
      <c r="D262" s="32">
        <f>IF(B262&gt;IO!$B$8,0,IO!$B$8-Model!B262)</f>
        <v>2</v>
      </c>
      <c r="E262" s="33">
        <f>IO!$B$5*C262-IO!$B$6*D262</f>
        <v>3880</v>
      </c>
      <c r="G262" s="47">
        <v>261</v>
      </c>
      <c r="H262" s="38" t="s">
        <v>9</v>
      </c>
      <c r="I262" s="38">
        <v>0</v>
      </c>
      <c r="J262" s="39">
        <v>0.24639868893754047</v>
      </c>
      <c r="K262" s="40">
        <f>ROUND(NORMINV(J262,IO!$B$10,IO!$B$11),0)</f>
        <v>100</v>
      </c>
      <c r="L262" s="40">
        <f>MIN(K262,IO!$B$4+IO!$B$8)</f>
        <v>100</v>
      </c>
      <c r="M262" s="40">
        <f>IF(L262-I262&gt;IO!$B$4,Model!L262-Model!I262-IO!$B$4,0)</f>
        <v>0</v>
      </c>
      <c r="N262" s="41">
        <f>IO!$B$5*Model!L262-IO!$B$6*Model!M262</f>
        <v>4000</v>
      </c>
    </row>
    <row r="263" spans="1:14" x14ac:dyDescent="0.35">
      <c r="A263" s="30">
        <v>262</v>
      </c>
      <c r="B263" s="31">
        <v>3</v>
      </c>
      <c r="C263" s="32">
        <f>(IO!$B$4+IO!$B$8)</f>
        <v>102</v>
      </c>
      <c r="D263" s="32">
        <f>IF(B263&gt;IO!$B$8,0,IO!$B$8-Model!B263)</f>
        <v>0</v>
      </c>
      <c r="E263" s="33">
        <f>IO!$B$5*C263-IO!$B$6*D263</f>
        <v>4080</v>
      </c>
      <c r="G263" s="47">
        <v>262</v>
      </c>
      <c r="H263" s="38" t="s">
        <v>7</v>
      </c>
      <c r="I263" s="38">
        <v>3</v>
      </c>
      <c r="J263" s="39">
        <v>0.98449765127565814</v>
      </c>
      <c r="K263" s="40">
        <f>ROUND(NORMINV(J263,IO!$B$10,IO!$B$11),0)</f>
        <v>114</v>
      </c>
      <c r="L263" s="40">
        <f>MIN(K263,IO!$B$4+IO!$B$8)</f>
        <v>102</v>
      </c>
      <c r="M263" s="40">
        <f>IF(L263-I263&gt;IO!$B$4,Model!L263-Model!I263-IO!$B$4,0)</f>
        <v>0</v>
      </c>
      <c r="N263" s="41">
        <f>IO!$B$5*Model!L263-IO!$B$6*Model!M263</f>
        <v>4080</v>
      </c>
    </row>
    <row r="264" spans="1:14" x14ac:dyDescent="0.35">
      <c r="A264" s="30">
        <v>263</v>
      </c>
      <c r="B264" s="31">
        <v>3</v>
      </c>
      <c r="C264" s="32">
        <f>(IO!$B$4+IO!$B$8)</f>
        <v>102</v>
      </c>
      <c r="D264" s="32">
        <f>IF(B264&gt;IO!$B$8,0,IO!$B$8-Model!B264)</f>
        <v>0</v>
      </c>
      <c r="E264" s="33">
        <f>IO!$B$5*C264-IO!$B$6*D264</f>
        <v>4080</v>
      </c>
      <c r="G264" s="47">
        <v>263</v>
      </c>
      <c r="H264" s="38" t="s">
        <v>8</v>
      </c>
      <c r="I264" s="38">
        <v>3</v>
      </c>
      <c r="J264" s="39">
        <v>0.87993861770053439</v>
      </c>
      <c r="K264" s="40">
        <f>ROUND(NORMINV(J264,IO!$B$10,IO!$B$11),0)</f>
        <v>109</v>
      </c>
      <c r="L264" s="40">
        <f>MIN(K264,IO!$B$4+IO!$B$8)</f>
        <v>102</v>
      </c>
      <c r="M264" s="40">
        <f>IF(L264-I264&gt;IO!$B$4,Model!L264-Model!I264-IO!$B$4,0)</f>
        <v>0</v>
      </c>
      <c r="N264" s="41">
        <f>IO!$B$5*Model!L264-IO!$B$6*Model!M264</f>
        <v>4080</v>
      </c>
    </row>
    <row r="265" spans="1:14" x14ac:dyDescent="0.35">
      <c r="A265" s="30">
        <v>264</v>
      </c>
      <c r="B265" s="31">
        <v>1</v>
      </c>
      <c r="C265" s="32">
        <f>(IO!$B$4+IO!$B$8)</f>
        <v>102</v>
      </c>
      <c r="D265" s="32">
        <f>IF(B265&gt;IO!$B$8,0,IO!$B$8-Model!B265)</f>
        <v>1</v>
      </c>
      <c r="E265" s="33">
        <f>IO!$B$5*C265-IO!$B$6*D265</f>
        <v>3980</v>
      </c>
      <c r="G265" s="47">
        <v>264</v>
      </c>
      <c r="H265" s="38" t="s">
        <v>9</v>
      </c>
      <c r="I265" s="38">
        <v>1</v>
      </c>
      <c r="J265" s="39">
        <v>4.41307038870693E-2</v>
      </c>
      <c r="K265" s="40">
        <f>ROUND(NORMINV(J265,IO!$B$10,IO!$B$11),0)</f>
        <v>94</v>
      </c>
      <c r="L265" s="40">
        <f>MIN(K265,IO!$B$4+IO!$B$8)</f>
        <v>94</v>
      </c>
      <c r="M265" s="40">
        <f>IF(L265-I265&gt;IO!$B$4,Model!L265-Model!I265-IO!$B$4,0)</f>
        <v>0</v>
      </c>
      <c r="N265" s="41">
        <f>IO!$B$5*Model!L265-IO!$B$6*Model!M265</f>
        <v>3760</v>
      </c>
    </row>
    <row r="266" spans="1:14" x14ac:dyDescent="0.35">
      <c r="A266" s="30">
        <v>265</v>
      </c>
      <c r="B266" s="31">
        <v>1</v>
      </c>
      <c r="C266" s="32">
        <f>(IO!$B$4+IO!$B$8)</f>
        <v>102</v>
      </c>
      <c r="D266" s="32">
        <f>IF(B266&gt;IO!$B$8,0,IO!$B$8-Model!B266)</f>
        <v>1</v>
      </c>
      <c r="E266" s="33">
        <f>IO!$B$5*C266-IO!$B$6*D266</f>
        <v>3980</v>
      </c>
      <c r="G266" s="47">
        <v>265</v>
      </c>
      <c r="H266" s="38" t="s">
        <v>7</v>
      </c>
      <c r="I266" s="38">
        <v>1</v>
      </c>
      <c r="J266" s="39">
        <v>0.14342418773034971</v>
      </c>
      <c r="K266" s="40">
        <f>ROUND(NORMINV(J266,IO!$B$10,IO!$B$11),0)</f>
        <v>98</v>
      </c>
      <c r="L266" s="40">
        <f>MIN(K266,IO!$B$4+IO!$B$8)</f>
        <v>98</v>
      </c>
      <c r="M266" s="40">
        <f>IF(L266-I266&gt;IO!$B$4,Model!L266-Model!I266-IO!$B$4,0)</f>
        <v>0</v>
      </c>
      <c r="N266" s="41">
        <f>IO!$B$5*Model!L266-IO!$B$6*Model!M266</f>
        <v>3920</v>
      </c>
    </row>
    <row r="267" spans="1:14" x14ac:dyDescent="0.35">
      <c r="A267" s="30">
        <v>266</v>
      </c>
      <c r="B267" s="31">
        <v>1</v>
      </c>
      <c r="C267" s="32">
        <f>(IO!$B$4+IO!$B$8)</f>
        <v>102</v>
      </c>
      <c r="D267" s="32">
        <f>IF(B267&gt;IO!$B$8,0,IO!$B$8-Model!B267)</f>
        <v>1</v>
      </c>
      <c r="E267" s="33">
        <f>IO!$B$5*C267-IO!$B$6*D267</f>
        <v>3980</v>
      </c>
      <c r="G267" s="47">
        <v>266</v>
      </c>
      <c r="H267" s="38" t="s">
        <v>8</v>
      </c>
      <c r="I267" s="38">
        <v>1</v>
      </c>
      <c r="J267" s="39">
        <v>0.76910411165137249</v>
      </c>
      <c r="K267" s="40">
        <f>ROUND(NORMINV(J267,IO!$B$10,IO!$B$11),0)</f>
        <v>107</v>
      </c>
      <c r="L267" s="40">
        <f>MIN(K267,IO!$B$4+IO!$B$8)</f>
        <v>102</v>
      </c>
      <c r="M267" s="40">
        <f>IF(L267-I267&gt;IO!$B$4,Model!L267-Model!I267-IO!$B$4,0)</f>
        <v>1</v>
      </c>
      <c r="N267" s="41">
        <f>IO!$B$5*Model!L267-IO!$B$6*Model!M267</f>
        <v>3980</v>
      </c>
    </row>
    <row r="268" spans="1:14" x14ac:dyDescent="0.35">
      <c r="A268" s="30">
        <v>267</v>
      </c>
      <c r="B268" s="31">
        <v>1</v>
      </c>
      <c r="C268" s="32">
        <f>(IO!$B$4+IO!$B$8)</f>
        <v>102</v>
      </c>
      <c r="D268" s="32">
        <f>IF(B268&gt;IO!$B$8,0,IO!$B$8-Model!B268)</f>
        <v>1</v>
      </c>
      <c r="E268" s="33">
        <f>IO!$B$5*C268-IO!$B$6*D268</f>
        <v>3980</v>
      </c>
      <c r="G268" s="47">
        <v>267</v>
      </c>
      <c r="H268" s="38" t="s">
        <v>9</v>
      </c>
      <c r="I268" s="38">
        <v>1</v>
      </c>
      <c r="J268" s="39">
        <v>0.27096936959585483</v>
      </c>
      <c r="K268" s="40">
        <f>ROUND(NORMINV(J268,IO!$B$10,IO!$B$11),0)</f>
        <v>100</v>
      </c>
      <c r="L268" s="40">
        <f>MIN(K268,IO!$B$4+IO!$B$8)</f>
        <v>100</v>
      </c>
      <c r="M268" s="40">
        <f>IF(L268-I268&gt;IO!$B$4,Model!L268-Model!I268-IO!$B$4,0)</f>
        <v>0</v>
      </c>
      <c r="N268" s="41">
        <f>IO!$B$5*Model!L268-IO!$B$6*Model!M268</f>
        <v>4000</v>
      </c>
    </row>
    <row r="269" spans="1:14" x14ac:dyDescent="0.35">
      <c r="A269" s="30">
        <v>268</v>
      </c>
      <c r="B269" s="31">
        <v>2</v>
      </c>
      <c r="C269" s="32">
        <f>(IO!$B$4+IO!$B$8)</f>
        <v>102</v>
      </c>
      <c r="D269" s="32">
        <f>IF(B269&gt;IO!$B$8,0,IO!$B$8-Model!B269)</f>
        <v>0</v>
      </c>
      <c r="E269" s="33">
        <f>IO!$B$5*C269-IO!$B$6*D269</f>
        <v>4080</v>
      </c>
      <c r="G269" s="47">
        <v>268</v>
      </c>
      <c r="H269" s="38" t="s">
        <v>7</v>
      </c>
      <c r="I269" s="38">
        <v>2</v>
      </c>
      <c r="J269" s="39">
        <v>6.5591743150299031E-2</v>
      </c>
      <c r="K269" s="40">
        <f>ROUND(NORMINV(J269,IO!$B$10,IO!$B$11),0)</f>
        <v>95</v>
      </c>
      <c r="L269" s="40">
        <f>MIN(K269,IO!$B$4+IO!$B$8)</f>
        <v>95</v>
      </c>
      <c r="M269" s="40">
        <f>IF(L269-I269&gt;IO!$B$4,Model!L269-Model!I269-IO!$B$4,0)</f>
        <v>0</v>
      </c>
      <c r="N269" s="41">
        <f>IO!$B$5*Model!L269-IO!$B$6*Model!M269</f>
        <v>3800</v>
      </c>
    </row>
    <row r="270" spans="1:14" x14ac:dyDescent="0.35">
      <c r="A270" s="30">
        <v>269</v>
      </c>
      <c r="B270" s="31">
        <v>1</v>
      </c>
      <c r="C270" s="32">
        <f>(IO!$B$4+IO!$B$8)</f>
        <v>102</v>
      </c>
      <c r="D270" s="32">
        <f>IF(B270&gt;IO!$B$8,0,IO!$B$8-Model!B270)</f>
        <v>1</v>
      </c>
      <c r="E270" s="33">
        <f>IO!$B$5*C270-IO!$B$6*D270</f>
        <v>3980</v>
      </c>
      <c r="G270" s="47">
        <v>269</v>
      </c>
      <c r="H270" s="38" t="s">
        <v>8</v>
      </c>
      <c r="I270" s="38">
        <v>1</v>
      </c>
      <c r="J270" s="39">
        <v>0.91569329768527585</v>
      </c>
      <c r="K270" s="40">
        <f>ROUND(NORMINV(J270,IO!$B$10,IO!$B$11),0)</f>
        <v>110</v>
      </c>
      <c r="L270" s="40">
        <f>MIN(K270,IO!$B$4+IO!$B$8)</f>
        <v>102</v>
      </c>
      <c r="M270" s="40">
        <f>IF(L270-I270&gt;IO!$B$4,Model!L270-Model!I270-IO!$B$4,0)</f>
        <v>1</v>
      </c>
      <c r="N270" s="41">
        <f>IO!$B$5*Model!L270-IO!$B$6*Model!M270</f>
        <v>3980</v>
      </c>
    </row>
    <row r="271" spans="1:14" x14ac:dyDescent="0.35">
      <c r="A271" s="30">
        <v>270</v>
      </c>
      <c r="B271" s="31">
        <v>0</v>
      </c>
      <c r="C271" s="32">
        <f>(IO!$B$4+IO!$B$8)</f>
        <v>102</v>
      </c>
      <c r="D271" s="32">
        <f>IF(B271&gt;IO!$B$8,0,IO!$B$8-Model!B271)</f>
        <v>2</v>
      </c>
      <c r="E271" s="33">
        <f>IO!$B$5*C271-IO!$B$6*D271</f>
        <v>3880</v>
      </c>
      <c r="G271" s="47">
        <v>270</v>
      </c>
      <c r="H271" s="38" t="s">
        <v>9</v>
      </c>
      <c r="I271" s="38">
        <v>0</v>
      </c>
      <c r="J271" s="39">
        <v>0.67707670198601078</v>
      </c>
      <c r="K271" s="40">
        <f>ROUND(NORMINV(J271,IO!$B$10,IO!$B$11),0)</f>
        <v>105</v>
      </c>
      <c r="L271" s="40">
        <f>MIN(K271,IO!$B$4+IO!$B$8)</f>
        <v>102</v>
      </c>
      <c r="M271" s="40">
        <f>IF(L271-I271&gt;IO!$B$4,Model!L271-Model!I271-IO!$B$4,0)</f>
        <v>2</v>
      </c>
      <c r="N271" s="41">
        <f>IO!$B$5*Model!L271-IO!$B$6*Model!M271</f>
        <v>3880</v>
      </c>
    </row>
    <row r="272" spans="1:14" x14ac:dyDescent="0.35">
      <c r="A272" s="30">
        <v>271</v>
      </c>
      <c r="B272" s="31">
        <v>7</v>
      </c>
      <c r="C272" s="32">
        <f>(IO!$B$4+IO!$B$8)</f>
        <v>102</v>
      </c>
      <c r="D272" s="32">
        <f>IF(B272&gt;IO!$B$8,0,IO!$B$8-Model!B272)</f>
        <v>0</v>
      </c>
      <c r="E272" s="33">
        <f>IO!$B$5*C272-IO!$B$6*D272</f>
        <v>4080</v>
      </c>
      <c r="G272" s="47">
        <v>271</v>
      </c>
      <c r="H272" s="38" t="s">
        <v>7</v>
      </c>
      <c r="I272" s="38">
        <v>7</v>
      </c>
      <c r="J272" s="39">
        <v>0.32580740159042354</v>
      </c>
      <c r="K272" s="40">
        <f>ROUND(NORMINV(J272,IO!$B$10,IO!$B$11),0)</f>
        <v>101</v>
      </c>
      <c r="L272" s="40">
        <f>MIN(K272,IO!$B$4+IO!$B$8)</f>
        <v>101</v>
      </c>
      <c r="M272" s="40">
        <f>IF(L272-I272&gt;IO!$B$4,Model!L272-Model!I272-IO!$B$4,0)</f>
        <v>0</v>
      </c>
      <c r="N272" s="41">
        <f>IO!$B$5*Model!L272-IO!$B$6*Model!M272</f>
        <v>4040</v>
      </c>
    </row>
    <row r="273" spans="1:14" x14ac:dyDescent="0.35">
      <c r="A273" s="30">
        <v>272</v>
      </c>
      <c r="B273" s="31">
        <v>4</v>
      </c>
      <c r="C273" s="32">
        <f>(IO!$B$4+IO!$B$8)</f>
        <v>102</v>
      </c>
      <c r="D273" s="32">
        <f>IF(B273&gt;IO!$B$8,0,IO!$B$8-Model!B273)</f>
        <v>0</v>
      </c>
      <c r="E273" s="33">
        <f>IO!$B$5*C273-IO!$B$6*D273</f>
        <v>4080</v>
      </c>
      <c r="G273" s="47">
        <v>272</v>
      </c>
      <c r="H273" s="38" t="s">
        <v>8</v>
      </c>
      <c r="I273" s="38">
        <v>4</v>
      </c>
      <c r="J273" s="39">
        <v>0.98246170033371116</v>
      </c>
      <c r="K273" s="40">
        <f>ROUND(NORMINV(J273,IO!$B$10,IO!$B$11),0)</f>
        <v>114</v>
      </c>
      <c r="L273" s="40">
        <f>MIN(K273,IO!$B$4+IO!$B$8)</f>
        <v>102</v>
      </c>
      <c r="M273" s="40">
        <f>IF(L273-I273&gt;IO!$B$4,Model!L273-Model!I273-IO!$B$4,0)</f>
        <v>0</v>
      </c>
      <c r="N273" s="41">
        <f>IO!$B$5*Model!L273-IO!$B$6*Model!M273</f>
        <v>4080</v>
      </c>
    </row>
    <row r="274" spans="1:14" x14ac:dyDescent="0.35">
      <c r="A274" s="30">
        <v>273</v>
      </c>
      <c r="B274" s="31">
        <v>1</v>
      </c>
      <c r="C274" s="32">
        <f>(IO!$B$4+IO!$B$8)</f>
        <v>102</v>
      </c>
      <c r="D274" s="32">
        <f>IF(B274&gt;IO!$B$8,0,IO!$B$8-Model!B274)</f>
        <v>1</v>
      </c>
      <c r="E274" s="33">
        <f>IO!$B$5*C274-IO!$B$6*D274</f>
        <v>3980</v>
      </c>
      <c r="G274" s="47">
        <v>273</v>
      </c>
      <c r="H274" s="38" t="s">
        <v>9</v>
      </c>
      <c r="I274" s="38">
        <v>1</v>
      </c>
      <c r="J274" s="39">
        <v>6.6912009621020063E-2</v>
      </c>
      <c r="K274" s="40">
        <f>ROUND(NORMINV(J274,IO!$B$10,IO!$B$11),0)</f>
        <v>96</v>
      </c>
      <c r="L274" s="40">
        <f>MIN(K274,IO!$B$4+IO!$B$8)</f>
        <v>96</v>
      </c>
      <c r="M274" s="40">
        <f>IF(L274-I274&gt;IO!$B$4,Model!L274-Model!I274-IO!$B$4,0)</f>
        <v>0</v>
      </c>
      <c r="N274" s="41">
        <f>IO!$B$5*Model!L274-IO!$B$6*Model!M274</f>
        <v>3840</v>
      </c>
    </row>
    <row r="275" spans="1:14" x14ac:dyDescent="0.35">
      <c r="A275" s="30">
        <v>274</v>
      </c>
      <c r="B275" s="31">
        <v>4</v>
      </c>
      <c r="C275" s="32">
        <f>(IO!$B$4+IO!$B$8)</f>
        <v>102</v>
      </c>
      <c r="D275" s="32">
        <f>IF(B275&gt;IO!$B$8,0,IO!$B$8-Model!B275)</f>
        <v>0</v>
      </c>
      <c r="E275" s="33">
        <f>IO!$B$5*C275-IO!$B$6*D275</f>
        <v>4080</v>
      </c>
      <c r="G275" s="47">
        <v>274</v>
      </c>
      <c r="H275" s="38" t="s">
        <v>7</v>
      </c>
      <c r="I275" s="38">
        <v>4</v>
      </c>
      <c r="J275" s="39">
        <v>0.9741092096472167</v>
      </c>
      <c r="K275" s="40">
        <f>ROUND(NORMINV(J275,IO!$B$10,IO!$B$11),0)</f>
        <v>113</v>
      </c>
      <c r="L275" s="40">
        <f>MIN(K275,IO!$B$4+IO!$B$8)</f>
        <v>102</v>
      </c>
      <c r="M275" s="40">
        <f>IF(L275-I275&gt;IO!$B$4,Model!L275-Model!I275-IO!$B$4,0)</f>
        <v>0</v>
      </c>
      <c r="N275" s="41">
        <f>IO!$B$5*Model!L275-IO!$B$6*Model!M275</f>
        <v>4080</v>
      </c>
    </row>
    <row r="276" spans="1:14" x14ac:dyDescent="0.35">
      <c r="A276" s="30">
        <v>275</v>
      </c>
      <c r="B276" s="31">
        <v>2</v>
      </c>
      <c r="C276" s="32">
        <f>(IO!$B$4+IO!$B$8)</f>
        <v>102</v>
      </c>
      <c r="D276" s="32">
        <f>IF(B276&gt;IO!$B$8,0,IO!$B$8-Model!B276)</f>
        <v>0</v>
      </c>
      <c r="E276" s="33">
        <f>IO!$B$5*C276-IO!$B$6*D276</f>
        <v>4080</v>
      </c>
      <c r="G276" s="47">
        <v>275</v>
      </c>
      <c r="H276" s="38" t="s">
        <v>8</v>
      </c>
      <c r="I276" s="38">
        <v>2</v>
      </c>
      <c r="J276" s="39">
        <v>0.88622714308164197</v>
      </c>
      <c r="K276" s="40">
        <f>ROUND(NORMINV(J276,IO!$B$10,IO!$B$11),0)</f>
        <v>109</v>
      </c>
      <c r="L276" s="40">
        <f>MIN(K276,IO!$B$4+IO!$B$8)</f>
        <v>102</v>
      </c>
      <c r="M276" s="40">
        <f>IF(L276-I276&gt;IO!$B$4,Model!L276-Model!I276-IO!$B$4,0)</f>
        <v>0</v>
      </c>
      <c r="N276" s="41">
        <f>IO!$B$5*Model!L276-IO!$B$6*Model!M276</f>
        <v>4080</v>
      </c>
    </row>
    <row r="277" spans="1:14" x14ac:dyDescent="0.35">
      <c r="A277" s="30">
        <v>276</v>
      </c>
      <c r="B277" s="31">
        <v>0</v>
      </c>
      <c r="C277" s="32">
        <f>(IO!$B$4+IO!$B$8)</f>
        <v>102</v>
      </c>
      <c r="D277" s="32">
        <f>IF(B277&gt;IO!$B$8,0,IO!$B$8-Model!B277)</f>
        <v>2</v>
      </c>
      <c r="E277" s="33">
        <f>IO!$B$5*C277-IO!$B$6*D277</f>
        <v>3880</v>
      </c>
      <c r="G277" s="47">
        <v>276</v>
      </c>
      <c r="H277" s="38" t="s">
        <v>9</v>
      </c>
      <c r="I277" s="38">
        <v>0</v>
      </c>
      <c r="J277" s="39">
        <v>0.40642677920718895</v>
      </c>
      <c r="K277" s="40">
        <f>ROUND(NORMINV(J277,IO!$B$10,IO!$B$11),0)</f>
        <v>102</v>
      </c>
      <c r="L277" s="40">
        <f>MIN(K277,IO!$B$4+IO!$B$8)</f>
        <v>102</v>
      </c>
      <c r="M277" s="40">
        <f>IF(L277-I277&gt;IO!$B$4,Model!L277-Model!I277-IO!$B$4,0)</f>
        <v>2</v>
      </c>
      <c r="N277" s="41">
        <f>IO!$B$5*Model!L277-IO!$B$6*Model!M277</f>
        <v>3880</v>
      </c>
    </row>
    <row r="278" spans="1:14" x14ac:dyDescent="0.35">
      <c r="A278" s="30">
        <v>277</v>
      </c>
      <c r="B278" s="31">
        <v>1</v>
      </c>
      <c r="C278" s="32">
        <f>(IO!$B$4+IO!$B$8)</f>
        <v>102</v>
      </c>
      <c r="D278" s="32">
        <f>IF(B278&gt;IO!$B$8,0,IO!$B$8-Model!B278)</f>
        <v>1</v>
      </c>
      <c r="E278" s="33">
        <f>IO!$B$5*C278-IO!$B$6*D278</f>
        <v>3980</v>
      </c>
      <c r="G278" s="47">
        <v>277</v>
      </c>
      <c r="H278" s="38" t="s">
        <v>7</v>
      </c>
      <c r="I278" s="38">
        <v>1</v>
      </c>
      <c r="J278" s="39">
        <v>0.98770397430088874</v>
      </c>
      <c r="K278" s="40">
        <f>ROUND(NORMINV(J278,IO!$B$10,IO!$B$11),0)</f>
        <v>114</v>
      </c>
      <c r="L278" s="40">
        <f>MIN(K278,IO!$B$4+IO!$B$8)</f>
        <v>102</v>
      </c>
      <c r="M278" s="40">
        <f>IF(L278-I278&gt;IO!$B$4,Model!L278-Model!I278-IO!$B$4,0)</f>
        <v>1</v>
      </c>
      <c r="N278" s="41">
        <f>IO!$B$5*Model!L278-IO!$B$6*Model!M278</f>
        <v>3980</v>
      </c>
    </row>
    <row r="279" spans="1:14" x14ac:dyDescent="0.35">
      <c r="A279" s="30">
        <v>278</v>
      </c>
      <c r="B279" s="31">
        <v>2</v>
      </c>
      <c r="C279" s="32">
        <f>(IO!$B$4+IO!$B$8)</f>
        <v>102</v>
      </c>
      <c r="D279" s="32">
        <f>IF(B279&gt;IO!$B$8,0,IO!$B$8-Model!B279)</f>
        <v>0</v>
      </c>
      <c r="E279" s="33">
        <f>IO!$B$5*C279-IO!$B$6*D279</f>
        <v>4080</v>
      </c>
      <c r="G279" s="47">
        <v>278</v>
      </c>
      <c r="H279" s="38" t="s">
        <v>8</v>
      </c>
      <c r="I279" s="38">
        <v>2</v>
      </c>
      <c r="J279" s="39">
        <v>0.77571440474410391</v>
      </c>
      <c r="K279" s="40">
        <f>ROUND(NORMINV(J279,IO!$B$10,IO!$B$11),0)</f>
        <v>107</v>
      </c>
      <c r="L279" s="40">
        <f>MIN(K279,IO!$B$4+IO!$B$8)</f>
        <v>102</v>
      </c>
      <c r="M279" s="40">
        <f>IF(L279-I279&gt;IO!$B$4,Model!L279-Model!I279-IO!$B$4,0)</f>
        <v>0</v>
      </c>
      <c r="N279" s="41">
        <f>IO!$B$5*Model!L279-IO!$B$6*Model!M279</f>
        <v>4080</v>
      </c>
    </row>
    <row r="280" spans="1:14" x14ac:dyDescent="0.35">
      <c r="A280" s="30">
        <v>279</v>
      </c>
      <c r="B280" s="31">
        <v>1</v>
      </c>
      <c r="C280" s="32">
        <f>(IO!$B$4+IO!$B$8)</f>
        <v>102</v>
      </c>
      <c r="D280" s="32">
        <f>IF(B280&gt;IO!$B$8,0,IO!$B$8-Model!B280)</f>
        <v>1</v>
      </c>
      <c r="E280" s="33">
        <f>IO!$B$5*C280-IO!$B$6*D280</f>
        <v>3980</v>
      </c>
      <c r="G280" s="47">
        <v>279</v>
      </c>
      <c r="H280" s="38" t="s">
        <v>9</v>
      </c>
      <c r="I280" s="38">
        <v>1</v>
      </c>
      <c r="J280" s="39">
        <v>0.17025745869005315</v>
      </c>
      <c r="K280" s="40">
        <f>ROUND(NORMINV(J280,IO!$B$10,IO!$B$11),0)</f>
        <v>98</v>
      </c>
      <c r="L280" s="40">
        <f>MIN(K280,IO!$B$4+IO!$B$8)</f>
        <v>98</v>
      </c>
      <c r="M280" s="40">
        <f>IF(L280-I280&gt;IO!$B$4,Model!L280-Model!I280-IO!$B$4,0)</f>
        <v>0</v>
      </c>
      <c r="N280" s="41">
        <f>IO!$B$5*Model!L280-IO!$B$6*Model!M280</f>
        <v>3920</v>
      </c>
    </row>
    <row r="281" spans="1:14" x14ac:dyDescent="0.35">
      <c r="A281" s="30">
        <v>280</v>
      </c>
      <c r="B281" s="31">
        <v>3</v>
      </c>
      <c r="C281" s="32">
        <f>(IO!$B$4+IO!$B$8)</f>
        <v>102</v>
      </c>
      <c r="D281" s="32">
        <f>IF(B281&gt;IO!$B$8,0,IO!$B$8-Model!B281)</f>
        <v>0</v>
      </c>
      <c r="E281" s="33">
        <f>IO!$B$5*C281-IO!$B$6*D281</f>
        <v>4080</v>
      </c>
      <c r="G281" s="47">
        <v>280</v>
      </c>
      <c r="H281" s="38" t="s">
        <v>7</v>
      </c>
      <c r="I281" s="38">
        <v>3</v>
      </c>
      <c r="J281" s="39">
        <v>0.20648921518009944</v>
      </c>
      <c r="K281" s="40">
        <f>ROUND(NORMINV(J281,IO!$B$10,IO!$B$11),0)</f>
        <v>99</v>
      </c>
      <c r="L281" s="40">
        <f>MIN(K281,IO!$B$4+IO!$B$8)</f>
        <v>99</v>
      </c>
      <c r="M281" s="40">
        <f>IF(L281-I281&gt;IO!$B$4,Model!L281-Model!I281-IO!$B$4,0)</f>
        <v>0</v>
      </c>
      <c r="N281" s="41">
        <f>IO!$B$5*Model!L281-IO!$B$6*Model!M281</f>
        <v>3960</v>
      </c>
    </row>
    <row r="282" spans="1:14" x14ac:dyDescent="0.35">
      <c r="A282" s="30">
        <v>281</v>
      </c>
      <c r="B282" s="31">
        <v>1</v>
      </c>
      <c r="C282" s="32">
        <f>(IO!$B$4+IO!$B$8)</f>
        <v>102</v>
      </c>
      <c r="D282" s="32">
        <f>IF(B282&gt;IO!$B$8,0,IO!$B$8-Model!B282)</f>
        <v>1</v>
      </c>
      <c r="E282" s="33">
        <f>IO!$B$5*C282-IO!$B$6*D282</f>
        <v>3980</v>
      </c>
      <c r="G282" s="47">
        <v>281</v>
      </c>
      <c r="H282" s="38" t="s">
        <v>8</v>
      </c>
      <c r="I282" s="38">
        <v>1</v>
      </c>
      <c r="J282" s="39">
        <v>0.42667310818237969</v>
      </c>
      <c r="K282" s="40">
        <f>ROUND(NORMINV(J282,IO!$B$10,IO!$B$11),0)</f>
        <v>102</v>
      </c>
      <c r="L282" s="40">
        <f>MIN(K282,IO!$B$4+IO!$B$8)</f>
        <v>102</v>
      </c>
      <c r="M282" s="40">
        <f>IF(L282-I282&gt;IO!$B$4,Model!L282-Model!I282-IO!$B$4,0)</f>
        <v>1</v>
      </c>
      <c r="N282" s="41">
        <f>IO!$B$5*Model!L282-IO!$B$6*Model!M282</f>
        <v>3980</v>
      </c>
    </row>
    <row r="283" spans="1:14" x14ac:dyDescent="0.35">
      <c r="A283" s="30">
        <v>282</v>
      </c>
      <c r="B283" s="31">
        <v>1</v>
      </c>
      <c r="C283" s="32">
        <f>(IO!$B$4+IO!$B$8)</f>
        <v>102</v>
      </c>
      <c r="D283" s="32">
        <f>IF(B283&gt;IO!$B$8,0,IO!$B$8-Model!B283)</f>
        <v>1</v>
      </c>
      <c r="E283" s="33">
        <f>IO!$B$5*C283-IO!$B$6*D283</f>
        <v>3980</v>
      </c>
      <c r="G283" s="47">
        <v>282</v>
      </c>
      <c r="H283" s="38" t="s">
        <v>9</v>
      </c>
      <c r="I283" s="38">
        <v>1</v>
      </c>
      <c r="J283" s="39">
        <v>0.61780357529632679</v>
      </c>
      <c r="K283" s="40">
        <f>ROUND(NORMINV(J283,IO!$B$10,IO!$B$11),0)</f>
        <v>104</v>
      </c>
      <c r="L283" s="40">
        <f>MIN(K283,IO!$B$4+IO!$B$8)</f>
        <v>102</v>
      </c>
      <c r="M283" s="40">
        <f>IF(L283-I283&gt;IO!$B$4,Model!L283-Model!I283-IO!$B$4,0)</f>
        <v>1</v>
      </c>
      <c r="N283" s="41">
        <f>IO!$B$5*Model!L283-IO!$B$6*Model!M283</f>
        <v>3980</v>
      </c>
    </row>
    <row r="284" spans="1:14" x14ac:dyDescent="0.35">
      <c r="A284" s="30">
        <v>283</v>
      </c>
      <c r="B284" s="31">
        <v>3</v>
      </c>
      <c r="C284" s="32">
        <f>(IO!$B$4+IO!$B$8)</f>
        <v>102</v>
      </c>
      <c r="D284" s="32">
        <f>IF(B284&gt;IO!$B$8,0,IO!$B$8-Model!B284)</f>
        <v>0</v>
      </c>
      <c r="E284" s="33">
        <f>IO!$B$5*C284-IO!$B$6*D284</f>
        <v>4080</v>
      </c>
      <c r="G284" s="47">
        <v>283</v>
      </c>
      <c r="H284" s="38" t="s">
        <v>7</v>
      </c>
      <c r="I284" s="38">
        <v>3</v>
      </c>
      <c r="J284" s="39">
        <v>0.19915089069422076</v>
      </c>
      <c r="K284" s="40">
        <f>ROUND(NORMINV(J284,IO!$B$10,IO!$B$11),0)</f>
        <v>99</v>
      </c>
      <c r="L284" s="40">
        <f>MIN(K284,IO!$B$4+IO!$B$8)</f>
        <v>99</v>
      </c>
      <c r="M284" s="40">
        <f>IF(L284-I284&gt;IO!$B$4,Model!L284-Model!I284-IO!$B$4,0)</f>
        <v>0</v>
      </c>
      <c r="N284" s="41">
        <f>IO!$B$5*Model!L284-IO!$B$6*Model!M284</f>
        <v>3960</v>
      </c>
    </row>
    <row r="285" spans="1:14" x14ac:dyDescent="0.35">
      <c r="A285" s="30">
        <v>284</v>
      </c>
      <c r="B285" s="31">
        <v>2</v>
      </c>
      <c r="C285" s="32">
        <f>(IO!$B$4+IO!$B$8)</f>
        <v>102</v>
      </c>
      <c r="D285" s="32">
        <f>IF(B285&gt;IO!$B$8,0,IO!$B$8-Model!B285)</f>
        <v>0</v>
      </c>
      <c r="E285" s="33">
        <f>IO!$B$5*C285-IO!$B$6*D285</f>
        <v>4080</v>
      </c>
      <c r="G285" s="47">
        <v>284</v>
      </c>
      <c r="H285" s="38" t="s">
        <v>8</v>
      </c>
      <c r="I285" s="38">
        <v>2</v>
      </c>
      <c r="J285" s="39">
        <v>0.55549802945329108</v>
      </c>
      <c r="K285" s="40">
        <f>ROUND(NORMINV(J285,IO!$B$10,IO!$B$11),0)</f>
        <v>104</v>
      </c>
      <c r="L285" s="40">
        <f>MIN(K285,IO!$B$4+IO!$B$8)</f>
        <v>102</v>
      </c>
      <c r="M285" s="40">
        <f>IF(L285-I285&gt;IO!$B$4,Model!L285-Model!I285-IO!$B$4,0)</f>
        <v>0</v>
      </c>
      <c r="N285" s="41">
        <f>IO!$B$5*Model!L285-IO!$B$6*Model!M285</f>
        <v>4080</v>
      </c>
    </row>
    <row r="286" spans="1:14" x14ac:dyDescent="0.35">
      <c r="A286" s="30">
        <v>285</v>
      </c>
      <c r="B286" s="31">
        <v>1</v>
      </c>
      <c r="C286" s="32">
        <f>(IO!$B$4+IO!$B$8)</f>
        <v>102</v>
      </c>
      <c r="D286" s="32">
        <f>IF(B286&gt;IO!$B$8,0,IO!$B$8-Model!B286)</f>
        <v>1</v>
      </c>
      <c r="E286" s="33">
        <f>IO!$B$5*C286-IO!$B$6*D286</f>
        <v>3980</v>
      </c>
      <c r="G286" s="47">
        <v>285</v>
      </c>
      <c r="H286" s="38" t="s">
        <v>9</v>
      </c>
      <c r="I286" s="38">
        <v>1</v>
      </c>
      <c r="J286" s="39">
        <v>0.83409128984321612</v>
      </c>
      <c r="K286" s="40">
        <f>ROUND(NORMINV(J286,IO!$B$10,IO!$B$11),0)</f>
        <v>108</v>
      </c>
      <c r="L286" s="40">
        <f>MIN(K286,IO!$B$4+IO!$B$8)</f>
        <v>102</v>
      </c>
      <c r="M286" s="40">
        <f>IF(L286-I286&gt;IO!$B$4,Model!L286-Model!I286-IO!$B$4,0)</f>
        <v>1</v>
      </c>
      <c r="N286" s="41">
        <f>IO!$B$5*Model!L286-IO!$B$6*Model!M286</f>
        <v>3980</v>
      </c>
    </row>
    <row r="287" spans="1:14" x14ac:dyDescent="0.35">
      <c r="A287" s="30">
        <v>286</v>
      </c>
      <c r="B287" s="31">
        <v>3</v>
      </c>
      <c r="C287" s="32">
        <f>(IO!$B$4+IO!$B$8)</f>
        <v>102</v>
      </c>
      <c r="D287" s="32">
        <f>IF(B287&gt;IO!$B$8,0,IO!$B$8-Model!B287)</f>
        <v>0</v>
      </c>
      <c r="E287" s="33">
        <f>IO!$B$5*C287-IO!$B$6*D287</f>
        <v>4080</v>
      </c>
      <c r="G287" s="47">
        <v>286</v>
      </c>
      <c r="H287" s="38" t="s">
        <v>7</v>
      </c>
      <c r="I287" s="38">
        <v>3</v>
      </c>
      <c r="J287" s="39">
        <v>0.36705836900581379</v>
      </c>
      <c r="K287" s="40">
        <f>ROUND(NORMINV(J287,IO!$B$10,IO!$B$11),0)</f>
        <v>101</v>
      </c>
      <c r="L287" s="40">
        <f>MIN(K287,IO!$B$4+IO!$B$8)</f>
        <v>101</v>
      </c>
      <c r="M287" s="40">
        <f>IF(L287-I287&gt;IO!$B$4,Model!L287-Model!I287-IO!$B$4,0)</f>
        <v>0</v>
      </c>
      <c r="N287" s="41">
        <f>IO!$B$5*Model!L287-IO!$B$6*Model!M287</f>
        <v>4040</v>
      </c>
    </row>
    <row r="288" spans="1:14" x14ac:dyDescent="0.35">
      <c r="A288" s="30">
        <v>287</v>
      </c>
      <c r="B288" s="31">
        <v>3</v>
      </c>
      <c r="C288" s="32">
        <f>(IO!$B$4+IO!$B$8)</f>
        <v>102</v>
      </c>
      <c r="D288" s="32">
        <f>IF(B288&gt;IO!$B$8,0,IO!$B$8-Model!B288)</f>
        <v>0</v>
      </c>
      <c r="E288" s="33">
        <f>IO!$B$5*C288-IO!$B$6*D288</f>
        <v>4080</v>
      </c>
      <c r="G288" s="47">
        <v>287</v>
      </c>
      <c r="H288" s="38" t="s">
        <v>8</v>
      </c>
      <c r="I288" s="38">
        <v>3</v>
      </c>
      <c r="J288" s="39">
        <v>0.38068316493499743</v>
      </c>
      <c r="K288" s="40">
        <f>ROUND(NORMINV(J288,IO!$B$10,IO!$B$11),0)</f>
        <v>101</v>
      </c>
      <c r="L288" s="40">
        <f>MIN(K288,IO!$B$4+IO!$B$8)</f>
        <v>101</v>
      </c>
      <c r="M288" s="40">
        <f>IF(L288-I288&gt;IO!$B$4,Model!L288-Model!I288-IO!$B$4,0)</f>
        <v>0</v>
      </c>
      <c r="N288" s="41">
        <f>IO!$B$5*Model!L288-IO!$B$6*Model!M288</f>
        <v>4040</v>
      </c>
    </row>
    <row r="289" spans="1:14" x14ac:dyDescent="0.35">
      <c r="A289" s="30">
        <v>288</v>
      </c>
      <c r="B289" s="31">
        <v>0</v>
      </c>
      <c r="C289" s="32">
        <f>(IO!$B$4+IO!$B$8)</f>
        <v>102</v>
      </c>
      <c r="D289" s="32">
        <f>IF(B289&gt;IO!$B$8,0,IO!$B$8-Model!B289)</f>
        <v>2</v>
      </c>
      <c r="E289" s="33">
        <f>IO!$B$5*C289-IO!$B$6*D289</f>
        <v>3880</v>
      </c>
      <c r="G289" s="47">
        <v>288</v>
      </c>
      <c r="H289" s="38" t="s">
        <v>9</v>
      </c>
      <c r="I289" s="38">
        <v>0</v>
      </c>
      <c r="J289" s="39">
        <v>0.20396864722559249</v>
      </c>
      <c r="K289" s="40">
        <f>ROUND(NORMINV(J289,IO!$B$10,IO!$B$11),0)</f>
        <v>99</v>
      </c>
      <c r="L289" s="40">
        <f>MIN(K289,IO!$B$4+IO!$B$8)</f>
        <v>99</v>
      </c>
      <c r="M289" s="40">
        <f>IF(L289-I289&gt;IO!$B$4,Model!L289-Model!I289-IO!$B$4,0)</f>
        <v>0</v>
      </c>
      <c r="N289" s="41">
        <f>IO!$B$5*Model!L289-IO!$B$6*Model!M289</f>
        <v>3960</v>
      </c>
    </row>
    <row r="290" spans="1:14" x14ac:dyDescent="0.35">
      <c r="A290" s="30">
        <v>289</v>
      </c>
      <c r="B290" s="31">
        <v>3</v>
      </c>
      <c r="C290" s="32">
        <f>(IO!$B$4+IO!$B$8)</f>
        <v>102</v>
      </c>
      <c r="D290" s="32">
        <f>IF(B290&gt;IO!$B$8,0,IO!$B$8-Model!B290)</f>
        <v>0</v>
      </c>
      <c r="E290" s="33">
        <f>IO!$B$5*C290-IO!$B$6*D290</f>
        <v>4080</v>
      </c>
      <c r="G290" s="47">
        <v>289</v>
      </c>
      <c r="H290" s="38" t="s">
        <v>7</v>
      </c>
      <c r="I290" s="38">
        <v>3</v>
      </c>
      <c r="J290" s="39">
        <v>0.56718626843550191</v>
      </c>
      <c r="K290" s="40">
        <f>ROUND(NORMINV(J290,IO!$B$10,IO!$B$11),0)</f>
        <v>104</v>
      </c>
      <c r="L290" s="40">
        <f>MIN(K290,IO!$B$4+IO!$B$8)</f>
        <v>102</v>
      </c>
      <c r="M290" s="40">
        <f>IF(L290-I290&gt;IO!$B$4,Model!L290-Model!I290-IO!$B$4,0)</f>
        <v>0</v>
      </c>
      <c r="N290" s="41">
        <f>IO!$B$5*Model!L290-IO!$B$6*Model!M290</f>
        <v>4080</v>
      </c>
    </row>
    <row r="291" spans="1:14" x14ac:dyDescent="0.35">
      <c r="A291" s="30">
        <v>290</v>
      </c>
      <c r="B291" s="31">
        <v>0</v>
      </c>
      <c r="C291" s="32">
        <f>(IO!$B$4+IO!$B$8)</f>
        <v>102</v>
      </c>
      <c r="D291" s="32">
        <f>IF(B291&gt;IO!$B$8,0,IO!$B$8-Model!B291)</f>
        <v>2</v>
      </c>
      <c r="E291" s="33">
        <f>IO!$B$5*C291-IO!$B$6*D291</f>
        <v>3880</v>
      </c>
      <c r="G291" s="47">
        <v>290</v>
      </c>
      <c r="H291" s="38" t="s">
        <v>8</v>
      </c>
      <c r="I291" s="38">
        <v>0</v>
      </c>
      <c r="J291" s="39">
        <v>0.40760383358337016</v>
      </c>
      <c r="K291" s="40">
        <f>ROUND(NORMINV(J291,IO!$B$10,IO!$B$11),0)</f>
        <v>102</v>
      </c>
      <c r="L291" s="40">
        <f>MIN(K291,IO!$B$4+IO!$B$8)</f>
        <v>102</v>
      </c>
      <c r="M291" s="40">
        <f>IF(L291-I291&gt;IO!$B$4,Model!L291-Model!I291-IO!$B$4,0)</f>
        <v>2</v>
      </c>
      <c r="N291" s="41">
        <f>IO!$B$5*Model!L291-IO!$B$6*Model!M291</f>
        <v>3880</v>
      </c>
    </row>
    <row r="292" spans="1:14" x14ac:dyDescent="0.35">
      <c r="A292" s="30">
        <v>291</v>
      </c>
      <c r="B292" s="31">
        <v>2</v>
      </c>
      <c r="C292" s="32">
        <f>(IO!$B$4+IO!$B$8)</f>
        <v>102</v>
      </c>
      <c r="D292" s="32">
        <f>IF(B292&gt;IO!$B$8,0,IO!$B$8-Model!B292)</f>
        <v>0</v>
      </c>
      <c r="E292" s="33">
        <f>IO!$B$5*C292-IO!$B$6*D292</f>
        <v>4080</v>
      </c>
      <c r="G292" s="47">
        <v>291</v>
      </c>
      <c r="H292" s="38" t="s">
        <v>9</v>
      </c>
      <c r="I292" s="38">
        <v>2</v>
      </c>
      <c r="J292" s="39">
        <v>0.14253144533999507</v>
      </c>
      <c r="K292" s="40">
        <f>ROUND(NORMINV(J292,IO!$B$10,IO!$B$11),0)</f>
        <v>98</v>
      </c>
      <c r="L292" s="40">
        <f>MIN(K292,IO!$B$4+IO!$B$8)</f>
        <v>98</v>
      </c>
      <c r="M292" s="40">
        <f>IF(L292-I292&gt;IO!$B$4,Model!L292-Model!I292-IO!$B$4,0)</f>
        <v>0</v>
      </c>
      <c r="N292" s="41">
        <f>IO!$B$5*Model!L292-IO!$B$6*Model!M292</f>
        <v>3920</v>
      </c>
    </row>
    <row r="293" spans="1:14" x14ac:dyDescent="0.35">
      <c r="A293" s="30">
        <v>292</v>
      </c>
      <c r="B293" s="31">
        <v>6</v>
      </c>
      <c r="C293" s="32">
        <f>(IO!$B$4+IO!$B$8)</f>
        <v>102</v>
      </c>
      <c r="D293" s="32">
        <f>IF(B293&gt;IO!$B$8,0,IO!$B$8-Model!B293)</f>
        <v>0</v>
      </c>
      <c r="E293" s="33">
        <f>IO!$B$5*C293-IO!$B$6*D293</f>
        <v>4080</v>
      </c>
      <c r="G293" s="47">
        <v>292</v>
      </c>
      <c r="H293" s="38" t="s">
        <v>7</v>
      </c>
      <c r="I293" s="38">
        <v>6</v>
      </c>
      <c r="J293" s="39">
        <v>0.34606819960097779</v>
      </c>
      <c r="K293" s="40">
        <f>ROUND(NORMINV(J293,IO!$B$10,IO!$B$11),0)</f>
        <v>101</v>
      </c>
      <c r="L293" s="40">
        <f>MIN(K293,IO!$B$4+IO!$B$8)</f>
        <v>101</v>
      </c>
      <c r="M293" s="40">
        <f>IF(L293-I293&gt;IO!$B$4,Model!L293-Model!I293-IO!$B$4,0)</f>
        <v>0</v>
      </c>
      <c r="N293" s="41">
        <f>IO!$B$5*Model!L293-IO!$B$6*Model!M293</f>
        <v>4040</v>
      </c>
    </row>
    <row r="294" spans="1:14" x14ac:dyDescent="0.35">
      <c r="A294" s="30">
        <v>293</v>
      </c>
      <c r="B294" s="31">
        <v>1</v>
      </c>
      <c r="C294" s="32">
        <f>(IO!$B$4+IO!$B$8)</f>
        <v>102</v>
      </c>
      <c r="D294" s="32">
        <f>IF(B294&gt;IO!$B$8,0,IO!$B$8-Model!B294)</f>
        <v>1</v>
      </c>
      <c r="E294" s="33">
        <f>IO!$B$5*C294-IO!$B$6*D294</f>
        <v>3980</v>
      </c>
      <c r="G294" s="47">
        <v>293</v>
      </c>
      <c r="H294" s="38" t="s">
        <v>8</v>
      </c>
      <c r="I294" s="38">
        <v>1</v>
      </c>
      <c r="J294" s="39">
        <v>0.63992682080798091</v>
      </c>
      <c r="K294" s="40">
        <f>ROUND(NORMINV(J294,IO!$B$10,IO!$B$11),0)</f>
        <v>105</v>
      </c>
      <c r="L294" s="40">
        <f>MIN(K294,IO!$B$4+IO!$B$8)</f>
        <v>102</v>
      </c>
      <c r="M294" s="40">
        <f>IF(L294-I294&gt;IO!$B$4,Model!L294-Model!I294-IO!$B$4,0)</f>
        <v>1</v>
      </c>
      <c r="N294" s="41">
        <f>IO!$B$5*Model!L294-IO!$B$6*Model!M294</f>
        <v>3980</v>
      </c>
    </row>
    <row r="295" spans="1:14" x14ac:dyDescent="0.35">
      <c r="A295" s="30">
        <v>294</v>
      </c>
      <c r="B295" s="31">
        <v>2</v>
      </c>
      <c r="C295" s="32">
        <f>(IO!$B$4+IO!$B$8)</f>
        <v>102</v>
      </c>
      <c r="D295" s="32">
        <f>IF(B295&gt;IO!$B$8,0,IO!$B$8-Model!B295)</f>
        <v>0</v>
      </c>
      <c r="E295" s="33">
        <f>IO!$B$5*C295-IO!$B$6*D295</f>
        <v>4080</v>
      </c>
      <c r="G295" s="47">
        <v>294</v>
      </c>
      <c r="H295" s="38" t="s">
        <v>9</v>
      </c>
      <c r="I295" s="38">
        <v>2</v>
      </c>
      <c r="J295" s="39">
        <v>0.82960352458204556</v>
      </c>
      <c r="K295" s="40">
        <f>ROUND(NORMINV(J295,IO!$B$10,IO!$B$11),0)</f>
        <v>108</v>
      </c>
      <c r="L295" s="40">
        <f>MIN(K295,IO!$B$4+IO!$B$8)</f>
        <v>102</v>
      </c>
      <c r="M295" s="40">
        <f>IF(L295-I295&gt;IO!$B$4,Model!L295-Model!I295-IO!$B$4,0)</f>
        <v>0</v>
      </c>
      <c r="N295" s="41">
        <f>IO!$B$5*Model!L295-IO!$B$6*Model!M295</f>
        <v>4080</v>
      </c>
    </row>
    <row r="296" spans="1:14" x14ac:dyDescent="0.35">
      <c r="A296" s="30">
        <v>295</v>
      </c>
      <c r="B296" s="31">
        <v>2</v>
      </c>
      <c r="C296" s="32">
        <f>(IO!$B$4+IO!$B$8)</f>
        <v>102</v>
      </c>
      <c r="D296" s="32">
        <f>IF(B296&gt;IO!$B$8,0,IO!$B$8-Model!B296)</f>
        <v>0</v>
      </c>
      <c r="E296" s="33">
        <f>IO!$B$5*C296-IO!$B$6*D296</f>
        <v>4080</v>
      </c>
      <c r="G296" s="47">
        <v>295</v>
      </c>
      <c r="H296" s="38" t="s">
        <v>7</v>
      </c>
      <c r="I296" s="38">
        <v>2</v>
      </c>
      <c r="J296" s="39">
        <v>0.94381536345578687</v>
      </c>
      <c r="K296" s="40">
        <f>ROUND(NORMINV(J296,IO!$B$10,IO!$B$11),0)</f>
        <v>111</v>
      </c>
      <c r="L296" s="40">
        <f>MIN(K296,IO!$B$4+IO!$B$8)</f>
        <v>102</v>
      </c>
      <c r="M296" s="40">
        <f>IF(L296-I296&gt;IO!$B$4,Model!L296-Model!I296-IO!$B$4,0)</f>
        <v>0</v>
      </c>
      <c r="N296" s="41">
        <f>IO!$B$5*Model!L296-IO!$B$6*Model!M296</f>
        <v>4080</v>
      </c>
    </row>
    <row r="297" spans="1:14" x14ac:dyDescent="0.35">
      <c r="A297" s="30">
        <v>296</v>
      </c>
      <c r="B297" s="31">
        <v>1</v>
      </c>
      <c r="C297" s="32">
        <f>(IO!$B$4+IO!$B$8)</f>
        <v>102</v>
      </c>
      <c r="D297" s="32">
        <f>IF(B297&gt;IO!$B$8,0,IO!$B$8-Model!B297)</f>
        <v>1</v>
      </c>
      <c r="E297" s="33">
        <f>IO!$B$5*C297-IO!$B$6*D297</f>
        <v>3980</v>
      </c>
      <c r="G297" s="47">
        <v>296</v>
      </c>
      <c r="H297" s="38" t="s">
        <v>8</v>
      </c>
      <c r="I297" s="38">
        <v>1</v>
      </c>
      <c r="J297" s="39">
        <v>0.5495315609542919</v>
      </c>
      <c r="K297" s="40">
        <f>ROUND(NORMINV(J297,IO!$B$10,IO!$B$11),0)</f>
        <v>104</v>
      </c>
      <c r="L297" s="40">
        <f>MIN(K297,IO!$B$4+IO!$B$8)</f>
        <v>102</v>
      </c>
      <c r="M297" s="40">
        <f>IF(L297-I297&gt;IO!$B$4,Model!L297-Model!I297-IO!$B$4,0)</f>
        <v>1</v>
      </c>
      <c r="N297" s="41">
        <f>IO!$B$5*Model!L297-IO!$B$6*Model!M297</f>
        <v>3980</v>
      </c>
    </row>
    <row r="298" spans="1:14" x14ac:dyDescent="0.35">
      <c r="A298" s="30">
        <v>297</v>
      </c>
      <c r="B298" s="31">
        <v>2</v>
      </c>
      <c r="C298" s="32">
        <f>(IO!$B$4+IO!$B$8)</f>
        <v>102</v>
      </c>
      <c r="D298" s="32">
        <f>IF(B298&gt;IO!$B$8,0,IO!$B$8-Model!B298)</f>
        <v>0</v>
      </c>
      <c r="E298" s="33">
        <f>IO!$B$5*C298-IO!$B$6*D298</f>
        <v>4080</v>
      </c>
      <c r="G298" s="47">
        <v>297</v>
      </c>
      <c r="H298" s="38" t="s">
        <v>9</v>
      </c>
      <c r="I298" s="38">
        <v>2</v>
      </c>
      <c r="J298" s="39">
        <v>0.761522879418846</v>
      </c>
      <c r="K298" s="40">
        <f>ROUND(NORMINV(J298,IO!$B$10,IO!$B$11),0)</f>
        <v>107</v>
      </c>
      <c r="L298" s="40">
        <f>MIN(K298,IO!$B$4+IO!$B$8)</f>
        <v>102</v>
      </c>
      <c r="M298" s="40">
        <f>IF(L298-I298&gt;IO!$B$4,Model!L298-Model!I298-IO!$B$4,0)</f>
        <v>0</v>
      </c>
      <c r="N298" s="41">
        <f>IO!$B$5*Model!L298-IO!$B$6*Model!M298</f>
        <v>4080</v>
      </c>
    </row>
    <row r="299" spans="1:14" x14ac:dyDescent="0.35">
      <c r="A299" s="30">
        <v>298</v>
      </c>
      <c r="B299" s="31">
        <v>7</v>
      </c>
      <c r="C299" s="32">
        <f>(IO!$B$4+IO!$B$8)</f>
        <v>102</v>
      </c>
      <c r="D299" s="32">
        <f>IF(B299&gt;IO!$B$8,0,IO!$B$8-Model!B299)</f>
        <v>0</v>
      </c>
      <c r="E299" s="33">
        <f>IO!$B$5*C299-IO!$B$6*D299</f>
        <v>4080</v>
      </c>
      <c r="G299" s="47">
        <v>298</v>
      </c>
      <c r="H299" s="38" t="s">
        <v>7</v>
      </c>
      <c r="I299" s="38">
        <v>7</v>
      </c>
      <c r="J299" s="39">
        <v>0.45682557143543812</v>
      </c>
      <c r="K299" s="40">
        <f>ROUND(NORMINV(J299,IO!$B$10,IO!$B$11),0)</f>
        <v>102</v>
      </c>
      <c r="L299" s="40">
        <f>MIN(K299,IO!$B$4+IO!$B$8)</f>
        <v>102</v>
      </c>
      <c r="M299" s="40">
        <f>IF(L299-I299&gt;IO!$B$4,Model!L299-Model!I299-IO!$B$4,0)</f>
        <v>0</v>
      </c>
      <c r="N299" s="41">
        <f>IO!$B$5*Model!L299-IO!$B$6*Model!M299</f>
        <v>4080</v>
      </c>
    </row>
    <row r="300" spans="1:14" x14ac:dyDescent="0.35">
      <c r="A300" s="30">
        <v>299</v>
      </c>
      <c r="B300" s="31">
        <v>0</v>
      </c>
      <c r="C300" s="32">
        <f>(IO!$B$4+IO!$B$8)</f>
        <v>102</v>
      </c>
      <c r="D300" s="32">
        <f>IF(B300&gt;IO!$B$8,0,IO!$B$8-Model!B300)</f>
        <v>2</v>
      </c>
      <c r="E300" s="33">
        <f>IO!$B$5*C300-IO!$B$6*D300</f>
        <v>3880</v>
      </c>
      <c r="G300" s="47">
        <v>299</v>
      </c>
      <c r="H300" s="38" t="s">
        <v>8</v>
      </c>
      <c r="I300" s="38">
        <v>0</v>
      </c>
      <c r="J300" s="39">
        <v>0.89755688773015407</v>
      </c>
      <c r="K300" s="40">
        <f>ROUND(NORMINV(J300,IO!$B$10,IO!$B$11),0)</f>
        <v>109</v>
      </c>
      <c r="L300" s="40">
        <f>MIN(K300,IO!$B$4+IO!$B$8)</f>
        <v>102</v>
      </c>
      <c r="M300" s="40">
        <f>IF(L300-I300&gt;IO!$B$4,Model!L300-Model!I300-IO!$B$4,0)</f>
        <v>2</v>
      </c>
      <c r="N300" s="41">
        <f>IO!$B$5*Model!L300-IO!$B$6*Model!M300</f>
        <v>3880</v>
      </c>
    </row>
    <row r="301" spans="1:14" x14ac:dyDescent="0.35">
      <c r="A301" s="30">
        <v>300</v>
      </c>
      <c r="B301" s="31">
        <v>0</v>
      </c>
      <c r="C301" s="32">
        <f>(IO!$B$4+IO!$B$8)</f>
        <v>102</v>
      </c>
      <c r="D301" s="32">
        <f>IF(B301&gt;IO!$B$8,0,IO!$B$8-Model!B301)</f>
        <v>2</v>
      </c>
      <c r="E301" s="33">
        <f>IO!$B$5*C301-IO!$B$6*D301</f>
        <v>3880</v>
      </c>
      <c r="G301" s="47">
        <v>300</v>
      </c>
      <c r="H301" s="38" t="s">
        <v>9</v>
      </c>
      <c r="I301" s="38">
        <v>0</v>
      </c>
      <c r="J301" s="39">
        <v>0.68927146055310828</v>
      </c>
      <c r="K301" s="40">
        <f>ROUND(NORMINV(J301,IO!$B$10,IO!$B$11),0)</f>
        <v>105</v>
      </c>
      <c r="L301" s="40">
        <f>MIN(K301,IO!$B$4+IO!$B$8)</f>
        <v>102</v>
      </c>
      <c r="M301" s="40">
        <f>IF(L301-I301&gt;IO!$B$4,Model!L301-Model!I301-IO!$B$4,0)</f>
        <v>2</v>
      </c>
      <c r="N301" s="41">
        <f>IO!$B$5*Model!L301-IO!$B$6*Model!M301</f>
        <v>3880</v>
      </c>
    </row>
    <row r="302" spans="1:14" x14ac:dyDescent="0.35">
      <c r="A302" s="30">
        <v>301</v>
      </c>
      <c r="B302" s="31">
        <v>2</v>
      </c>
      <c r="C302" s="32">
        <f>(IO!$B$4+IO!$B$8)</f>
        <v>102</v>
      </c>
      <c r="D302" s="32">
        <f>IF(B302&gt;IO!$B$8,0,IO!$B$8-Model!B302)</f>
        <v>0</v>
      </c>
      <c r="E302" s="33">
        <f>IO!$B$5*C302-IO!$B$6*D302</f>
        <v>4080</v>
      </c>
      <c r="G302" s="47">
        <v>301</v>
      </c>
      <c r="H302" s="38" t="s">
        <v>7</v>
      </c>
      <c r="I302" s="38">
        <v>2</v>
      </c>
      <c r="J302" s="39">
        <v>0.84512712481098207</v>
      </c>
      <c r="K302" s="40">
        <f>ROUND(NORMINV(J302,IO!$B$10,IO!$B$11),0)</f>
        <v>108</v>
      </c>
      <c r="L302" s="40">
        <f>MIN(K302,IO!$B$4+IO!$B$8)</f>
        <v>102</v>
      </c>
      <c r="M302" s="40">
        <f>IF(L302-I302&gt;IO!$B$4,Model!L302-Model!I302-IO!$B$4,0)</f>
        <v>0</v>
      </c>
      <c r="N302" s="41">
        <f>IO!$B$5*Model!L302-IO!$B$6*Model!M302</f>
        <v>4080</v>
      </c>
    </row>
    <row r="303" spans="1:14" x14ac:dyDescent="0.35">
      <c r="A303" s="30">
        <v>302</v>
      </c>
      <c r="B303" s="31">
        <v>3</v>
      </c>
      <c r="C303" s="32">
        <f>(IO!$B$4+IO!$B$8)</f>
        <v>102</v>
      </c>
      <c r="D303" s="32">
        <f>IF(B303&gt;IO!$B$8,0,IO!$B$8-Model!B303)</f>
        <v>0</v>
      </c>
      <c r="E303" s="33">
        <f>IO!$B$5*C303-IO!$B$6*D303</f>
        <v>4080</v>
      </c>
      <c r="G303" s="47">
        <v>302</v>
      </c>
      <c r="H303" s="38" t="s">
        <v>8</v>
      </c>
      <c r="I303" s="38">
        <v>3</v>
      </c>
      <c r="J303" s="39">
        <v>0.57550991690425457</v>
      </c>
      <c r="K303" s="40">
        <f>ROUND(NORMINV(J303,IO!$B$10,IO!$B$11),0)</f>
        <v>104</v>
      </c>
      <c r="L303" s="40">
        <f>MIN(K303,IO!$B$4+IO!$B$8)</f>
        <v>102</v>
      </c>
      <c r="M303" s="40">
        <f>IF(L303-I303&gt;IO!$B$4,Model!L303-Model!I303-IO!$B$4,0)</f>
        <v>0</v>
      </c>
      <c r="N303" s="41">
        <f>IO!$B$5*Model!L303-IO!$B$6*Model!M303</f>
        <v>4080</v>
      </c>
    </row>
    <row r="304" spans="1:14" x14ac:dyDescent="0.35">
      <c r="A304" s="30">
        <v>303</v>
      </c>
      <c r="B304" s="31">
        <v>2</v>
      </c>
      <c r="C304" s="32">
        <f>(IO!$B$4+IO!$B$8)</f>
        <v>102</v>
      </c>
      <c r="D304" s="32">
        <f>IF(B304&gt;IO!$B$8,0,IO!$B$8-Model!B304)</f>
        <v>0</v>
      </c>
      <c r="E304" s="33">
        <f>IO!$B$5*C304-IO!$B$6*D304</f>
        <v>4080</v>
      </c>
      <c r="G304" s="47">
        <v>303</v>
      </c>
      <c r="H304" s="38" t="s">
        <v>9</v>
      </c>
      <c r="I304" s="38">
        <v>2</v>
      </c>
      <c r="J304" s="39">
        <v>0.63161635244557446</v>
      </c>
      <c r="K304" s="40">
        <f>ROUND(NORMINV(J304,IO!$B$10,IO!$B$11),0)</f>
        <v>105</v>
      </c>
      <c r="L304" s="40">
        <f>MIN(K304,IO!$B$4+IO!$B$8)</f>
        <v>102</v>
      </c>
      <c r="M304" s="40">
        <f>IF(L304-I304&gt;IO!$B$4,Model!L304-Model!I304-IO!$B$4,0)</f>
        <v>0</v>
      </c>
      <c r="N304" s="41">
        <f>IO!$B$5*Model!L304-IO!$B$6*Model!M304</f>
        <v>4080</v>
      </c>
    </row>
    <row r="305" spans="1:14" x14ac:dyDescent="0.35">
      <c r="A305" s="30">
        <v>304</v>
      </c>
      <c r="B305" s="31">
        <v>4</v>
      </c>
      <c r="C305" s="32">
        <f>(IO!$B$4+IO!$B$8)</f>
        <v>102</v>
      </c>
      <c r="D305" s="32">
        <f>IF(B305&gt;IO!$B$8,0,IO!$B$8-Model!B305)</f>
        <v>0</v>
      </c>
      <c r="E305" s="33">
        <f>IO!$B$5*C305-IO!$B$6*D305</f>
        <v>4080</v>
      </c>
      <c r="G305" s="47">
        <v>304</v>
      </c>
      <c r="H305" s="38" t="s">
        <v>7</v>
      </c>
      <c r="I305" s="38">
        <v>4</v>
      </c>
      <c r="J305" s="39">
        <v>0.77643607514712432</v>
      </c>
      <c r="K305" s="40">
        <f>ROUND(NORMINV(J305,IO!$B$10,IO!$B$11),0)</f>
        <v>107</v>
      </c>
      <c r="L305" s="40">
        <f>MIN(K305,IO!$B$4+IO!$B$8)</f>
        <v>102</v>
      </c>
      <c r="M305" s="40">
        <f>IF(L305-I305&gt;IO!$B$4,Model!L305-Model!I305-IO!$B$4,0)</f>
        <v>0</v>
      </c>
      <c r="N305" s="41">
        <f>IO!$B$5*Model!L305-IO!$B$6*Model!M305</f>
        <v>4080</v>
      </c>
    </row>
    <row r="306" spans="1:14" x14ac:dyDescent="0.35">
      <c r="A306" s="30">
        <v>305</v>
      </c>
      <c r="B306" s="31">
        <v>2</v>
      </c>
      <c r="C306" s="32">
        <f>(IO!$B$4+IO!$B$8)</f>
        <v>102</v>
      </c>
      <c r="D306" s="32">
        <f>IF(B306&gt;IO!$B$8,0,IO!$B$8-Model!B306)</f>
        <v>0</v>
      </c>
      <c r="E306" s="33">
        <f>IO!$B$5*C306-IO!$B$6*D306</f>
        <v>4080</v>
      </c>
      <c r="G306" s="47">
        <v>305</v>
      </c>
      <c r="H306" s="38" t="s">
        <v>8</v>
      </c>
      <c r="I306" s="38">
        <v>2</v>
      </c>
      <c r="J306" s="39">
        <v>0.49928546063768753</v>
      </c>
      <c r="K306" s="40">
        <f>ROUND(NORMINV(J306,IO!$B$10,IO!$B$11),0)</f>
        <v>103</v>
      </c>
      <c r="L306" s="40">
        <f>MIN(K306,IO!$B$4+IO!$B$8)</f>
        <v>102</v>
      </c>
      <c r="M306" s="40">
        <f>IF(L306-I306&gt;IO!$B$4,Model!L306-Model!I306-IO!$B$4,0)</f>
        <v>0</v>
      </c>
      <c r="N306" s="41">
        <f>IO!$B$5*Model!L306-IO!$B$6*Model!M306</f>
        <v>4080</v>
      </c>
    </row>
    <row r="307" spans="1:14" x14ac:dyDescent="0.35">
      <c r="A307" s="30">
        <v>306</v>
      </c>
      <c r="B307" s="31">
        <v>0</v>
      </c>
      <c r="C307" s="32">
        <f>(IO!$B$4+IO!$B$8)</f>
        <v>102</v>
      </c>
      <c r="D307" s="32">
        <f>IF(B307&gt;IO!$B$8,0,IO!$B$8-Model!B307)</f>
        <v>2</v>
      </c>
      <c r="E307" s="33">
        <f>IO!$B$5*C307-IO!$B$6*D307</f>
        <v>3880</v>
      </c>
      <c r="G307" s="47">
        <v>306</v>
      </c>
      <c r="H307" s="38" t="s">
        <v>9</v>
      </c>
      <c r="I307" s="38">
        <v>0</v>
      </c>
      <c r="J307" s="39">
        <v>0.9615353771618198</v>
      </c>
      <c r="K307" s="40">
        <f>ROUND(NORMINV(J307,IO!$B$10,IO!$B$11),0)</f>
        <v>112</v>
      </c>
      <c r="L307" s="40">
        <f>MIN(K307,IO!$B$4+IO!$B$8)</f>
        <v>102</v>
      </c>
      <c r="M307" s="40">
        <f>IF(L307-I307&gt;IO!$B$4,Model!L307-Model!I307-IO!$B$4,0)</f>
        <v>2</v>
      </c>
      <c r="N307" s="41">
        <f>IO!$B$5*Model!L307-IO!$B$6*Model!M307</f>
        <v>3880</v>
      </c>
    </row>
    <row r="308" spans="1:14" x14ac:dyDescent="0.35">
      <c r="A308" s="30">
        <v>307</v>
      </c>
      <c r="B308" s="31">
        <v>3</v>
      </c>
      <c r="C308" s="32">
        <f>(IO!$B$4+IO!$B$8)</f>
        <v>102</v>
      </c>
      <c r="D308" s="32">
        <f>IF(B308&gt;IO!$B$8,0,IO!$B$8-Model!B308)</f>
        <v>0</v>
      </c>
      <c r="E308" s="33">
        <f>IO!$B$5*C308-IO!$B$6*D308</f>
        <v>4080</v>
      </c>
      <c r="G308" s="47">
        <v>307</v>
      </c>
      <c r="H308" s="38" t="s">
        <v>7</v>
      </c>
      <c r="I308" s="38">
        <v>3</v>
      </c>
      <c r="J308" s="39">
        <v>0.53533210566435763</v>
      </c>
      <c r="K308" s="40">
        <f>ROUND(NORMINV(J308,IO!$B$10,IO!$B$11),0)</f>
        <v>103</v>
      </c>
      <c r="L308" s="40">
        <f>MIN(K308,IO!$B$4+IO!$B$8)</f>
        <v>102</v>
      </c>
      <c r="M308" s="40">
        <f>IF(L308-I308&gt;IO!$B$4,Model!L308-Model!I308-IO!$B$4,0)</f>
        <v>0</v>
      </c>
      <c r="N308" s="41">
        <f>IO!$B$5*Model!L308-IO!$B$6*Model!M308</f>
        <v>4080</v>
      </c>
    </row>
    <row r="309" spans="1:14" x14ac:dyDescent="0.35">
      <c r="A309" s="30">
        <v>308</v>
      </c>
      <c r="B309" s="31">
        <v>2</v>
      </c>
      <c r="C309" s="32">
        <f>(IO!$B$4+IO!$B$8)</f>
        <v>102</v>
      </c>
      <c r="D309" s="32">
        <f>IF(B309&gt;IO!$B$8,0,IO!$B$8-Model!B309)</f>
        <v>0</v>
      </c>
      <c r="E309" s="33">
        <f>IO!$B$5*C309-IO!$B$6*D309</f>
        <v>4080</v>
      </c>
      <c r="G309" s="47">
        <v>308</v>
      </c>
      <c r="H309" s="38" t="s">
        <v>8</v>
      </c>
      <c r="I309" s="38">
        <v>2</v>
      </c>
      <c r="J309" s="39">
        <v>0.75031133944605632</v>
      </c>
      <c r="K309" s="40">
        <f>ROUND(NORMINV(J309,IO!$B$10,IO!$B$11),0)</f>
        <v>106</v>
      </c>
      <c r="L309" s="40">
        <f>MIN(K309,IO!$B$4+IO!$B$8)</f>
        <v>102</v>
      </c>
      <c r="M309" s="40">
        <f>IF(L309-I309&gt;IO!$B$4,Model!L309-Model!I309-IO!$B$4,0)</f>
        <v>0</v>
      </c>
      <c r="N309" s="41">
        <f>IO!$B$5*Model!L309-IO!$B$6*Model!M309</f>
        <v>4080</v>
      </c>
    </row>
    <row r="310" spans="1:14" x14ac:dyDescent="0.35">
      <c r="A310" s="30">
        <v>309</v>
      </c>
      <c r="B310" s="31">
        <v>0</v>
      </c>
      <c r="C310" s="32">
        <f>(IO!$B$4+IO!$B$8)</f>
        <v>102</v>
      </c>
      <c r="D310" s="32">
        <f>IF(B310&gt;IO!$B$8,0,IO!$B$8-Model!B310)</f>
        <v>2</v>
      </c>
      <c r="E310" s="33">
        <f>IO!$B$5*C310-IO!$B$6*D310</f>
        <v>3880</v>
      </c>
      <c r="G310" s="47">
        <v>309</v>
      </c>
      <c r="H310" s="38" t="s">
        <v>9</v>
      </c>
      <c r="I310" s="38">
        <v>0</v>
      </c>
      <c r="J310" s="39">
        <v>0.98129123893632209</v>
      </c>
      <c r="K310" s="40">
        <f>ROUND(NORMINV(J310,IO!$B$10,IO!$B$11),0)</f>
        <v>113</v>
      </c>
      <c r="L310" s="40">
        <f>MIN(K310,IO!$B$4+IO!$B$8)</f>
        <v>102</v>
      </c>
      <c r="M310" s="40">
        <f>IF(L310-I310&gt;IO!$B$4,Model!L310-Model!I310-IO!$B$4,0)</f>
        <v>2</v>
      </c>
      <c r="N310" s="41">
        <f>IO!$B$5*Model!L310-IO!$B$6*Model!M310</f>
        <v>3880</v>
      </c>
    </row>
    <row r="311" spans="1:14" x14ac:dyDescent="0.35">
      <c r="A311" s="30">
        <v>310</v>
      </c>
      <c r="B311" s="31">
        <v>4</v>
      </c>
      <c r="C311" s="32">
        <f>(IO!$B$4+IO!$B$8)</f>
        <v>102</v>
      </c>
      <c r="D311" s="32">
        <f>IF(B311&gt;IO!$B$8,0,IO!$B$8-Model!B311)</f>
        <v>0</v>
      </c>
      <c r="E311" s="33">
        <f>IO!$B$5*C311-IO!$B$6*D311</f>
        <v>4080</v>
      </c>
      <c r="G311" s="47">
        <v>310</v>
      </c>
      <c r="H311" s="38" t="s">
        <v>7</v>
      </c>
      <c r="I311" s="38">
        <v>4</v>
      </c>
      <c r="J311" s="39">
        <v>0.73951584787118796</v>
      </c>
      <c r="K311" s="40">
        <f>ROUND(NORMINV(J311,IO!$B$10,IO!$B$11),0)</f>
        <v>106</v>
      </c>
      <c r="L311" s="40">
        <f>MIN(K311,IO!$B$4+IO!$B$8)</f>
        <v>102</v>
      </c>
      <c r="M311" s="40">
        <f>IF(L311-I311&gt;IO!$B$4,Model!L311-Model!I311-IO!$B$4,0)</f>
        <v>0</v>
      </c>
      <c r="N311" s="41">
        <f>IO!$B$5*Model!L311-IO!$B$6*Model!M311</f>
        <v>4080</v>
      </c>
    </row>
    <row r="312" spans="1:14" x14ac:dyDescent="0.35">
      <c r="A312" s="30">
        <v>311</v>
      </c>
      <c r="B312" s="31">
        <v>2</v>
      </c>
      <c r="C312" s="32">
        <f>(IO!$B$4+IO!$B$8)</f>
        <v>102</v>
      </c>
      <c r="D312" s="32">
        <f>IF(B312&gt;IO!$B$8,0,IO!$B$8-Model!B312)</f>
        <v>0</v>
      </c>
      <c r="E312" s="33">
        <f>IO!$B$5*C312-IO!$B$6*D312</f>
        <v>4080</v>
      </c>
      <c r="G312" s="47">
        <v>311</v>
      </c>
      <c r="H312" s="38" t="s">
        <v>8</v>
      </c>
      <c r="I312" s="38">
        <v>2</v>
      </c>
      <c r="J312" s="39">
        <v>0.61393556739050081</v>
      </c>
      <c r="K312" s="40">
        <f>ROUND(NORMINV(J312,IO!$B$10,IO!$B$11),0)</f>
        <v>104</v>
      </c>
      <c r="L312" s="40">
        <f>MIN(K312,IO!$B$4+IO!$B$8)</f>
        <v>102</v>
      </c>
      <c r="M312" s="40">
        <f>IF(L312-I312&gt;IO!$B$4,Model!L312-Model!I312-IO!$B$4,0)</f>
        <v>0</v>
      </c>
      <c r="N312" s="41">
        <f>IO!$B$5*Model!L312-IO!$B$6*Model!M312</f>
        <v>4080</v>
      </c>
    </row>
    <row r="313" spans="1:14" x14ac:dyDescent="0.35">
      <c r="A313" s="30">
        <v>312</v>
      </c>
      <c r="B313" s="31">
        <v>0</v>
      </c>
      <c r="C313" s="32">
        <f>(IO!$B$4+IO!$B$8)</f>
        <v>102</v>
      </c>
      <c r="D313" s="32">
        <f>IF(B313&gt;IO!$B$8,0,IO!$B$8-Model!B313)</f>
        <v>2</v>
      </c>
      <c r="E313" s="33">
        <f>IO!$B$5*C313-IO!$B$6*D313</f>
        <v>3880</v>
      </c>
      <c r="G313" s="47">
        <v>312</v>
      </c>
      <c r="H313" s="38" t="s">
        <v>9</v>
      </c>
      <c r="I313" s="38">
        <v>0</v>
      </c>
      <c r="J313" s="39">
        <v>0.17958406267670224</v>
      </c>
      <c r="K313" s="40">
        <f>ROUND(NORMINV(J313,IO!$B$10,IO!$B$11),0)</f>
        <v>98</v>
      </c>
      <c r="L313" s="40">
        <f>MIN(K313,IO!$B$4+IO!$B$8)</f>
        <v>98</v>
      </c>
      <c r="M313" s="40">
        <f>IF(L313-I313&gt;IO!$B$4,Model!L313-Model!I313-IO!$B$4,0)</f>
        <v>0</v>
      </c>
      <c r="N313" s="41">
        <f>IO!$B$5*Model!L313-IO!$B$6*Model!M313</f>
        <v>3920</v>
      </c>
    </row>
    <row r="314" spans="1:14" x14ac:dyDescent="0.35">
      <c r="A314" s="30">
        <v>313</v>
      </c>
      <c r="B314" s="31">
        <v>7</v>
      </c>
      <c r="C314" s="32">
        <f>(IO!$B$4+IO!$B$8)</f>
        <v>102</v>
      </c>
      <c r="D314" s="32">
        <f>IF(B314&gt;IO!$B$8,0,IO!$B$8-Model!B314)</f>
        <v>0</v>
      </c>
      <c r="E314" s="33">
        <f>IO!$B$5*C314-IO!$B$6*D314</f>
        <v>4080</v>
      </c>
      <c r="G314" s="47">
        <v>313</v>
      </c>
      <c r="H314" s="38" t="s">
        <v>7</v>
      </c>
      <c r="I314" s="38">
        <v>7</v>
      </c>
      <c r="J314" s="39">
        <v>0.23961653738704858</v>
      </c>
      <c r="K314" s="40">
        <f>ROUND(NORMINV(J314,IO!$B$10,IO!$B$11),0)</f>
        <v>99</v>
      </c>
      <c r="L314" s="40">
        <f>MIN(K314,IO!$B$4+IO!$B$8)</f>
        <v>99</v>
      </c>
      <c r="M314" s="40">
        <f>IF(L314-I314&gt;IO!$B$4,Model!L314-Model!I314-IO!$B$4,0)</f>
        <v>0</v>
      </c>
      <c r="N314" s="41">
        <f>IO!$B$5*Model!L314-IO!$B$6*Model!M314</f>
        <v>3960</v>
      </c>
    </row>
    <row r="315" spans="1:14" x14ac:dyDescent="0.35">
      <c r="A315" s="30">
        <v>314</v>
      </c>
      <c r="B315" s="31">
        <v>2</v>
      </c>
      <c r="C315" s="32">
        <f>(IO!$B$4+IO!$B$8)</f>
        <v>102</v>
      </c>
      <c r="D315" s="32">
        <f>IF(B315&gt;IO!$B$8,0,IO!$B$8-Model!B315)</f>
        <v>0</v>
      </c>
      <c r="E315" s="33">
        <f>IO!$B$5*C315-IO!$B$6*D315</f>
        <v>4080</v>
      </c>
      <c r="G315" s="47">
        <v>314</v>
      </c>
      <c r="H315" s="38" t="s">
        <v>8</v>
      </c>
      <c r="I315" s="38">
        <v>2</v>
      </c>
      <c r="J315" s="39">
        <v>0.60639840681378776</v>
      </c>
      <c r="K315" s="40">
        <f>ROUND(NORMINV(J315,IO!$B$10,IO!$B$11),0)</f>
        <v>104</v>
      </c>
      <c r="L315" s="40">
        <f>MIN(K315,IO!$B$4+IO!$B$8)</f>
        <v>102</v>
      </c>
      <c r="M315" s="40">
        <f>IF(L315-I315&gt;IO!$B$4,Model!L315-Model!I315-IO!$B$4,0)</f>
        <v>0</v>
      </c>
      <c r="N315" s="41">
        <f>IO!$B$5*Model!L315-IO!$B$6*Model!M315</f>
        <v>4080</v>
      </c>
    </row>
    <row r="316" spans="1:14" x14ac:dyDescent="0.35">
      <c r="A316" s="30">
        <v>315</v>
      </c>
      <c r="B316" s="31">
        <v>0</v>
      </c>
      <c r="C316" s="32">
        <f>(IO!$B$4+IO!$B$8)</f>
        <v>102</v>
      </c>
      <c r="D316" s="32">
        <f>IF(B316&gt;IO!$B$8,0,IO!$B$8-Model!B316)</f>
        <v>2</v>
      </c>
      <c r="E316" s="33">
        <f>IO!$B$5*C316-IO!$B$6*D316</f>
        <v>3880</v>
      </c>
      <c r="G316" s="47">
        <v>315</v>
      </c>
      <c r="H316" s="38" t="s">
        <v>9</v>
      </c>
      <c r="I316" s="38">
        <v>0</v>
      </c>
      <c r="J316" s="39">
        <v>0.10378144254223365</v>
      </c>
      <c r="K316" s="40">
        <f>ROUND(NORMINV(J316,IO!$B$10,IO!$B$11),0)</f>
        <v>97</v>
      </c>
      <c r="L316" s="40">
        <f>MIN(K316,IO!$B$4+IO!$B$8)</f>
        <v>97</v>
      </c>
      <c r="M316" s="40">
        <f>IF(L316-I316&gt;IO!$B$4,Model!L316-Model!I316-IO!$B$4,0)</f>
        <v>0</v>
      </c>
      <c r="N316" s="41">
        <f>IO!$B$5*Model!L316-IO!$B$6*Model!M316</f>
        <v>3880</v>
      </c>
    </row>
    <row r="317" spans="1:14" x14ac:dyDescent="0.35">
      <c r="A317" s="30">
        <v>316</v>
      </c>
      <c r="B317" s="31">
        <v>3</v>
      </c>
      <c r="C317" s="32">
        <f>(IO!$B$4+IO!$B$8)</f>
        <v>102</v>
      </c>
      <c r="D317" s="32">
        <f>IF(B317&gt;IO!$B$8,0,IO!$B$8-Model!B317)</f>
        <v>0</v>
      </c>
      <c r="E317" s="33">
        <f>IO!$B$5*C317-IO!$B$6*D317</f>
        <v>4080</v>
      </c>
      <c r="G317" s="47">
        <v>316</v>
      </c>
      <c r="H317" s="38" t="s">
        <v>7</v>
      </c>
      <c r="I317" s="38">
        <v>3</v>
      </c>
      <c r="J317" s="39">
        <v>0.72277122566454899</v>
      </c>
      <c r="K317" s="40">
        <f>ROUND(NORMINV(J317,IO!$B$10,IO!$B$11),0)</f>
        <v>106</v>
      </c>
      <c r="L317" s="40">
        <f>MIN(K317,IO!$B$4+IO!$B$8)</f>
        <v>102</v>
      </c>
      <c r="M317" s="40">
        <f>IF(L317-I317&gt;IO!$B$4,Model!L317-Model!I317-IO!$B$4,0)</f>
        <v>0</v>
      </c>
      <c r="N317" s="41">
        <f>IO!$B$5*Model!L317-IO!$B$6*Model!M317</f>
        <v>4080</v>
      </c>
    </row>
    <row r="318" spans="1:14" x14ac:dyDescent="0.35">
      <c r="A318" s="30">
        <v>317</v>
      </c>
      <c r="B318" s="31">
        <v>5</v>
      </c>
      <c r="C318" s="32">
        <f>(IO!$B$4+IO!$B$8)</f>
        <v>102</v>
      </c>
      <c r="D318" s="32">
        <f>IF(B318&gt;IO!$B$8,0,IO!$B$8-Model!B318)</f>
        <v>0</v>
      </c>
      <c r="E318" s="33">
        <f>IO!$B$5*C318-IO!$B$6*D318</f>
        <v>4080</v>
      </c>
      <c r="G318" s="47">
        <v>317</v>
      </c>
      <c r="H318" s="38" t="s">
        <v>8</v>
      </c>
      <c r="I318" s="38">
        <v>5</v>
      </c>
      <c r="J318" s="39">
        <v>0.40729146490241486</v>
      </c>
      <c r="K318" s="40">
        <f>ROUND(NORMINV(J318,IO!$B$10,IO!$B$11),0)</f>
        <v>102</v>
      </c>
      <c r="L318" s="40">
        <f>MIN(K318,IO!$B$4+IO!$B$8)</f>
        <v>102</v>
      </c>
      <c r="M318" s="40">
        <f>IF(L318-I318&gt;IO!$B$4,Model!L318-Model!I318-IO!$B$4,0)</f>
        <v>0</v>
      </c>
      <c r="N318" s="41">
        <f>IO!$B$5*Model!L318-IO!$B$6*Model!M318</f>
        <v>4080</v>
      </c>
    </row>
    <row r="319" spans="1:14" x14ac:dyDescent="0.35">
      <c r="A319" s="30">
        <v>318</v>
      </c>
      <c r="B319" s="31">
        <v>1</v>
      </c>
      <c r="C319" s="32">
        <f>(IO!$B$4+IO!$B$8)</f>
        <v>102</v>
      </c>
      <c r="D319" s="32">
        <f>IF(B319&gt;IO!$B$8,0,IO!$B$8-Model!B319)</f>
        <v>1</v>
      </c>
      <c r="E319" s="33">
        <f>IO!$B$5*C319-IO!$B$6*D319</f>
        <v>3980</v>
      </c>
      <c r="G319" s="47">
        <v>318</v>
      </c>
      <c r="H319" s="38" t="s">
        <v>9</v>
      </c>
      <c r="I319" s="38">
        <v>1</v>
      </c>
      <c r="J319" s="39">
        <v>0.21391928220107703</v>
      </c>
      <c r="K319" s="40">
        <f>ROUND(NORMINV(J319,IO!$B$10,IO!$B$11),0)</f>
        <v>99</v>
      </c>
      <c r="L319" s="40">
        <f>MIN(K319,IO!$B$4+IO!$B$8)</f>
        <v>99</v>
      </c>
      <c r="M319" s="40">
        <f>IF(L319-I319&gt;IO!$B$4,Model!L319-Model!I319-IO!$B$4,0)</f>
        <v>0</v>
      </c>
      <c r="N319" s="41">
        <f>IO!$B$5*Model!L319-IO!$B$6*Model!M319</f>
        <v>3960</v>
      </c>
    </row>
    <row r="320" spans="1:14" x14ac:dyDescent="0.35">
      <c r="A320" s="30">
        <v>319</v>
      </c>
      <c r="B320" s="31">
        <v>3</v>
      </c>
      <c r="C320" s="32">
        <f>(IO!$B$4+IO!$B$8)</f>
        <v>102</v>
      </c>
      <c r="D320" s="32">
        <f>IF(B320&gt;IO!$B$8,0,IO!$B$8-Model!B320)</f>
        <v>0</v>
      </c>
      <c r="E320" s="33">
        <f>IO!$B$5*C320-IO!$B$6*D320</f>
        <v>4080</v>
      </c>
      <c r="G320" s="47">
        <v>319</v>
      </c>
      <c r="H320" s="38" t="s">
        <v>7</v>
      </c>
      <c r="I320" s="38">
        <v>3</v>
      </c>
      <c r="J320" s="39">
        <v>0.53367421637573997</v>
      </c>
      <c r="K320" s="40">
        <f>ROUND(NORMINV(J320,IO!$B$10,IO!$B$11),0)</f>
        <v>103</v>
      </c>
      <c r="L320" s="40">
        <f>MIN(K320,IO!$B$4+IO!$B$8)</f>
        <v>102</v>
      </c>
      <c r="M320" s="40">
        <f>IF(L320-I320&gt;IO!$B$4,Model!L320-Model!I320-IO!$B$4,0)</f>
        <v>0</v>
      </c>
      <c r="N320" s="41">
        <f>IO!$B$5*Model!L320-IO!$B$6*Model!M320</f>
        <v>4080</v>
      </c>
    </row>
    <row r="321" spans="1:14" x14ac:dyDescent="0.35">
      <c r="A321" s="30">
        <v>320</v>
      </c>
      <c r="B321" s="31">
        <v>3</v>
      </c>
      <c r="C321" s="32">
        <f>(IO!$B$4+IO!$B$8)</f>
        <v>102</v>
      </c>
      <c r="D321" s="32">
        <f>IF(B321&gt;IO!$B$8,0,IO!$B$8-Model!B321)</f>
        <v>0</v>
      </c>
      <c r="E321" s="33">
        <f>IO!$B$5*C321-IO!$B$6*D321</f>
        <v>4080</v>
      </c>
      <c r="G321" s="47">
        <v>320</v>
      </c>
      <c r="H321" s="38" t="s">
        <v>8</v>
      </c>
      <c r="I321" s="38">
        <v>3</v>
      </c>
      <c r="J321" s="39">
        <v>0.72662984041825751</v>
      </c>
      <c r="K321" s="40">
        <f>ROUND(NORMINV(J321,IO!$B$10,IO!$B$11),0)</f>
        <v>106</v>
      </c>
      <c r="L321" s="40">
        <f>MIN(K321,IO!$B$4+IO!$B$8)</f>
        <v>102</v>
      </c>
      <c r="M321" s="40">
        <f>IF(L321-I321&gt;IO!$B$4,Model!L321-Model!I321-IO!$B$4,0)</f>
        <v>0</v>
      </c>
      <c r="N321" s="41">
        <f>IO!$B$5*Model!L321-IO!$B$6*Model!M321</f>
        <v>4080</v>
      </c>
    </row>
    <row r="322" spans="1:14" x14ac:dyDescent="0.35">
      <c r="A322" s="30">
        <v>321</v>
      </c>
      <c r="B322" s="31">
        <v>1</v>
      </c>
      <c r="C322" s="32">
        <f>(IO!$B$4+IO!$B$8)</f>
        <v>102</v>
      </c>
      <c r="D322" s="32">
        <f>IF(B322&gt;IO!$B$8,0,IO!$B$8-Model!B322)</f>
        <v>1</v>
      </c>
      <c r="E322" s="33">
        <f>IO!$B$5*C322-IO!$B$6*D322</f>
        <v>3980</v>
      </c>
      <c r="G322" s="47">
        <v>321</v>
      </c>
      <c r="H322" s="38" t="s">
        <v>9</v>
      </c>
      <c r="I322" s="38">
        <v>1</v>
      </c>
      <c r="J322" s="39">
        <v>0.95985980047621922</v>
      </c>
      <c r="K322" s="40">
        <f>ROUND(NORMINV(J322,IO!$B$10,IO!$B$11),0)</f>
        <v>112</v>
      </c>
      <c r="L322" s="40">
        <f>MIN(K322,IO!$B$4+IO!$B$8)</f>
        <v>102</v>
      </c>
      <c r="M322" s="40">
        <f>IF(L322-I322&gt;IO!$B$4,Model!L322-Model!I322-IO!$B$4,0)</f>
        <v>1</v>
      </c>
      <c r="N322" s="41">
        <f>IO!$B$5*Model!L322-IO!$B$6*Model!M322</f>
        <v>3980</v>
      </c>
    </row>
    <row r="323" spans="1:14" x14ac:dyDescent="0.35">
      <c r="A323" s="30">
        <v>322</v>
      </c>
      <c r="B323" s="31">
        <v>2</v>
      </c>
      <c r="C323" s="32">
        <f>(IO!$B$4+IO!$B$8)</f>
        <v>102</v>
      </c>
      <c r="D323" s="32">
        <f>IF(B323&gt;IO!$B$8,0,IO!$B$8-Model!B323)</f>
        <v>0</v>
      </c>
      <c r="E323" s="33">
        <f>IO!$B$5*C323-IO!$B$6*D323</f>
        <v>4080</v>
      </c>
      <c r="G323" s="47">
        <v>322</v>
      </c>
      <c r="H323" s="38" t="s">
        <v>7</v>
      </c>
      <c r="I323" s="38">
        <v>2</v>
      </c>
      <c r="J323" s="39">
        <v>0.11101086010293637</v>
      </c>
      <c r="K323" s="40">
        <f>ROUND(NORMINV(J323,IO!$B$10,IO!$B$11),0)</f>
        <v>97</v>
      </c>
      <c r="L323" s="40">
        <f>MIN(K323,IO!$B$4+IO!$B$8)</f>
        <v>97</v>
      </c>
      <c r="M323" s="40">
        <f>IF(L323-I323&gt;IO!$B$4,Model!L323-Model!I323-IO!$B$4,0)</f>
        <v>0</v>
      </c>
      <c r="N323" s="41">
        <f>IO!$B$5*Model!L323-IO!$B$6*Model!M323</f>
        <v>3880</v>
      </c>
    </row>
    <row r="324" spans="1:14" x14ac:dyDescent="0.35">
      <c r="A324" s="30">
        <v>323</v>
      </c>
      <c r="B324" s="31">
        <v>3</v>
      </c>
      <c r="C324" s="32">
        <f>(IO!$B$4+IO!$B$8)</f>
        <v>102</v>
      </c>
      <c r="D324" s="32">
        <f>IF(B324&gt;IO!$B$8,0,IO!$B$8-Model!B324)</f>
        <v>0</v>
      </c>
      <c r="E324" s="33">
        <f>IO!$B$5*C324-IO!$B$6*D324</f>
        <v>4080</v>
      </c>
      <c r="G324" s="47">
        <v>323</v>
      </c>
      <c r="H324" s="38" t="s">
        <v>8</v>
      </c>
      <c r="I324" s="38">
        <v>3</v>
      </c>
      <c r="J324" s="39">
        <v>0.33347650498314385</v>
      </c>
      <c r="K324" s="40">
        <f>ROUND(NORMINV(J324,IO!$B$10,IO!$B$11),0)</f>
        <v>101</v>
      </c>
      <c r="L324" s="40">
        <f>MIN(K324,IO!$B$4+IO!$B$8)</f>
        <v>101</v>
      </c>
      <c r="M324" s="40">
        <f>IF(L324-I324&gt;IO!$B$4,Model!L324-Model!I324-IO!$B$4,0)</f>
        <v>0</v>
      </c>
      <c r="N324" s="41">
        <f>IO!$B$5*Model!L324-IO!$B$6*Model!M324</f>
        <v>4040</v>
      </c>
    </row>
    <row r="325" spans="1:14" x14ac:dyDescent="0.35">
      <c r="A325" s="30">
        <v>324</v>
      </c>
      <c r="B325" s="31">
        <v>0</v>
      </c>
      <c r="C325" s="32">
        <f>(IO!$B$4+IO!$B$8)</f>
        <v>102</v>
      </c>
      <c r="D325" s="32">
        <f>IF(B325&gt;IO!$B$8,0,IO!$B$8-Model!B325)</f>
        <v>2</v>
      </c>
      <c r="E325" s="33">
        <f>IO!$B$5*C325-IO!$B$6*D325</f>
        <v>3880</v>
      </c>
      <c r="G325" s="47">
        <v>324</v>
      </c>
      <c r="H325" s="38" t="s">
        <v>9</v>
      </c>
      <c r="I325" s="38">
        <v>0</v>
      </c>
      <c r="J325" s="39">
        <v>5.3621613668287438E-2</v>
      </c>
      <c r="K325" s="40">
        <f>ROUND(NORMINV(J325,IO!$B$10,IO!$B$11),0)</f>
        <v>95</v>
      </c>
      <c r="L325" s="40">
        <f>MIN(K325,IO!$B$4+IO!$B$8)</f>
        <v>95</v>
      </c>
      <c r="M325" s="40">
        <f>IF(L325-I325&gt;IO!$B$4,Model!L325-Model!I325-IO!$B$4,0)</f>
        <v>0</v>
      </c>
      <c r="N325" s="41">
        <f>IO!$B$5*Model!L325-IO!$B$6*Model!M325</f>
        <v>3800</v>
      </c>
    </row>
    <row r="326" spans="1:14" x14ac:dyDescent="0.35">
      <c r="A326" s="30">
        <v>325</v>
      </c>
      <c r="B326" s="31">
        <v>2</v>
      </c>
      <c r="C326" s="32">
        <f>(IO!$B$4+IO!$B$8)</f>
        <v>102</v>
      </c>
      <c r="D326" s="32">
        <f>IF(B326&gt;IO!$B$8,0,IO!$B$8-Model!B326)</f>
        <v>0</v>
      </c>
      <c r="E326" s="33">
        <f>IO!$B$5*C326-IO!$B$6*D326</f>
        <v>4080</v>
      </c>
      <c r="G326" s="47">
        <v>325</v>
      </c>
      <c r="H326" s="38" t="s">
        <v>7</v>
      </c>
      <c r="I326" s="38">
        <v>2</v>
      </c>
      <c r="J326" s="39">
        <v>0.53530611260713512</v>
      </c>
      <c r="K326" s="40">
        <f>ROUND(NORMINV(J326,IO!$B$10,IO!$B$11),0)</f>
        <v>103</v>
      </c>
      <c r="L326" s="40">
        <f>MIN(K326,IO!$B$4+IO!$B$8)</f>
        <v>102</v>
      </c>
      <c r="M326" s="40">
        <f>IF(L326-I326&gt;IO!$B$4,Model!L326-Model!I326-IO!$B$4,0)</f>
        <v>0</v>
      </c>
      <c r="N326" s="41">
        <f>IO!$B$5*Model!L326-IO!$B$6*Model!M326</f>
        <v>4080</v>
      </c>
    </row>
    <row r="327" spans="1:14" x14ac:dyDescent="0.35">
      <c r="A327" s="30">
        <v>326</v>
      </c>
      <c r="B327" s="31">
        <v>0</v>
      </c>
      <c r="C327" s="32">
        <f>(IO!$B$4+IO!$B$8)</f>
        <v>102</v>
      </c>
      <c r="D327" s="32">
        <f>IF(B327&gt;IO!$B$8,0,IO!$B$8-Model!B327)</f>
        <v>2</v>
      </c>
      <c r="E327" s="33">
        <f>IO!$B$5*C327-IO!$B$6*D327</f>
        <v>3880</v>
      </c>
      <c r="G327" s="47">
        <v>326</v>
      </c>
      <c r="H327" s="38" t="s">
        <v>8</v>
      </c>
      <c r="I327" s="38">
        <v>0</v>
      </c>
      <c r="J327" s="39">
        <v>0.7895987921916009</v>
      </c>
      <c r="K327" s="40">
        <f>ROUND(NORMINV(J327,IO!$B$10,IO!$B$11),0)</f>
        <v>107</v>
      </c>
      <c r="L327" s="40">
        <f>MIN(K327,IO!$B$4+IO!$B$8)</f>
        <v>102</v>
      </c>
      <c r="M327" s="40">
        <f>IF(L327-I327&gt;IO!$B$4,Model!L327-Model!I327-IO!$B$4,0)</f>
        <v>2</v>
      </c>
      <c r="N327" s="41">
        <f>IO!$B$5*Model!L327-IO!$B$6*Model!M327</f>
        <v>3880</v>
      </c>
    </row>
    <row r="328" spans="1:14" x14ac:dyDescent="0.35">
      <c r="A328" s="30">
        <v>327</v>
      </c>
      <c r="B328" s="31">
        <v>0</v>
      </c>
      <c r="C328" s="32">
        <f>(IO!$B$4+IO!$B$8)</f>
        <v>102</v>
      </c>
      <c r="D328" s="32">
        <f>IF(B328&gt;IO!$B$8,0,IO!$B$8-Model!B328)</f>
        <v>2</v>
      </c>
      <c r="E328" s="33">
        <f>IO!$B$5*C328-IO!$B$6*D328</f>
        <v>3880</v>
      </c>
      <c r="G328" s="47">
        <v>327</v>
      </c>
      <c r="H328" s="38" t="s">
        <v>9</v>
      </c>
      <c r="I328" s="38">
        <v>0</v>
      </c>
      <c r="J328" s="39">
        <v>0.54765793526711182</v>
      </c>
      <c r="K328" s="40">
        <f>ROUND(NORMINV(J328,IO!$B$10,IO!$B$11),0)</f>
        <v>104</v>
      </c>
      <c r="L328" s="40">
        <f>MIN(K328,IO!$B$4+IO!$B$8)</f>
        <v>102</v>
      </c>
      <c r="M328" s="40">
        <f>IF(L328-I328&gt;IO!$B$4,Model!L328-Model!I328-IO!$B$4,0)</f>
        <v>2</v>
      </c>
      <c r="N328" s="41">
        <f>IO!$B$5*Model!L328-IO!$B$6*Model!M328</f>
        <v>3880</v>
      </c>
    </row>
    <row r="329" spans="1:14" x14ac:dyDescent="0.35">
      <c r="A329" s="30">
        <v>328</v>
      </c>
      <c r="B329" s="31">
        <v>1</v>
      </c>
      <c r="C329" s="32">
        <f>(IO!$B$4+IO!$B$8)</f>
        <v>102</v>
      </c>
      <c r="D329" s="32">
        <f>IF(B329&gt;IO!$B$8,0,IO!$B$8-Model!B329)</f>
        <v>1</v>
      </c>
      <c r="E329" s="33">
        <f>IO!$B$5*C329-IO!$B$6*D329</f>
        <v>3980</v>
      </c>
      <c r="G329" s="47">
        <v>328</v>
      </c>
      <c r="H329" s="38" t="s">
        <v>7</v>
      </c>
      <c r="I329" s="38">
        <v>1</v>
      </c>
      <c r="J329" s="39">
        <v>0.98063153418519045</v>
      </c>
      <c r="K329" s="40">
        <f>ROUND(NORMINV(J329,IO!$B$10,IO!$B$11),0)</f>
        <v>113</v>
      </c>
      <c r="L329" s="40">
        <f>MIN(K329,IO!$B$4+IO!$B$8)</f>
        <v>102</v>
      </c>
      <c r="M329" s="40">
        <f>IF(L329-I329&gt;IO!$B$4,Model!L329-Model!I329-IO!$B$4,0)</f>
        <v>1</v>
      </c>
      <c r="N329" s="41">
        <f>IO!$B$5*Model!L329-IO!$B$6*Model!M329</f>
        <v>3980</v>
      </c>
    </row>
    <row r="330" spans="1:14" x14ac:dyDescent="0.35">
      <c r="A330" s="30">
        <v>329</v>
      </c>
      <c r="B330" s="31">
        <v>0</v>
      </c>
      <c r="C330" s="32">
        <f>(IO!$B$4+IO!$B$8)</f>
        <v>102</v>
      </c>
      <c r="D330" s="32">
        <f>IF(B330&gt;IO!$B$8,0,IO!$B$8-Model!B330)</f>
        <v>2</v>
      </c>
      <c r="E330" s="33">
        <f>IO!$B$5*C330-IO!$B$6*D330</f>
        <v>3880</v>
      </c>
      <c r="G330" s="47">
        <v>329</v>
      </c>
      <c r="H330" s="38" t="s">
        <v>8</v>
      </c>
      <c r="I330" s="38">
        <v>0</v>
      </c>
      <c r="J330" s="39">
        <v>0.21800020717490343</v>
      </c>
      <c r="K330" s="40">
        <f>ROUND(NORMINV(J330,IO!$B$10,IO!$B$11),0)</f>
        <v>99</v>
      </c>
      <c r="L330" s="40">
        <f>MIN(K330,IO!$B$4+IO!$B$8)</f>
        <v>99</v>
      </c>
      <c r="M330" s="40">
        <f>IF(L330-I330&gt;IO!$B$4,Model!L330-Model!I330-IO!$B$4,0)</f>
        <v>0</v>
      </c>
      <c r="N330" s="41">
        <f>IO!$B$5*Model!L330-IO!$B$6*Model!M330</f>
        <v>3960</v>
      </c>
    </row>
    <row r="331" spans="1:14" x14ac:dyDescent="0.35">
      <c r="A331" s="30">
        <v>330</v>
      </c>
      <c r="B331" s="31">
        <v>1</v>
      </c>
      <c r="C331" s="32">
        <f>(IO!$B$4+IO!$B$8)</f>
        <v>102</v>
      </c>
      <c r="D331" s="32">
        <f>IF(B331&gt;IO!$B$8,0,IO!$B$8-Model!B331)</f>
        <v>1</v>
      </c>
      <c r="E331" s="33">
        <f>IO!$B$5*C331-IO!$B$6*D331</f>
        <v>3980</v>
      </c>
      <c r="G331" s="47">
        <v>330</v>
      </c>
      <c r="H331" s="38" t="s">
        <v>9</v>
      </c>
      <c r="I331" s="38">
        <v>1</v>
      </c>
      <c r="J331" s="39">
        <v>0.21521619519325863</v>
      </c>
      <c r="K331" s="40">
        <f>ROUND(NORMINV(J331,IO!$B$10,IO!$B$11),0)</f>
        <v>99</v>
      </c>
      <c r="L331" s="40">
        <f>MIN(K331,IO!$B$4+IO!$B$8)</f>
        <v>99</v>
      </c>
      <c r="M331" s="40">
        <f>IF(L331-I331&gt;IO!$B$4,Model!L331-Model!I331-IO!$B$4,0)</f>
        <v>0</v>
      </c>
      <c r="N331" s="41">
        <f>IO!$B$5*Model!L331-IO!$B$6*Model!M331</f>
        <v>3960</v>
      </c>
    </row>
    <row r="332" spans="1:14" x14ac:dyDescent="0.35">
      <c r="A332" s="30">
        <v>331</v>
      </c>
      <c r="B332" s="31">
        <v>0</v>
      </c>
      <c r="C332" s="32">
        <f>(IO!$B$4+IO!$B$8)</f>
        <v>102</v>
      </c>
      <c r="D332" s="32">
        <f>IF(B332&gt;IO!$B$8,0,IO!$B$8-Model!B332)</f>
        <v>2</v>
      </c>
      <c r="E332" s="33">
        <f>IO!$B$5*C332-IO!$B$6*D332</f>
        <v>3880</v>
      </c>
      <c r="G332" s="47">
        <v>331</v>
      </c>
      <c r="H332" s="38" t="s">
        <v>7</v>
      </c>
      <c r="I332" s="38">
        <v>0</v>
      </c>
      <c r="J332" s="39">
        <v>0.64901707520551721</v>
      </c>
      <c r="K332" s="40">
        <f>ROUND(NORMINV(J332,IO!$B$10,IO!$B$11),0)</f>
        <v>105</v>
      </c>
      <c r="L332" s="40">
        <f>MIN(K332,IO!$B$4+IO!$B$8)</f>
        <v>102</v>
      </c>
      <c r="M332" s="40">
        <f>IF(L332-I332&gt;IO!$B$4,Model!L332-Model!I332-IO!$B$4,0)</f>
        <v>2</v>
      </c>
      <c r="N332" s="41">
        <f>IO!$B$5*Model!L332-IO!$B$6*Model!M332</f>
        <v>3880</v>
      </c>
    </row>
    <row r="333" spans="1:14" x14ac:dyDescent="0.35">
      <c r="A333" s="30">
        <v>332</v>
      </c>
      <c r="B333" s="31">
        <v>5</v>
      </c>
      <c r="C333" s="32">
        <f>(IO!$B$4+IO!$B$8)</f>
        <v>102</v>
      </c>
      <c r="D333" s="32">
        <f>IF(B333&gt;IO!$B$8,0,IO!$B$8-Model!B333)</f>
        <v>0</v>
      </c>
      <c r="E333" s="33">
        <f>IO!$B$5*C333-IO!$B$6*D333</f>
        <v>4080</v>
      </c>
      <c r="G333" s="47">
        <v>332</v>
      </c>
      <c r="H333" s="38" t="s">
        <v>8</v>
      </c>
      <c r="I333" s="38">
        <v>5</v>
      </c>
      <c r="J333" s="39">
        <v>0.10866900629219289</v>
      </c>
      <c r="K333" s="40">
        <f>ROUND(NORMINV(J333,IO!$B$10,IO!$B$11),0)</f>
        <v>97</v>
      </c>
      <c r="L333" s="40">
        <f>MIN(K333,IO!$B$4+IO!$B$8)</f>
        <v>97</v>
      </c>
      <c r="M333" s="40">
        <f>IF(L333-I333&gt;IO!$B$4,Model!L333-Model!I333-IO!$B$4,0)</f>
        <v>0</v>
      </c>
      <c r="N333" s="41">
        <f>IO!$B$5*Model!L333-IO!$B$6*Model!M333</f>
        <v>3880</v>
      </c>
    </row>
    <row r="334" spans="1:14" x14ac:dyDescent="0.35">
      <c r="A334" s="30">
        <v>333</v>
      </c>
      <c r="B334" s="31">
        <v>3</v>
      </c>
      <c r="C334" s="32">
        <f>(IO!$B$4+IO!$B$8)</f>
        <v>102</v>
      </c>
      <c r="D334" s="32">
        <f>IF(B334&gt;IO!$B$8,0,IO!$B$8-Model!B334)</f>
        <v>0</v>
      </c>
      <c r="E334" s="33">
        <f>IO!$B$5*C334-IO!$B$6*D334</f>
        <v>4080</v>
      </c>
      <c r="G334" s="47">
        <v>333</v>
      </c>
      <c r="H334" s="38" t="s">
        <v>9</v>
      </c>
      <c r="I334" s="38">
        <v>3</v>
      </c>
      <c r="J334" s="39">
        <v>0.93084078464915931</v>
      </c>
      <c r="K334" s="40">
        <f>ROUND(NORMINV(J334,IO!$B$10,IO!$B$11),0)</f>
        <v>110</v>
      </c>
      <c r="L334" s="40">
        <f>MIN(K334,IO!$B$4+IO!$B$8)</f>
        <v>102</v>
      </c>
      <c r="M334" s="40">
        <f>IF(L334-I334&gt;IO!$B$4,Model!L334-Model!I334-IO!$B$4,0)</f>
        <v>0</v>
      </c>
      <c r="N334" s="41">
        <f>IO!$B$5*Model!L334-IO!$B$6*Model!M334</f>
        <v>4080</v>
      </c>
    </row>
    <row r="335" spans="1:14" x14ac:dyDescent="0.35">
      <c r="A335" s="30">
        <v>334</v>
      </c>
      <c r="B335" s="31">
        <v>5</v>
      </c>
      <c r="C335" s="32">
        <f>(IO!$B$4+IO!$B$8)</f>
        <v>102</v>
      </c>
      <c r="D335" s="32">
        <f>IF(B335&gt;IO!$B$8,0,IO!$B$8-Model!B335)</f>
        <v>0</v>
      </c>
      <c r="E335" s="33">
        <f>IO!$B$5*C335-IO!$B$6*D335</f>
        <v>4080</v>
      </c>
      <c r="G335" s="47">
        <v>334</v>
      </c>
      <c r="H335" s="38" t="s">
        <v>7</v>
      </c>
      <c r="I335" s="38">
        <v>5</v>
      </c>
      <c r="J335" s="39">
        <v>0.5193429469884171</v>
      </c>
      <c r="K335" s="40">
        <f>ROUND(NORMINV(J335,IO!$B$10,IO!$B$11),0)</f>
        <v>103</v>
      </c>
      <c r="L335" s="40">
        <f>MIN(K335,IO!$B$4+IO!$B$8)</f>
        <v>102</v>
      </c>
      <c r="M335" s="40">
        <f>IF(L335-I335&gt;IO!$B$4,Model!L335-Model!I335-IO!$B$4,0)</f>
        <v>0</v>
      </c>
      <c r="N335" s="41">
        <f>IO!$B$5*Model!L335-IO!$B$6*Model!M335</f>
        <v>4080</v>
      </c>
    </row>
    <row r="336" spans="1:14" x14ac:dyDescent="0.35">
      <c r="A336" s="30">
        <v>335</v>
      </c>
      <c r="B336" s="31">
        <v>2</v>
      </c>
      <c r="C336" s="32">
        <f>(IO!$B$4+IO!$B$8)</f>
        <v>102</v>
      </c>
      <c r="D336" s="32">
        <f>IF(B336&gt;IO!$B$8,0,IO!$B$8-Model!B336)</f>
        <v>0</v>
      </c>
      <c r="E336" s="33">
        <f>IO!$B$5*C336-IO!$B$6*D336</f>
        <v>4080</v>
      </c>
      <c r="G336" s="47">
        <v>335</v>
      </c>
      <c r="H336" s="38" t="s">
        <v>8</v>
      </c>
      <c r="I336" s="38">
        <v>2</v>
      </c>
      <c r="J336" s="39">
        <v>0.60290497458584669</v>
      </c>
      <c r="K336" s="40">
        <f>ROUND(NORMINV(J336,IO!$B$10,IO!$B$11),0)</f>
        <v>104</v>
      </c>
      <c r="L336" s="40">
        <f>MIN(K336,IO!$B$4+IO!$B$8)</f>
        <v>102</v>
      </c>
      <c r="M336" s="40">
        <f>IF(L336-I336&gt;IO!$B$4,Model!L336-Model!I336-IO!$B$4,0)</f>
        <v>0</v>
      </c>
      <c r="N336" s="41">
        <f>IO!$B$5*Model!L336-IO!$B$6*Model!M336</f>
        <v>4080</v>
      </c>
    </row>
    <row r="337" spans="1:14" x14ac:dyDescent="0.35">
      <c r="A337" s="30">
        <v>336</v>
      </c>
      <c r="B337" s="31">
        <v>0</v>
      </c>
      <c r="C337" s="32">
        <f>(IO!$B$4+IO!$B$8)</f>
        <v>102</v>
      </c>
      <c r="D337" s="32">
        <f>IF(B337&gt;IO!$B$8,0,IO!$B$8-Model!B337)</f>
        <v>2</v>
      </c>
      <c r="E337" s="33">
        <f>IO!$B$5*C337-IO!$B$6*D337</f>
        <v>3880</v>
      </c>
      <c r="G337" s="47">
        <v>336</v>
      </c>
      <c r="H337" s="38" t="s">
        <v>9</v>
      </c>
      <c r="I337" s="38">
        <v>0</v>
      </c>
      <c r="J337" s="39">
        <v>2.3651067245898161E-2</v>
      </c>
      <c r="K337" s="40">
        <f>ROUND(NORMINV(J337,IO!$B$10,IO!$B$11),0)</f>
        <v>93</v>
      </c>
      <c r="L337" s="40">
        <f>MIN(K337,IO!$B$4+IO!$B$8)</f>
        <v>93</v>
      </c>
      <c r="M337" s="40">
        <f>IF(L337-I337&gt;IO!$B$4,Model!L337-Model!I337-IO!$B$4,0)</f>
        <v>0</v>
      </c>
      <c r="N337" s="41">
        <f>IO!$B$5*Model!L337-IO!$B$6*Model!M337</f>
        <v>3720</v>
      </c>
    </row>
    <row r="338" spans="1:14" x14ac:dyDescent="0.35">
      <c r="A338" s="30">
        <v>337</v>
      </c>
      <c r="B338" s="31">
        <v>4</v>
      </c>
      <c r="C338" s="32">
        <f>(IO!$B$4+IO!$B$8)</f>
        <v>102</v>
      </c>
      <c r="D338" s="32">
        <f>IF(B338&gt;IO!$B$8,0,IO!$B$8-Model!B338)</f>
        <v>0</v>
      </c>
      <c r="E338" s="33">
        <f>IO!$B$5*C338-IO!$B$6*D338</f>
        <v>4080</v>
      </c>
      <c r="G338" s="47">
        <v>337</v>
      </c>
      <c r="H338" s="38" t="s">
        <v>7</v>
      </c>
      <c r="I338" s="38">
        <v>4</v>
      </c>
      <c r="J338" s="39">
        <v>0.11313977917631912</v>
      </c>
      <c r="K338" s="40">
        <f>ROUND(NORMINV(J338,IO!$B$10,IO!$B$11),0)</f>
        <v>97</v>
      </c>
      <c r="L338" s="40">
        <f>MIN(K338,IO!$B$4+IO!$B$8)</f>
        <v>97</v>
      </c>
      <c r="M338" s="40">
        <f>IF(L338-I338&gt;IO!$B$4,Model!L338-Model!I338-IO!$B$4,0)</f>
        <v>0</v>
      </c>
      <c r="N338" s="41">
        <f>IO!$B$5*Model!L338-IO!$B$6*Model!M338</f>
        <v>3880</v>
      </c>
    </row>
    <row r="339" spans="1:14" x14ac:dyDescent="0.35">
      <c r="A339" s="30">
        <v>338</v>
      </c>
      <c r="B339" s="31">
        <v>1</v>
      </c>
      <c r="C339" s="32">
        <f>(IO!$B$4+IO!$B$8)</f>
        <v>102</v>
      </c>
      <c r="D339" s="32">
        <f>IF(B339&gt;IO!$B$8,0,IO!$B$8-Model!B339)</f>
        <v>1</v>
      </c>
      <c r="E339" s="33">
        <f>IO!$B$5*C339-IO!$B$6*D339</f>
        <v>3980</v>
      </c>
      <c r="G339" s="47">
        <v>338</v>
      </c>
      <c r="H339" s="38" t="s">
        <v>8</v>
      </c>
      <c r="I339" s="38">
        <v>1</v>
      </c>
      <c r="J339" s="39">
        <v>0.46303533179344614</v>
      </c>
      <c r="K339" s="40">
        <f>ROUND(NORMINV(J339,IO!$B$10,IO!$B$11),0)</f>
        <v>103</v>
      </c>
      <c r="L339" s="40">
        <f>MIN(K339,IO!$B$4+IO!$B$8)</f>
        <v>102</v>
      </c>
      <c r="M339" s="40">
        <f>IF(L339-I339&gt;IO!$B$4,Model!L339-Model!I339-IO!$B$4,0)</f>
        <v>1</v>
      </c>
      <c r="N339" s="41">
        <f>IO!$B$5*Model!L339-IO!$B$6*Model!M339</f>
        <v>3980</v>
      </c>
    </row>
    <row r="340" spans="1:14" x14ac:dyDescent="0.35">
      <c r="A340" s="30">
        <v>339</v>
      </c>
      <c r="B340" s="31">
        <v>1</v>
      </c>
      <c r="C340" s="32">
        <f>(IO!$B$4+IO!$B$8)</f>
        <v>102</v>
      </c>
      <c r="D340" s="32">
        <f>IF(B340&gt;IO!$B$8,0,IO!$B$8-Model!B340)</f>
        <v>1</v>
      </c>
      <c r="E340" s="33">
        <f>IO!$B$5*C340-IO!$B$6*D340</f>
        <v>3980</v>
      </c>
      <c r="G340" s="47">
        <v>339</v>
      </c>
      <c r="H340" s="38" t="s">
        <v>9</v>
      </c>
      <c r="I340" s="38">
        <v>1</v>
      </c>
      <c r="J340" s="39">
        <v>0.30002773134409511</v>
      </c>
      <c r="K340" s="40">
        <f>ROUND(NORMINV(J340,IO!$B$10,IO!$B$11),0)</f>
        <v>100</v>
      </c>
      <c r="L340" s="40">
        <f>MIN(K340,IO!$B$4+IO!$B$8)</f>
        <v>100</v>
      </c>
      <c r="M340" s="40">
        <f>IF(L340-I340&gt;IO!$B$4,Model!L340-Model!I340-IO!$B$4,0)</f>
        <v>0</v>
      </c>
      <c r="N340" s="41">
        <f>IO!$B$5*Model!L340-IO!$B$6*Model!M340</f>
        <v>4000</v>
      </c>
    </row>
    <row r="341" spans="1:14" x14ac:dyDescent="0.35">
      <c r="A341" s="30">
        <v>340</v>
      </c>
      <c r="B341" s="31">
        <v>3</v>
      </c>
      <c r="C341" s="32">
        <f>(IO!$B$4+IO!$B$8)</f>
        <v>102</v>
      </c>
      <c r="D341" s="32">
        <f>IF(B341&gt;IO!$B$8,0,IO!$B$8-Model!B341)</f>
        <v>0</v>
      </c>
      <c r="E341" s="33">
        <f>IO!$B$5*C341-IO!$B$6*D341</f>
        <v>4080</v>
      </c>
      <c r="G341" s="47">
        <v>340</v>
      </c>
      <c r="H341" s="38" t="s">
        <v>7</v>
      </c>
      <c r="I341" s="38">
        <v>3</v>
      </c>
      <c r="J341" s="39">
        <v>0.55368534064712049</v>
      </c>
      <c r="K341" s="40">
        <f>ROUND(NORMINV(J341,IO!$B$10,IO!$B$11),0)</f>
        <v>104</v>
      </c>
      <c r="L341" s="40">
        <f>MIN(K341,IO!$B$4+IO!$B$8)</f>
        <v>102</v>
      </c>
      <c r="M341" s="40">
        <f>IF(L341-I341&gt;IO!$B$4,Model!L341-Model!I341-IO!$B$4,0)</f>
        <v>0</v>
      </c>
      <c r="N341" s="41">
        <f>IO!$B$5*Model!L341-IO!$B$6*Model!M341</f>
        <v>4080</v>
      </c>
    </row>
    <row r="342" spans="1:14" x14ac:dyDescent="0.35">
      <c r="A342" s="30">
        <v>341</v>
      </c>
      <c r="B342" s="31">
        <v>2</v>
      </c>
      <c r="C342" s="32">
        <f>(IO!$B$4+IO!$B$8)</f>
        <v>102</v>
      </c>
      <c r="D342" s="32">
        <f>IF(B342&gt;IO!$B$8,0,IO!$B$8-Model!B342)</f>
        <v>0</v>
      </c>
      <c r="E342" s="33">
        <f>IO!$B$5*C342-IO!$B$6*D342</f>
        <v>4080</v>
      </c>
      <c r="G342" s="47">
        <v>341</v>
      </c>
      <c r="H342" s="38" t="s">
        <v>8</v>
      </c>
      <c r="I342" s="38">
        <v>2</v>
      </c>
      <c r="J342" s="39">
        <v>0.48791664537816548</v>
      </c>
      <c r="K342" s="40">
        <f>ROUND(NORMINV(J342,IO!$B$10,IO!$B$11),0)</f>
        <v>103</v>
      </c>
      <c r="L342" s="40">
        <f>MIN(K342,IO!$B$4+IO!$B$8)</f>
        <v>102</v>
      </c>
      <c r="M342" s="40">
        <f>IF(L342-I342&gt;IO!$B$4,Model!L342-Model!I342-IO!$B$4,0)</f>
        <v>0</v>
      </c>
      <c r="N342" s="41">
        <f>IO!$B$5*Model!L342-IO!$B$6*Model!M342</f>
        <v>4080</v>
      </c>
    </row>
    <row r="343" spans="1:14" x14ac:dyDescent="0.35">
      <c r="A343" s="30">
        <v>342</v>
      </c>
      <c r="B343" s="31">
        <v>1</v>
      </c>
      <c r="C343" s="32">
        <f>(IO!$B$4+IO!$B$8)</f>
        <v>102</v>
      </c>
      <c r="D343" s="32">
        <f>IF(B343&gt;IO!$B$8,0,IO!$B$8-Model!B343)</f>
        <v>1</v>
      </c>
      <c r="E343" s="33">
        <f>IO!$B$5*C343-IO!$B$6*D343</f>
        <v>3980</v>
      </c>
      <c r="G343" s="47">
        <v>342</v>
      </c>
      <c r="H343" s="38" t="s">
        <v>9</v>
      </c>
      <c r="I343" s="38">
        <v>1</v>
      </c>
      <c r="J343" s="39">
        <v>0.34245027103511205</v>
      </c>
      <c r="K343" s="40">
        <f>ROUND(NORMINV(J343,IO!$B$10,IO!$B$11),0)</f>
        <v>101</v>
      </c>
      <c r="L343" s="40">
        <f>MIN(K343,IO!$B$4+IO!$B$8)</f>
        <v>101</v>
      </c>
      <c r="M343" s="40">
        <f>IF(L343-I343&gt;IO!$B$4,Model!L343-Model!I343-IO!$B$4,0)</f>
        <v>0</v>
      </c>
      <c r="N343" s="41">
        <f>IO!$B$5*Model!L343-IO!$B$6*Model!M343</f>
        <v>4040</v>
      </c>
    </row>
    <row r="344" spans="1:14" x14ac:dyDescent="0.35">
      <c r="A344" s="30">
        <v>343</v>
      </c>
      <c r="B344" s="31">
        <v>2</v>
      </c>
      <c r="C344" s="32">
        <f>(IO!$B$4+IO!$B$8)</f>
        <v>102</v>
      </c>
      <c r="D344" s="32">
        <f>IF(B344&gt;IO!$B$8,0,IO!$B$8-Model!B344)</f>
        <v>0</v>
      </c>
      <c r="E344" s="33">
        <f>IO!$B$5*C344-IO!$B$6*D344</f>
        <v>4080</v>
      </c>
      <c r="G344" s="47">
        <v>343</v>
      </c>
      <c r="H344" s="38" t="s">
        <v>7</v>
      </c>
      <c r="I344" s="38">
        <v>2</v>
      </c>
      <c r="J344" s="39">
        <v>0.75285881262008614</v>
      </c>
      <c r="K344" s="40">
        <f>ROUND(NORMINV(J344,IO!$B$10,IO!$B$11),0)</f>
        <v>106</v>
      </c>
      <c r="L344" s="40">
        <f>MIN(K344,IO!$B$4+IO!$B$8)</f>
        <v>102</v>
      </c>
      <c r="M344" s="40">
        <f>IF(L344-I344&gt;IO!$B$4,Model!L344-Model!I344-IO!$B$4,0)</f>
        <v>0</v>
      </c>
      <c r="N344" s="41">
        <f>IO!$B$5*Model!L344-IO!$B$6*Model!M344</f>
        <v>4080</v>
      </c>
    </row>
    <row r="345" spans="1:14" x14ac:dyDescent="0.35">
      <c r="A345" s="30">
        <v>344</v>
      </c>
      <c r="B345" s="31">
        <v>2</v>
      </c>
      <c r="C345" s="32">
        <f>(IO!$B$4+IO!$B$8)</f>
        <v>102</v>
      </c>
      <c r="D345" s="32">
        <f>IF(B345&gt;IO!$B$8,0,IO!$B$8-Model!B345)</f>
        <v>0</v>
      </c>
      <c r="E345" s="33">
        <f>IO!$B$5*C345-IO!$B$6*D345</f>
        <v>4080</v>
      </c>
      <c r="G345" s="47">
        <v>344</v>
      </c>
      <c r="H345" s="38" t="s">
        <v>8</v>
      </c>
      <c r="I345" s="38">
        <v>2</v>
      </c>
      <c r="J345" s="39">
        <v>0.45414755562508391</v>
      </c>
      <c r="K345" s="40">
        <f>ROUND(NORMINV(J345,IO!$B$10,IO!$B$11),0)</f>
        <v>102</v>
      </c>
      <c r="L345" s="40">
        <f>MIN(K345,IO!$B$4+IO!$B$8)</f>
        <v>102</v>
      </c>
      <c r="M345" s="40">
        <f>IF(L345-I345&gt;IO!$B$4,Model!L345-Model!I345-IO!$B$4,0)</f>
        <v>0</v>
      </c>
      <c r="N345" s="41">
        <f>IO!$B$5*Model!L345-IO!$B$6*Model!M345</f>
        <v>4080</v>
      </c>
    </row>
    <row r="346" spans="1:14" x14ac:dyDescent="0.35">
      <c r="A346" s="30">
        <v>345</v>
      </c>
      <c r="B346" s="31">
        <v>0</v>
      </c>
      <c r="C346" s="32">
        <f>(IO!$B$4+IO!$B$8)</f>
        <v>102</v>
      </c>
      <c r="D346" s="32">
        <f>IF(B346&gt;IO!$B$8,0,IO!$B$8-Model!B346)</f>
        <v>2</v>
      </c>
      <c r="E346" s="33">
        <f>IO!$B$5*C346-IO!$B$6*D346</f>
        <v>3880</v>
      </c>
      <c r="G346" s="47">
        <v>345</v>
      </c>
      <c r="H346" s="38" t="s">
        <v>9</v>
      </c>
      <c r="I346" s="38">
        <v>0</v>
      </c>
      <c r="J346" s="39">
        <v>0.40427287723431582</v>
      </c>
      <c r="K346" s="40">
        <f>ROUND(NORMINV(J346,IO!$B$10,IO!$B$11),0)</f>
        <v>102</v>
      </c>
      <c r="L346" s="40">
        <f>MIN(K346,IO!$B$4+IO!$B$8)</f>
        <v>102</v>
      </c>
      <c r="M346" s="40">
        <f>IF(L346-I346&gt;IO!$B$4,Model!L346-Model!I346-IO!$B$4,0)</f>
        <v>2</v>
      </c>
      <c r="N346" s="41">
        <f>IO!$B$5*Model!L346-IO!$B$6*Model!M346</f>
        <v>3880</v>
      </c>
    </row>
    <row r="347" spans="1:14" x14ac:dyDescent="0.35">
      <c r="A347" s="30">
        <v>346</v>
      </c>
      <c r="B347" s="31">
        <v>3</v>
      </c>
      <c r="C347" s="32">
        <f>(IO!$B$4+IO!$B$8)</f>
        <v>102</v>
      </c>
      <c r="D347" s="32">
        <f>IF(B347&gt;IO!$B$8,0,IO!$B$8-Model!B347)</f>
        <v>0</v>
      </c>
      <c r="E347" s="33">
        <f>IO!$B$5*C347-IO!$B$6*D347</f>
        <v>4080</v>
      </c>
      <c r="G347" s="47">
        <v>346</v>
      </c>
      <c r="H347" s="38" t="s">
        <v>7</v>
      </c>
      <c r="I347" s="38">
        <v>3</v>
      </c>
      <c r="J347" s="39">
        <v>0.5521511229373538</v>
      </c>
      <c r="K347" s="40">
        <f>ROUND(NORMINV(J347,IO!$B$10,IO!$B$11),0)</f>
        <v>104</v>
      </c>
      <c r="L347" s="40">
        <f>MIN(K347,IO!$B$4+IO!$B$8)</f>
        <v>102</v>
      </c>
      <c r="M347" s="40">
        <f>IF(L347-I347&gt;IO!$B$4,Model!L347-Model!I347-IO!$B$4,0)</f>
        <v>0</v>
      </c>
      <c r="N347" s="41">
        <f>IO!$B$5*Model!L347-IO!$B$6*Model!M347</f>
        <v>4080</v>
      </c>
    </row>
    <row r="348" spans="1:14" x14ac:dyDescent="0.35">
      <c r="A348" s="30">
        <v>347</v>
      </c>
      <c r="B348" s="31">
        <v>1</v>
      </c>
      <c r="C348" s="32">
        <f>(IO!$B$4+IO!$B$8)</f>
        <v>102</v>
      </c>
      <c r="D348" s="32">
        <f>IF(B348&gt;IO!$B$8,0,IO!$B$8-Model!B348)</f>
        <v>1</v>
      </c>
      <c r="E348" s="33">
        <f>IO!$B$5*C348-IO!$B$6*D348</f>
        <v>3980</v>
      </c>
      <c r="G348" s="47">
        <v>347</v>
      </c>
      <c r="H348" s="38" t="s">
        <v>8</v>
      </c>
      <c r="I348" s="38">
        <v>1</v>
      </c>
      <c r="J348" s="39">
        <v>0.32110219191534639</v>
      </c>
      <c r="K348" s="40">
        <f>ROUND(NORMINV(J348,IO!$B$10,IO!$B$11),0)</f>
        <v>101</v>
      </c>
      <c r="L348" s="40">
        <f>MIN(K348,IO!$B$4+IO!$B$8)</f>
        <v>101</v>
      </c>
      <c r="M348" s="40">
        <f>IF(L348-I348&gt;IO!$B$4,Model!L348-Model!I348-IO!$B$4,0)</f>
        <v>0</v>
      </c>
      <c r="N348" s="41">
        <f>IO!$B$5*Model!L348-IO!$B$6*Model!M348</f>
        <v>4040</v>
      </c>
    </row>
    <row r="349" spans="1:14" x14ac:dyDescent="0.35">
      <c r="A349" s="30">
        <v>348</v>
      </c>
      <c r="B349" s="31">
        <v>1</v>
      </c>
      <c r="C349" s="32">
        <f>(IO!$B$4+IO!$B$8)</f>
        <v>102</v>
      </c>
      <c r="D349" s="32">
        <f>IF(B349&gt;IO!$B$8,0,IO!$B$8-Model!B349)</f>
        <v>1</v>
      </c>
      <c r="E349" s="33">
        <f>IO!$B$5*C349-IO!$B$6*D349</f>
        <v>3980</v>
      </c>
      <c r="G349" s="47">
        <v>348</v>
      </c>
      <c r="H349" s="38" t="s">
        <v>9</v>
      </c>
      <c r="I349" s="38">
        <v>1</v>
      </c>
      <c r="J349" s="39">
        <v>0.51721257811179799</v>
      </c>
      <c r="K349" s="40">
        <f>ROUND(NORMINV(J349,IO!$B$10,IO!$B$11),0)</f>
        <v>103</v>
      </c>
      <c r="L349" s="40">
        <f>MIN(K349,IO!$B$4+IO!$B$8)</f>
        <v>102</v>
      </c>
      <c r="M349" s="40">
        <f>IF(L349-I349&gt;IO!$B$4,Model!L349-Model!I349-IO!$B$4,0)</f>
        <v>1</v>
      </c>
      <c r="N349" s="41">
        <f>IO!$B$5*Model!L349-IO!$B$6*Model!M349</f>
        <v>3980</v>
      </c>
    </row>
    <row r="350" spans="1:14" x14ac:dyDescent="0.35">
      <c r="A350" s="30">
        <v>349</v>
      </c>
      <c r="B350" s="31">
        <v>4</v>
      </c>
      <c r="C350" s="32">
        <f>(IO!$B$4+IO!$B$8)</f>
        <v>102</v>
      </c>
      <c r="D350" s="32">
        <f>IF(B350&gt;IO!$B$8,0,IO!$B$8-Model!B350)</f>
        <v>0</v>
      </c>
      <c r="E350" s="33">
        <f>IO!$B$5*C350-IO!$B$6*D350</f>
        <v>4080</v>
      </c>
      <c r="G350" s="47">
        <v>349</v>
      </c>
      <c r="H350" s="38" t="s">
        <v>7</v>
      </c>
      <c r="I350" s="38">
        <v>4</v>
      </c>
      <c r="J350" s="39">
        <v>0.99624390537653496</v>
      </c>
      <c r="K350" s="40">
        <f>ROUND(NORMINV(J350,IO!$B$10,IO!$B$11),0)</f>
        <v>116</v>
      </c>
      <c r="L350" s="40">
        <f>MIN(K350,IO!$B$4+IO!$B$8)</f>
        <v>102</v>
      </c>
      <c r="M350" s="40">
        <f>IF(L350-I350&gt;IO!$B$4,Model!L350-Model!I350-IO!$B$4,0)</f>
        <v>0</v>
      </c>
      <c r="N350" s="41">
        <f>IO!$B$5*Model!L350-IO!$B$6*Model!M350</f>
        <v>4080</v>
      </c>
    </row>
    <row r="351" spans="1:14" x14ac:dyDescent="0.35">
      <c r="A351" s="30">
        <v>350</v>
      </c>
      <c r="B351" s="31">
        <v>1</v>
      </c>
      <c r="C351" s="32">
        <f>(IO!$B$4+IO!$B$8)</f>
        <v>102</v>
      </c>
      <c r="D351" s="32">
        <f>IF(B351&gt;IO!$B$8,0,IO!$B$8-Model!B351)</f>
        <v>1</v>
      </c>
      <c r="E351" s="33">
        <f>IO!$B$5*C351-IO!$B$6*D351</f>
        <v>3980</v>
      </c>
      <c r="G351" s="47">
        <v>350</v>
      </c>
      <c r="H351" s="38" t="s">
        <v>8</v>
      </c>
      <c r="I351" s="38">
        <v>1</v>
      </c>
      <c r="J351" s="39">
        <v>0.20733579154765391</v>
      </c>
      <c r="K351" s="40">
        <f>ROUND(NORMINV(J351,IO!$B$10,IO!$B$11),0)</f>
        <v>99</v>
      </c>
      <c r="L351" s="40">
        <f>MIN(K351,IO!$B$4+IO!$B$8)</f>
        <v>99</v>
      </c>
      <c r="M351" s="40">
        <f>IF(L351-I351&gt;IO!$B$4,Model!L351-Model!I351-IO!$B$4,0)</f>
        <v>0</v>
      </c>
      <c r="N351" s="41">
        <f>IO!$B$5*Model!L351-IO!$B$6*Model!M351</f>
        <v>3960</v>
      </c>
    </row>
    <row r="352" spans="1:14" x14ac:dyDescent="0.35">
      <c r="A352" s="30">
        <v>351</v>
      </c>
      <c r="B352" s="31">
        <v>2</v>
      </c>
      <c r="C352" s="32">
        <f>(IO!$B$4+IO!$B$8)</f>
        <v>102</v>
      </c>
      <c r="D352" s="32">
        <f>IF(B352&gt;IO!$B$8,0,IO!$B$8-Model!B352)</f>
        <v>0</v>
      </c>
      <c r="E352" s="33">
        <f>IO!$B$5*C352-IO!$B$6*D352</f>
        <v>4080</v>
      </c>
      <c r="G352" s="47">
        <v>351</v>
      </c>
      <c r="H352" s="38" t="s">
        <v>9</v>
      </c>
      <c r="I352" s="38">
        <v>2</v>
      </c>
      <c r="J352" s="39">
        <v>1.5393895285462644E-3</v>
      </c>
      <c r="K352" s="40">
        <f>ROUND(NORMINV(J352,IO!$B$10,IO!$B$11),0)</f>
        <v>88</v>
      </c>
      <c r="L352" s="40">
        <f>MIN(K352,IO!$B$4+IO!$B$8)</f>
        <v>88</v>
      </c>
      <c r="M352" s="40">
        <f>IF(L352-I352&gt;IO!$B$4,Model!L352-Model!I352-IO!$B$4,0)</f>
        <v>0</v>
      </c>
      <c r="N352" s="41">
        <f>IO!$B$5*Model!L352-IO!$B$6*Model!M352</f>
        <v>3520</v>
      </c>
    </row>
    <row r="353" spans="1:14" x14ac:dyDescent="0.35">
      <c r="A353" s="30">
        <v>352</v>
      </c>
      <c r="B353" s="31">
        <v>3</v>
      </c>
      <c r="C353" s="32">
        <f>(IO!$B$4+IO!$B$8)</f>
        <v>102</v>
      </c>
      <c r="D353" s="32">
        <f>IF(B353&gt;IO!$B$8,0,IO!$B$8-Model!B353)</f>
        <v>0</v>
      </c>
      <c r="E353" s="33">
        <f>IO!$B$5*C353-IO!$B$6*D353</f>
        <v>4080</v>
      </c>
      <c r="G353" s="47">
        <v>352</v>
      </c>
      <c r="H353" s="38" t="s">
        <v>7</v>
      </c>
      <c r="I353" s="38">
        <v>3</v>
      </c>
      <c r="J353" s="39">
        <v>0.90283148266731394</v>
      </c>
      <c r="K353" s="40">
        <f>ROUND(NORMINV(J353,IO!$B$10,IO!$B$11),0)</f>
        <v>109</v>
      </c>
      <c r="L353" s="40">
        <f>MIN(K353,IO!$B$4+IO!$B$8)</f>
        <v>102</v>
      </c>
      <c r="M353" s="40">
        <f>IF(L353-I353&gt;IO!$B$4,Model!L353-Model!I353-IO!$B$4,0)</f>
        <v>0</v>
      </c>
      <c r="N353" s="41">
        <f>IO!$B$5*Model!L353-IO!$B$6*Model!M353</f>
        <v>4080</v>
      </c>
    </row>
    <row r="354" spans="1:14" x14ac:dyDescent="0.35">
      <c r="A354" s="30">
        <v>353</v>
      </c>
      <c r="B354" s="31">
        <v>1</v>
      </c>
      <c r="C354" s="32">
        <f>(IO!$B$4+IO!$B$8)</f>
        <v>102</v>
      </c>
      <c r="D354" s="32">
        <f>IF(B354&gt;IO!$B$8,0,IO!$B$8-Model!B354)</f>
        <v>1</v>
      </c>
      <c r="E354" s="33">
        <f>IO!$B$5*C354-IO!$B$6*D354</f>
        <v>3980</v>
      </c>
      <c r="G354" s="47">
        <v>353</v>
      </c>
      <c r="H354" s="38" t="s">
        <v>8</v>
      </c>
      <c r="I354" s="38">
        <v>1</v>
      </c>
      <c r="J354" s="39">
        <v>0.65174030785400339</v>
      </c>
      <c r="K354" s="40">
        <f>ROUND(NORMINV(J354,IO!$B$10,IO!$B$11),0)</f>
        <v>105</v>
      </c>
      <c r="L354" s="40">
        <f>MIN(K354,IO!$B$4+IO!$B$8)</f>
        <v>102</v>
      </c>
      <c r="M354" s="40">
        <f>IF(L354-I354&gt;IO!$B$4,Model!L354-Model!I354-IO!$B$4,0)</f>
        <v>1</v>
      </c>
      <c r="N354" s="41">
        <f>IO!$B$5*Model!L354-IO!$B$6*Model!M354</f>
        <v>3980</v>
      </c>
    </row>
    <row r="355" spans="1:14" x14ac:dyDescent="0.35">
      <c r="A355" s="30">
        <v>354</v>
      </c>
      <c r="B355" s="31">
        <v>1</v>
      </c>
      <c r="C355" s="32">
        <f>(IO!$B$4+IO!$B$8)</f>
        <v>102</v>
      </c>
      <c r="D355" s="32">
        <f>IF(B355&gt;IO!$B$8,0,IO!$B$8-Model!B355)</f>
        <v>1</v>
      </c>
      <c r="E355" s="33">
        <f>IO!$B$5*C355-IO!$B$6*D355</f>
        <v>3980</v>
      </c>
      <c r="G355" s="47">
        <v>354</v>
      </c>
      <c r="H355" s="38" t="s">
        <v>9</v>
      </c>
      <c r="I355" s="38">
        <v>1</v>
      </c>
      <c r="J355" s="39">
        <v>0.11511635301021195</v>
      </c>
      <c r="K355" s="40">
        <f>ROUND(NORMINV(J355,IO!$B$10,IO!$B$11),0)</f>
        <v>97</v>
      </c>
      <c r="L355" s="40">
        <f>MIN(K355,IO!$B$4+IO!$B$8)</f>
        <v>97</v>
      </c>
      <c r="M355" s="40">
        <f>IF(L355-I355&gt;IO!$B$4,Model!L355-Model!I355-IO!$B$4,0)</f>
        <v>0</v>
      </c>
      <c r="N355" s="41">
        <f>IO!$B$5*Model!L355-IO!$B$6*Model!M355</f>
        <v>3880</v>
      </c>
    </row>
    <row r="356" spans="1:14" x14ac:dyDescent="0.35">
      <c r="A356" s="30">
        <v>355</v>
      </c>
      <c r="B356" s="31">
        <v>4</v>
      </c>
      <c r="C356" s="32">
        <f>(IO!$B$4+IO!$B$8)</f>
        <v>102</v>
      </c>
      <c r="D356" s="32">
        <f>IF(B356&gt;IO!$B$8,0,IO!$B$8-Model!B356)</f>
        <v>0</v>
      </c>
      <c r="E356" s="33">
        <f>IO!$B$5*C356-IO!$B$6*D356</f>
        <v>4080</v>
      </c>
      <c r="G356" s="47">
        <v>355</v>
      </c>
      <c r="H356" s="38" t="s">
        <v>7</v>
      </c>
      <c r="I356" s="38">
        <v>4</v>
      </c>
      <c r="J356" s="39">
        <v>0.32665468102808382</v>
      </c>
      <c r="K356" s="40">
        <f>ROUND(NORMINV(J356,IO!$B$10,IO!$B$11),0)</f>
        <v>101</v>
      </c>
      <c r="L356" s="40">
        <f>MIN(K356,IO!$B$4+IO!$B$8)</f>
        <v>101</v>
      </c>
      <c r="M356" s="40">
        <f>IF(L356-I356&gt;IO!$B$4,Model!L356-Model!I356-IO!$B$4,0)</f>
        <v>0</v>
      </c>
      <c r="N356" s="41">
        <f>IO!$B$5*Model!L356-IO!$B$6*Model!M356</f>
        <v>4040</v>
      </c>
    </row>
    <row r="357" spans="1:14" x14ac:dyDescent="0.35">
      <c r="A357" s="30">
        <v>356</v>
      </c>
      <c r="B357" s="31">
        <v>3</v>
      </c>
      <c r="C357" s="32">
        <f>(IO!$B$4+IO!$B$8)</f>
        <v>102</v>
      </c>
      <c r="D357" s="32">
        <f>IF(B357&gt;IO!$B$8,0,IO!$B$8-Model!B357)</f>
        <v>0</v>
      </c>
      <c r="E357" s="33">
        <f>IO!$B$5*C357-IO!$B$6*D357</f>
        <v>4080</v>
      </c>
      <c r="G357" s="47">
        <v>356</v>
      </c>
      <c r="H357" s="38" t="s">
        <v>8</v>
      </c>
      <c r="I357" s="38">
        <v>3</v>
      </c>
      <c r="J357" s="39">
        <v>0.19623998102912188</v>
      </c>
      <c r="K357" s="40">
        <f>ROUND(NORMINV(J357,IO!$B$10,IO!$B$11),0)</f>
        <v>99</v>
      </c>
      <c r="L357" s="40">
        <f>MIN(K357,IO!$B$4+IO!$B$8)</f>
        <v>99</v>
      </c>
      <c r="M357" s="40">
        <f>IF(L357-I357&gt;IO!$B$4,Model!L357-Model!I357-IO!$B$4,0)</f>
        <v>0</v>
      </c>
      <c r="N357" s="41">
        <f>IO!$B$5*Model!L357-IO!$B$6*Model!M357</f>
        <v>3960</v>
      </c>
    </row>
    <row r="358" spans="1:14" x14ac:dyDescent="0.35">
      <c r="A358" s="30">
        <v>357</v>
      </c>
      <c r="B358" s="31">
        <v>1</v>
      </c>
      <c r="C358" s="32">
        <f>(IO!$B$4+IO!$B$8)</f>
        <v>102</v>
      </c>
      <c r="D358" s="32">
        <f>IF(B358&gt;IO!$B$8,0,IO!$B$8-Model!B358)</f>
        <v>1</v>
      </c>
      <c r="E358" s="33">
        <f>IO!$B$5*C358-IO!$B$6*D358</f>
        <v>3980</v>
      </c>
      <c r="G358" s="47">
        <v>357</v>
      </c>
      <c r="H358" s="38" t="s">
        <v>9</v>
      </c>
      <c r="I358" s="38">
        <v>1</v>
      </c>
      <c r="J358" s="39">
        <v>0.20609168499845287</v>
      </c>
      <c r="K358" s="40">
        <f>ROUND(NORMINV(J358,IO!$B$10,IO!$B$11),0)</f>
        <v>99</v>
      </c>
      <c r="L358" s="40">
        <f>MIN(K358,IO!$B$4+IO!$B$8)</f>
        <v>99</v>
      </c>
      <c r="M358" s="40">
        <f>IF(L358-I358&gt;IO!$B$4,Model!L358-Model!I358-IO!$B$4,0)</f>
        <v>0</v>
      </c>
      <c r="N358" s="41">
        <f>IO!$B$5*Model!L358-IO!$B$6*Model!M358</f>
        <v>3960</v>
      </c>
    </row>
    <row r="359" spans="1:14" x14ac:dyDescent="0.35">
      <c r="A359" s="30">
        <v>358</v>
      </c>
      <c r="B359" s="31">
        <v>2</v>
      </c>
      <c r="C359" s="32">
        <f>(IO!$B$4+IO!$B$8)</f>
        <v>102</v>
      </c>
      <c r="D359" s="32">
        <f>IF(B359&gt;IO!$B$8,0,IO!$B$8-Model!B359)</f>
        <v>0</v>
      </c>
      <c r="E359" s="33">
        <f>IO!$B$5*C359-IO!$B$6*D359</f>
        <v>4080</v>
      </c>
      <c r="G359" s="47">
        <v>358</v>
      </c>
      <c r="H359" s="38" t="s">
        <v>7</v>
      </c>
      <c r="I359" s="38">
        <v>2</v>
      </c>
      <c r="J359" s="39">
        <v>0.87312187674016606</v>
      </c>
      <c r="K359" s="40">
        <f>ROUND(NORMINV(J359,IO!$B$10,IO!$B$11),0)</f>
        <v>109</v>
      </c>
      <c r="L359" s="40">
        <f>MIN(K359,IO!$B$4+IO!$B$8)</f>
        <v>102</v>
      </c>
      <c r="M359" s="40">
        <f>IF(L359-I359&gt;IO!$B$4,Model!L359-Model!I359-IO!$B$4,0)</f>
        <v>0</v>
      </c>
      <c r="N359" s="41">
        <f>IO!$B$5*Model!L359-IO!$B$6*Model!M359</f>
        <v>4080</v>
      </c>
    </row>
    <row r="360" spans="1:14" x14ac:dyDescent="0.35">
      <c r="A360" s="30">
        <v>359</v>
      </c>
      <c r="B360" s="31">
        <v>3</v>
      </c>
      <c r="C360" s="32">
        <f>(IO!$B$4+IO!$B$8)</f>
        <v>102</v>
      </c>
      <c r="D360" s="32">
        <f>IF(B360&gt;IO!$B$8,0,IO!$B$8-Model!B360)</f>
        <v>0</v>
      </c>
      <c r="E360" s="33">
        <f>IO!$B$5*C360-IO!$B$6*D360</f>
        <v>4080</v>
      </c>
      <c r="G360" s="47">
        <v>359</v>
      </c>
      <c r="H360" s="38" t="s">
        <v>8</v>
      </c>
      <c r="I360" s="38">
        <v>3</v>
      </c>
      <c r="J360" s="39">
        <v>0.82990652164984458</v>
      </c>
      <c r="K360" s="40">
        <f>ROUND(NORMINV(J360,IO!$B$10,IO!$B$11),0)</f>
        <v>108</v>
      </c>
      <c r="L360" s="40">
        <f>MIN(K360,IO!$B$4+IO!$B$8)</f>
        <v>102</v>
      </c>
      <c r="M360" s="40">
        <f>IF(L360-I360&gt;IO!$B$4,Model!L360-Model!I360-IO!$B$4,0)</f>
        <v>0</v>
      </c>
      <c r="N360" s="41">
        <f>IO!$B$5*Model!L360-IO!$B$6*Model!M360</f>
        <v>4080</v>
      </c>
    </row>
    <row r="361" spans="1:14" x14ac:dyDescent="0.35">
      <c r="A361" s="30">
        <v>360</v>
      </c>
      <c r="B361" s="31">
        <v>2</v>
      </c>
      <c r="C361" s="32">
        <f>(IO!$B$4+IO!$B$8)</f>
        <v>102</v>
      </c>
      <c r="D361" s="32">
        <f>IF(B361&gt;IO!$B$8,0,IO!$B$8-Model!B361)</f>
        <v>0</v>
      </c>
      <c r="E361" s="33">
        <f>IO!$B$5*C361-IO!$B$6*D361</f>
        <v>4080</v>
      </c>
      <c r="G361" s="47">
        <v>360</v>
      </c>
      <c r="H361" s="38" t="s">
        <v>9</v>
      </c>
      <c r="I361" s="38">
        <v>2</v>
      </c>
      <c r="J361" s="39">
        <v>0.17996489111443137</v>
      </c>
      <c r="K361" s="40">
        <f>ROUND(NORMINV(J361,IO!$B$10,IO!$B$11),0)</f>
        <v>98</v>
      </c>
      <c r="L361" s="40">
        <f>MIN(K361,IO!$B$4+IO!$B$8)</f>
        <v>98</v>
      </c>
      <c r="M361" s="40">
        <f>IF(L361-I361&gt;IO!$B$4,Model!L361-Model!I361-IO!$B$4,0)</f>
        <v>0</v>
      </c>
      <c r="N361" s="41">
        <f>IO!$B$5*Model!L361-IO!$B$6*Model!M361</f>
        <v>3920</v>
      </c>
    </row>
    <row r="362" spans="1:14" x14ac:dyDescent="0.35">
      <c r="A362" s="30">
        <v>361</v>
      </c>
      <c r="B362" s="31">
        <v>7</v>
      </c>
      <c r="C362" s="32">
        <f>(IO!$B$4+IO!$B$8)</f>
        <v>102</v>
      </c>
      <c r="D362" s="32">
        <f>IF(B362&gt;IO!$B$8,0,IO!$B$8-Model!B362)</f>
        <v>0</v>
      </c>
      <c r="E362" s="33">
        <f>IO!$B$5*C362-IO!$B$6*D362</f>
        <v>4080</v>
      </c>
      <c r="G362" s="47">
        <v>361</v>
      </c>
      <c r="H362" s="38" t="s">
        <v>7</v>
      </c>
      <c r="I362" s="38">
        <v>7</v>
      </c>
      <c r="J362" s="39">
        <v>0.39073274411977887</v>
      </c>
      <c r="K362" s="40">
        <f>ROUND(NORMINV(J362,IO!$B$10,IO!$B$11),0)</f>
        <v>102</v>
      </c>
      <c r="L362" s="40">
        <f>MIN(K362,IO!$B$4+IO!$B$8)</f>
        <v>102</v>
      </c>
      <c r="M362" s="40">
        <f>IF(L362-I362&gt;IO!$B$4,Model!L362-Model!I362-IO!$B$4,0)</f>
        <v>0</v>
      </c>
      <c r="N362" s="41">
        <f>IO!$B$5*Model!L362-IO!$B$6*Model!M362</f>
        <v>4080</v>
      </c>
    </row>
    <row r="363" spans="1:14" x14ac:dyDescent="0.35">
      <c r="A363" s="30">
        <v>362</v>
      </c>
      <c r="B363" s="31">
        <v>1</v>
      </c>
      <c r="C363" s="32">
        <f>(IO!$B$4+IO!$B$8)</f>
        <v>102</v>
      </c>
      <c r="D363" s="32">
        <f>IF(B363&gt;IO!$B$8,0,IO!$B$8-Model!B363)</f>
        <v>1</v>
      </c>
      <c r="E363" s="33">
        <f>IO!$B$5*C363-IO!$B$6*D363</f>
        <v>3980</v>
      </c>
      <c r="G363" s="47">
        <v>362</v>
      </c>
      <c r="H363" s="38" t="s">
        <v>8</v>
      </c>
      <c r="I363" s="38">
        <v>1</v>
      </c>
      <c r="J363" s="39">
        <v>0.33459453303441344</v>
      </c>
      <c r="K363" s="40">
        <f>ROUND(NORMINV(J363,IO!$B$10,IO!$B$11),0)</f>
        <v>101</v>
      </c>
      <c r="L363" s="40">
        <f>MIN(K363,IO!$B$4+IO!$B$8)</f>
        <v>101</v>
      </c>
      <c r="M363" s="40">
        <f>IF(L363-I363&gt;IO!$B$4,Model!L363-Model!I363-IO!$B$4,0)</f>
        <v>0</v>
      </c>
      <c r="N363" s="41">
        <f>IO!$B$5*Model!L363-IO!$B$6*Model!M363</f>
        <v>4040</v>
      </c>
    </row>
    <row r="364" spans="1:14" x14ac:dyDescent="0.35">
      <c r="A364" s="30">
        <v>363</v>
      </c>
      <c r="B364" s="31">
        <v>1</v>
      </c>
      <c r="C364" s="32">
        <f>(IO!$B$4+IO!$B$8)</f>
        <v>102</v>
      </c>
      <c r="D364" s="32">
        <f>IF(B364&gt;IO!$B$8,0,IO!$B$8-Model!B364)</f>
        <v>1</v>
      </c>
      <c r="E364" s="33">
        <f>IO!$B$5*C364-IO!$B$6*D364</f>
        <v>3980</v>
      </c>
      <c r="G364" s="47">
        <v>363</v>
      </c>
      <c r="H364" s="38" t="s">
        <v>9</v>
      </c>
      <c r="I364" s="38">
        <v>1</v>
      </c>
      <c r="J364" s="39">
        <v>0.81760245079085614</v>
      </c>
      <c r="K364" s="40">
        <f>ROUND(NORMINV(J364,IO!$B$10,IO!$B$11),0)</f>
        <v>108</v>
      </c>
      <c r="L364" s="40">
        <f>MIN(K364,IO!$B$4+IO!$B$8)</f>
        <v>102</v>
      </c>
      <c r="M364" s="40">
        <f>IF(L364-I364&gt;IO!$B$4,Model!L364-Model!I364-IO!$B$4,0)</f>
        <v>1</v>
      </c>
      <c r="N364" s="41">
        <f>IO!$B$5*Model!L364-IO!$B$6*Model!M364</f>
        <v>3980</v>
      </c>
    </row>
    <row r="365" spans="1:14" x14ac:dyDescent="0.35">
      <c r="A365" s="30">
        <v>364</v>
      </c>
      <c r="B365" s="31">
        <v>2</v>
      </c>
      <c r="C365" s="32">
        <f>(IO!$B$4+IO!$B$8)</f>
        <v>102</v>
      </c>
      <c r="D365" s="32">
        <f>IF(B365&gt;IO!$B$8,0,IO!$B$8-Model!B365)</f>
        <v>0</v>
      </c>
      <c r="E365" s="33">
        <f>IO!$B$5*C365-IO!$B$6*D365</f>
        <v>4080</v>
      </c>
      <c r="G365" s="47">
        <v>364</v>
      </c>
      <c r="H365" s="38" t="s">
        <v>7</v>
      </c>
      <c r="I365" s="38">
        <v>2</v>
      </c>
      <c r="J365" s="39">
        <v>0.84436326523365057</v>
      </c>
      <c r="K365" s="40">
        <f>ROUND(NORMINV(J365,IO!$B$10,IO!$B$11),0)</f>
        <v>108</v>
      </c>
      <c r="L365" s="40">
        <f>MIN(K365,IO!$B$4+IO!$B$8)</f>
        <v>102</v>
      </c>
      <c r="M365" s="40">
        <f>IF(L365-I365&gt;IO!$B$4,Model!L365-Model!I365-IO!$B$4,0)</f>
        <v>0</v>
      </c>
      <c r="N365" s="41">
        <f>IO!$B$5*Model!L365-IO!$B$6*Model!M365</f>
        <v>4080</v>
      </c>
    </row>
    <row r="366" spans="1:14" x14ac:dyDescent="0.35">
      <c r="A366" s="30">
        <v>365</v>
      </c>
      <c r="B366" s="31">
        <v>2</v>
      </c>
      <c r="C366" s="32">
        <f>(IO!$B$4+IO!$B$8)</f>
        <v>102</v>
      </c>
      <c r="D366" s="32">
        <f>IF(B366&gt;IO!$B$8,0,IO!$B$8-Model!B366)</f>
        <v>0</v>
      </c>
      <c r="E366" s="33">
        <f>IO!$B$5*C366-IO!$B$6*D366</f>
        <v>4080</v>
      </c>
      <c r="G366" s="47">
        <v>365</v>
      </c>
      <c r="H366" s="38" t="s">
        <v>8</v>
      </c>
      <c r="I366" s="38">
        <v>2</v>
      </c>
      <c r="J366" s="39">
        <v>0.43970053786941699</v>
      </c>
      <c r="K366" s="40">
        <f>ROUND(NORMINV(J366,IO!$B$10,IO!$B$11),0)</f>
        <v>102</v>
      </c>
      <c r="L366" s="40">
        <f>MIN(K366,IO!$B$4+IO!$B$8)</f>
        <v>102</v>
      </c>
      <c r="M366" s="40">
        <f>IF(L366-I366&gt;IO!$B$4,Model!L366-Model!I366-IO!$B$4,0)</f>
        <v>0</v>
      </c>
      <c r="N366" s="41">
        <f>IO!$B$5*Model!L366-IO!$B$6*Model!M366</f>
        <v>4080</v>
      </c>
    </row>
    <row r="367" spans="1:14" x14ac:dyDescent="0.35">
      <c r="A367" s="30">
        <v>366</v>
      </c>
      <c r="B367" s="31">
        <v>2</v>
      </c>
      <c r="C367" s="32">
        <f>(IO!$B$4+IO!$B$8)</f>
        <v>102</v>
      </c>
      <c r="D367" s="32">
        <f>IF(B367&gt;IO!$B$8,0,IO!$B$8-Model!B367)</f>
        <v>0</v>
      </c>
      <c r="E367" s="33">
        <f>IO!$B$5*C367-IO!$B$6*D367</f>
        <v>4080</v>
      </c>
      <c r="G367" s="47">
        <v>366</v>
      </c>
      <c r="H367" s="38" t="s">
        <v>9</v>
      </c>
      <c r="I367" s="38">
        <v>2</v>
      </c>
      <c r="J367" s="39">
        <v>0.24782874217457096</v>
      </c>
      <c r="K367" s="40">
        <f>ROUND(NORMINV(J367,IO!$B$10,IO!$B$11),0)</f>
        <v>100</v>
      </c>
      <c r="L367" s="40">
        <f>MIN(K367,IO!$B$4+IO!$B$8)</f>
        <v>100</v>
      </c>
      <c r="M367" s="40">
        <f>IF(L367-I367&gt;IO!$B$4,Model!L367-Model!I367-IO!$B$4,0)</f>
        <v>0</v>
      </c>
      <c r="N367" s="41">
        <f>IO!$B$5*Model!L367-IO!$B$6*Model!M367</f>
        <v>4000</v>
      </c>
    </row>
    <row r="368" spans="1:14" x14ac:dyDescent="0.35">
      <c r="A368" s="30">
        <v>367</v>
      </c>
      <c r="B368" s="31">
        <v>4</v>
      </c>
      <c r="C368" s="32">
        <f>(IO!$B$4+IO!$B$8)</f>
        <v>102</v>
      </c>
      <c r="D368" s="32">
        <f>IF(B368&gt;IO!$B$8,0,IO!$B$8-Model!B368)</f>
        <v>0</v>
      </c>
      <c r="E368" s="33">
        <f>IO!$B$5*C368-IO!$B$6*D368</f>
        <v>4080</v>
      </c>
      <c r="G368" s="47">
        <v>367</v>
      </c>
      <c r="H368" s="38" t="s">
        <v>7</v>
      </c>
      <c r="I368" s="38">
        <v>4</v>
      </c>
      <c r="J368" s="39">
        <v>0.78957777316647626</v>
      </c>
      <c r="K368" s="40">
        <f>ROUND(NORMINV(J368,IO!$B$10,IO!$B$11),0)</f>
        <v>107</v>
      </c>
      <c r="L368" s="40">
        <f>MIN(K368,IO!$B$4+IO!$B$8)</f>
        <v>102</v>
      </c>
      <c r="M368" s="40">
        <f>IF(L368-I368&gt;IO!$B$4,Model!L368-Model!I368-IO!$B$4,0)</f>
        <v>0</v>
      </c>
      <c r="N368" s="41">
        <f>IO!$B$5*Model!L368-IO!$B$6*Model!M368</f>
        <v>4080</v>
      </c>
    </row>
    <row r="369" spans="1:14" x14ac:dyDescent="0.35">
      <c r="A369" s="30">
        <v>368</v>
      </c>
      <c r="B369" s="31">
        <v>6</v>
      </c>
      <c r="C369" s="32">
        <f>(IO!$B$4+IO!$B$8)</f>
        <v>102</v>
      </c>
      <c r="D369" s="32">
        <f>IF(B369&gt;IO!$B$8,0,IO!$B$8-Model!B369)</f>
        <v>0</v>
      </c>
      <c r="E369" s="33">
        <f>IO!$B$5*C369-IO!$B$6*D369</f>
        <v>4080</v>
      </c>
      <c r="G369" s="47">
        <v>368</v>
      </c>
      <c r="H369" s="38" t="s">
        <v>8</v>
      </c>
      <c r="I369" s="38">
        <v>6</v>
      </c>
      <c r="J369" s="39">
        <v>0.44295961780849202</v>
      </c>
      <c r="K369" s="40">
        <f>ROUND(NORMINV(J369,IO!$B$10,IO!$B$11),0)</f>
        <v>102</v>
      </c>
      <c r="L369" s="40">
        <f>MIN(K369,IO!$B$4+IO!$B$8)</f>
        <v>102</v>
      </c>
      <c r="M369" s="40">
        <f>IF(L369-I369&gt;IO!$B$4,Model!L369-Model!I369-IO!$B$4,0)</f>
        <v>0</v>
      </c>
      <c r="N369" s="41">
        <f>IO!$B$5*Model!L369-IO!$B$6*Model!M369</f>
        <v>4080</v>
      </c>
    </row>
    <row r="370" spans="1:14" x14ac:dyDescent="0.35">
      <c r="A370" s="30">
        <v>369</v>
      </c>
      <c r="B370" s="31">
        <v>1</v>
      </c>
      <c r="C370" s="32">
        <f>(IO!$B$4+IO!$B$8)</f>
        <v>102</v>
      </c>
      <c r="D370" s="32">
        <f>IF(B370&gt;IO!$B$8,0,IO!$B$8-Model!B370)</f>
        <v>1</v>
      </c>
      <c r="E370" s="33">
        <f>IO!$B$5*C370-IO!$B$6*D370</f>
        <v>3980</v>
      </c>
      <c r="G370" s="47">
        <v>369</v>
      </c>
      <c r="H370" s="38" t="s">
        <v>9</v>
      </c>
      <c r="I370" s="38">
        <v>1</v>
      </c>
      <c r="J370" s="39">
        <v>0.92920291733093319</v>
      </c>
      <c r="K370" s="40">
        <f>ROUND(NORMINV(J370,IO!$B$10,IO!$B$11),0)</f>
        <v>110</v>
      </c>
      <c r="L370" s="40">
        <f>MIN(K370,IO!$B$4+IO!$B$8)</f>
        <v>102</v>
      </c>
      <c r="M370" s="40">
        <f>IF(L370-I370&gt;IO!$B$4,Model!L370-Model!I370-IO!$B$4,0)</f>
        <v>1</v>
      </c>
      <c r="N370" s="41">
        <f>IO!$B$5*Model!L370-IO!$B$6*Model!M370</f>
        <v>3980</v>
      </c>
    </row>
    <row r="371" spans="1:14" x14ac:dyDescent="0.35">
      <c r="A371" s="30">
        <v>370</v>
      </c>
      <c r="B371" s="31">
        <v>7</v>
      </c>
      <c r="C371" s="32">
        <f>(IO!$B$4+IO!$B$8)</f>
        <v>102</v>
      </c>
      <c r="D371" s="32">
        <f>IF(B371&gt;IO!$B$8,0,IO!$B$8-Model!B371)</f>
        <v>0</v>
      </c>
      <c r="E371" s="33">
        <f>IO!$B$5*C371-IO!$B$6*D371</f>
        <v>4080</v>
      </c>
      <c r="G371" s="47">
        <v>370</v>
      </c>
      <c r="H371" s="38" t="s">
        <v>7</v>
      </c>
      <c r="I371" s="38">
        <v>7</v>
      </c>
      <c r="J371" s="39">
        <v>0.99663703871508436</v>
      </c>
      <c r="K371" s="40">
        <f>ROUND(NORMINV(J371,IO!$B$10,IO!$B$11),0)</f>
        <v>117</v>
      </c>
      <c r="L371" s="40">
        <f>MIN(K371,IO!$B$4+IO!$B$8)</f>
        <v>102</v>
      </c>
      <c r="M371" s="40">
        <f>IF(L371-I371&gt;IO!$B$4,Model!L371-Model!I371-IO!$B$4,0)</f>
        <v>0</v>
      </c>
      <c r="N371" s="41">
        <f>IO!$B$5*Model!L371-IO!$B$6*Model!M371</f>
        <v>4080</v>
      </c>
    </row>
    <row r="372" spans="1:14" x14ac:dyDescent="0.35">
      <c r="A372" s="30">
        <v>371</v>
      </c>
      <c r="B372" s="31">
        <v>1</v>
      </c>
      <c r="C372" s="32">
        <f>(IO!$B$4+IO!$B$8)</f>
        <v>102</v>
      </c>
      <c r="D372" s="32">
        <f>IF(B372&gt;IO!$B$8,0,IO!$B$8-Model!B372)</f>
        <v>1</v>
      </c>
      <c r="E372" s="33">
        <f>IO!$B$5*C372-IO!$B$6*D372</f>
        <v>3980</v>
      </c>
      <c r="G372" s="47">
        <v>371</v>
      </c>
      <c r="H372" s="38" t="s">
        <v>8</v>
      </c>
      <c r="I372" s="38">
        <v>1</v>
      </c>
      <c r="J372" s="39">
        <v>0.22542332970711387</v>
      </c>
      <c r="K372" s="40">
        <f>ROUND(NORMINV(J372,IO!$B$10,IO!$B$11),0)</f>
        <v>99</v>
      </c>
      <c r="L372" s="40">
        <f>MIN(K372,IO!$B$4+IO!$B$8)</f>
        <v>99</v>
      </c>
      <c r="M372" s="40">
        <f>IF(L372-I372&gt;IO!$B$4,Model!L372-Model!I372-IO!$B$4,0)</f>
        <v>0</v>
      </c>
      <c r="N372" s="41">
        <f>IO!$B$5*Model!L372-IO!$B$6*Model!M372</f>
        <v>3960</v>
      </c>
    </row>
    <row r="373" spans="1:14" x14ac:dyDescent="0.35">
      <c r="A373" s="30">
        <v>372</v>
      </c>
      <c r="B373" s="31">
        <v>1</v>
      </c>
      <c r="C373" s="32">
        <f>(IO!$B$4+IO!$B$8)</f>
        <v>102</v>
      </c>
      <c r="D373" s="32">
        <f>IF(B373&gt;IO!$B$8,0,IO!$B$8-Model!B373)</f>
        <v>1</v>
      </c>
      <c r="E373" s="33">
        <f>IO!$B$5*C373-IO!$B$6*D373</f>
        <v>3980</v>
      </c>
      <c r="G373" s="47">
        <v>372</v>
      </c>
      <c r="H373" s="38" t="s">
        <v>9</v>
      </c>
      <c r="I373" s="38">
        <v>1</v>
      </c>
      <c r="J373" s="39">
        <v>0.54336930385826943</v>
      </c>
      <c r="K373" s="40">
        <f>ROUND(NORMINV(J373,IO!$B$10,IO!$B$11),0)</f>
        <v>104</v>
      </c>
      <c r="L373" s="40">
        <f>MIN(K373,IO!$B$4+IO!$B$8)</f>
        <v>102</v>
      </c>
      <c r="M373" s="40">
        <f>IF(L373-I373&gt;IO!$B$4,Model!L373-Model!I373-IO!$B$4,0)</f>
        <v>1</v>
      </c>
      <c r="N373" s="41">
        <f>IO!$B$5*Model!L373-IO!$B$6*Model!M373</f>
        <v>3980</v>
      </c>
    </row>
    <row r="374" spans="1:14" x14ac:dyDescent="0.35">
      <c r="A374" s="30">
        <v>373</v>
      </c>
      <c r="B374" s="31">
        <v>8</v>
      </c>
      <c r="C374" s="32">
        <f>(IO!$B$4+IO!$B$8)</f>
        <v>102</v>
      </c>
      <c r="D374" s="32">
        <f>IF(B374&gt;IO!$B$8,0,IO!$B$8-Model!B374)</f>
        <v>0</v>
      </c>
      <c r="E374" s="33">
        <f>IO!$B$5*C374-IO!$B$6*D374</f>
        <v>4080</v>
      </c>
      <c r="G374" s="47">
        <v>373</v>
      </c>
      <c r="H374" s="38" t="s">
        <v>7</v>
      </c>
      <c r="I374" s="38">
        <v>8</v>
      </c>
      <c r="J374" s="39">
        <v>0.33678884657614738</v>
      </c>
      <c r="K374" s="40">
        <f>ROUND(NORMINV(J374,IO!$B$10,IO!$B$11),0)</f>
        <v>101</v>
      </c>
      <c r="L374" s="40">
        <f>MIN(K374,IO!$B$4+IO!$B$8)</f>
        <v>101</v>
      </c>
      <c r="M374" s="40">
        <f>IF(L374-I374&gt;IO!$B$4,Model!L374-Model!I374-IO!$B$4,0)</f>
        <v>0</v>
      </c>
      <c r="N374" s="41">
        <f>IO!$B$5*Model!L374-IO!$B$6*Model!M374</f>
        <v>4040</v>
      </c>
    </row>
    <row r="375" spans="1:14" x14ac:dyDescent="0.35">
      <c r="A375" s="30">
        <v>374</v>
      </c>
      <c r="B375" s="31">
        <v>4</v>
      </c>
      <c r="C375" s="32">
        <f>(IO!$B$4+IO!$B$8)</f>
        <v>102</v>
      </c>
      <c r="D375" s="32">
        <f>IF(B375&gt;IO!$B$8,0,IO!$B$8-Model!B375)</f>
        <v>0</v>
      </c>
      <c r="E375" s="33">
        <f>IO!$B$5*C375-IO!$B$6*D375</f>
        <v>4080</v>
      </c>
      <c r="G375" s="47">
        <v>374</v>
      </c>
      <c r="H375" s="38" t="s">
        <v>8</v>
      </c>
      <c r="I375" s="38">
        <v>4</v>
      </c>
      <c r="J375" s="39">
        <v>0.36939402393757803</v>
      </c>
      <c r="K375" s="40">
        <f>ROUND(NORMINV(J375,IO!$B$10,IO!$B$11),0)</f>
        <v>101</v>
      </c>
      <c r="L375" s="40">
        <f>MIN(K375,IO!$B$4+IO!$B$8)</f>
        <v>101</v>
      </c>
      <c r="M375" s="40">
        <f>IF(L375-I375&gt;IO!$B$4,Model!L375-Model!I375-IO!$B$4,0)</f>
        <v>0</v>
      </c>
      <c r="N375" s="41">
        <f>IO!$B$5*Model!L375-IO!$B$6*Model!M375</f>
        <v>4040</v>
      </c>
    </row>
    <row r="376" spans="1:14" x14ac:dyDescent="0.35">
      <c r="A376" s="30">
        <v>375</v>
      </c>
      <c r="B376" s="31">
        <v>4</v>
      </c>
      <c r="C376" s="32">
        <f>(IO!$B$4+IO!$B$8)</f>
        <v>102</v>
      </c>
      <c r="D376" s="32">
        <f>IF(B376&gt;IO!$B$8,0,IO!$B$8-Model!B376)</f>
        <v>0</v>
      </c>
      <c r="E376" s="33">
        <f>IO!$B$5*C376-IO!$B$6*D376</f>
        <v>4080</v>
      </c>
      <c r="G376" s="47">
        <v>375</v>
      </c>
      <c r="H376" s="38" t="s">
        <v>9</v>
      </c>
      <c r="I376" s="38">
        <v>4</v>
      </c>
      <c r="J376" s="39">
        <v>0.68519956795275672</v>
      </c>
      <c r="K376" s="40">
        <f>ROUND(NORMINV(J376,IO!$B$10,IO!$B$11),0)</f>
        <v>105</v>
      </c>
      <c r="L376" s="40">
        <f>MIN(K376,IO!$B$4+IO!$B$8)</f>
        <v>102</v>
      </c>
      <c r="M376" s="40">
        <f>IF(L376-I376&gt;IO!$B$4,Model!L376-Model!I376-IO!$B$4,0)</f>
        <v>0</v>
      </c>
      <c r="N376" s="41">
        <f>IO!$B$5*Model!L376-IO!$B$6*Model!M376</f>
        <v>4080</v>
      </c>
    </row>
    <row r="377" spans="1:14" x14ac:dyDescent="0.35">
      <c r="A377" s="30">
        <v>376</v>
      </c>
      <c r="B377" s="31">
        <v>3</v>
      </c>
      <c r="C377" s="32">
        <f>(IO!$B$4+IO!$B$8)</f>
        <v>102</v>
      </c>
      <c r="D377" s="32">
        <f>IF(B377&gt;IO!$B$8,0,IO!$B$8-Model!B377)</f>
        <v>0</v>
      </c>
      <c r="E377" s="33">
        <f>IO!$B$5*C377-IO!$B$6*D377</f>
        <v>4080</v>
      </c>
      <c r="G377" s="47">
        <v>376</v>
      </c>
      <c r="H377" s="38" t="s">
        <v>7</v>
      </c>
      <c r="I377" s="38">
        <v>3</v>
      </c>
      <c r="J377" s="39">
        <v>0.27160254837554787</v>
      </c>
      <c r="K377" s="40">
        <f>ROUND(NORMINV(J377,IO!$B$10,IO!$B$11),0)</f>
        <v>100</v>
      </c>
      <c r="L377" s="40">
        <f>MIN(K377,IO!$B$4+IO!$B$8)</f>
        <v>100</v>
      </c>
      <c r="M377" s="40">
        <f>IF(L377-I377&gt;IO!$B$4,Model!L377-Model!I377-IO!$B$4,0)</f>
        <v>0</v>
      </c>
      <c r="N377" s="41">
        <f>IO!$B$5*Model!L377-IO!$B$6*Model!M377</f>
        <v>4000</v>
      </c>
    </row>
    <row r="378" spans="1:14" x14ac:dyDescent="0.35">
      <c r="A378" s="30">
        <v>377</v>
      </c>
      <c r="B378" s="31">
        <v>4</v>
      </c>
      <c r="C378" s="32">
        <f>(IO!$B$4+IO!$B$8)</f>
        <v>102</v>
      </c>
      <c r="D378" s="32">
        <f>IF(B378&gt;IO!$B$8,0,IO!$B$8-Model!B378)</f>
        <v>0</v>
      </c>
      <c r="E378" s="33">
        <f>IO!$B$5*C378-IO!$B$6*D378</f>
        <v>4080</v>
      </c>
      <c r="G378" s="47">
        <v>377</v>
      </c>
      <c r="H378" s="38" t="s">
        <v>8</v>
      </c>
      <c r="I378" s="38">
        <v>4</v>
      </c>
      <c r="J378" s="39">
        <v>0.32531367069703498</v>
      </c>
      <c r="K378" s="40">
        <f>ROUND(NORMINV(J378,IO!$B$10,IO!$B$11),0)</f>
        <v>101</v>
      </c>
      <c r="L378" s="40">
        <f>MIN(K378,IO!$B$4+IO!$B$8)</f>
        <v>101</v>
      </c>
      <c r="M378" s="40">
        <f>IF(L378-I378&gt;IO!$B$4,Model!L378-Model!I378-IO!$B$4,0)</f>
        <v>0</v>
      </c>
      <c r="N378" s="41">
        <f>IO!$B$5*Model!L378-IO!$B$6*Model!M378</f>
        <v>4040</v>
      </c>
    </row>
    <row r="379" spans="1:14" x14ac:dyDescent="0.35">
      <c r="A379" s="30">
        <v>378</v>
      </c>
      <c r="B379" s="31">
        <v>0</v>
      </c>
      <c r="C379" s="32">
        <f>(IO!$B$4+IO!$B$8)</f>
        <v>102</v>
      </c>
      <c r="D379" s="32">
        <f>IF(B379&gt;IO!$B$8,0,IO!$B$8-Model!B379)</f>
        <v>2</v>
      </c>
      <c r="E379" s="33">
        <f>IO!$B$5*C379-IO!$B$6*D379</f>
        <v>3880</v>
      </c>
      <c r="G379" s="47">
        <v>378</v>
      </c>
      <c r="H379" s="38" t="s">
        <v>9</v>
      </c>
      <c r="I379" s="38">
        <v>0</v>
      </c>
      <c r="J379" s="39">
        <v>0.448102721565244</v>
      </c>
      <c r="K379" s="40">
        <f>ROUND(NORMINV(J379,IO!$B$10,IO!$B$11),0)</f>
        <v>102</v>
      </c>
      <c r="L379" s="40">
        <f>MIN(K379,IO!$B$4+IO!$B$8)</f>
        <v>102</v>
      </c>
      <c r="M379" s="40">
        <f>IF(L379-I379&gt;IO!$B$4,Model!L379-Model!I379-IO!$B$4,0)</f>
        <v>2</v>
      </c>
      <c r="N379" s="41">
        <f>IO!$B$5*Model!L379-IO!$B$6*Model!M379</f>
        <v>3880</v>
      </c>
    </row>
    <row r="380" spans="1:14" x14ac:dyDescent="0.35">
      <c r="A380" s="30">
        <v>379</v>
      </c>
      <c r="B380" s="31">
        <v>4</v>
      </c>
      <c r="C380" s="32">
        <f>(IO!$B$4+IO!$B$8)</f>
        <v>102</v>
      </c>
      <c r="D380" s="32">
        <f>IF(B380&gt;IO!$B$8,0,IO!$B$8-Model!B380)</f>
        <v>0</v>
      </c>
      <c r="E380" s="33">
        <f>IO!$B$5*C380-IO!$B$6*D380</f>
        <v>4080</v>
      </c>
      <c r="G380" s="47">
        <v>379</v>
      </c>
      <c r="H380" s="38" t="s">
        <v>7</v>
      </c>
      <c r="I380" s="38">
        <v>4</v>
      </c>
      <c r="J380" s="39">
        <v>0.48446410816490382</v>
      </c>
      <c r="K380" s="40">
        <f>ROUND(NORMINV(J380,IO!$B$10,IO!$B$11),0)</f>
        <v>103</v>
      </c>
      <c r="L380" s="40">
        <f>MIN(K380,IO!$B$4+IO!$B$8)</f>
        <v>102</v>
      </c>
      <c r="M380" s="40">
        <f>IF(L380-I380&gt;IO!$B$4,Model!L380-Model!I380-IO!$B$4,0)</f>
        <v>0</v>
      </c>
      <c r="N380" s="41">
        <f>IO!$B$5*Model!L380-IO!$B$6*Model!M380</f>
        <v>4080</v>
      </c>
    </row>
    <row r="381" spans="1:14" x14ac:dyDescent="0.35">
      <c r="A381" s="30">
        <v>380</v>
      </c>
      <c r="B381" s="31">
        <v>3</v>
      </c>
      <c r="C381" s="32">
        <f>(IO!$B$4+IO!$B$8)</f>
        <v>102</v>
      </c>
      <c r="D381" s="32">
        <f>IF(B381&gt;IO!$B$8,0,IO!$B$8-Model!B381)</f>
        <v>0</v>
      </c>
      <c r="E381" s="33">
        <f>IO!$B$5*C381-IO!$B$6*D381</f>
        <v>4080</v>
      </c>
      <c r="G381" s="47">
        <v>380</v>
      </c>
      <c r="H381" s="38" t="s">
        <v>8</v>
      </c>
      <c r="I381" s="38">
        <v>3</v>
      </c>
      <c r="J381" s="39">
        <v>0.96987587070164527</v>
      </c>
      <c r="K381" s="40">
        <f>ROUND(NORMINV(J381,IO!$B$10,IO!$B$11),0)</f>
        <v>112</v>
      </c>
      <c r="L381" s="40">
        <f>MIN(K381,IO!$B$4+IO!$B$8)</f>
        <v>102</v>
      </c>
      <c r="M381" s="40">
        <f>IF(L381-I381&gt;IO!$B$4,Model!L381-Model!I381-IO!$B$4,0)</f>
        <v>0</v>
      </c>
      <c r="N381" s="41">
        <f>IO!$B$5*Model!L381-IO!$B$6*Model!M381</f>
        <v>4080</v>
      </c>
    </row>
    <row r="382" spans="1:14" x14ac:dyDescent="0.35">
      <c r="A382" s="30">
        <v>381</v>
      </c>
      <c r="B382" s="31">
        <v>1</v>
      </c>
      <c r="C382" s="32">
        <f>(IO!$B$4+IO!$B$8)</f>
        <v>102</v>
      </c>
      <c r="D382" s="32">
        <f>IF(B382&gt;IO!$B$8,0,IO!$B$8-Model!B382)</f>
        <v>1</v>
      </c>
      <c r="E382" s="33">
        <f>IO!$B$5*C382-IO!$B$6*D382</f>
        <v>3980</v>
      </c>
      <c r="G382" s="47">
        <v>381</v>
      </c>
      <c r="H382" s="38" t="s">
        <v>9</v>
      </c>
      <c r="I382" s="38">
        <v>1</v>
      </c>
      <c r="J382" s="39">
        <v>8.4804869978032493E-2</v>
      </c>
      <c r="K382" s="40">
        <f>ROUND(NORMINV(J382,IO!$B$10,IO!$B$11),0)</f>
        <v>96</v>
      </c>
      <c r="L382" s="40">
        <f>MIN(K382,IO!$B$4+IO!$B$8)</f>
        <v>96</v>
      </c>
      <c r="M382" s="40">
        <f>IF(L382-I382&gt;IO!$B$4,Model!L382-Model!I382-IO!$B$4,0)</f>
        <v>0</v>
      </c>
      <c r="N382" s="41">
        <f>IO!$B$5*Model!L382-IO!$B$6*Model!M382</f>
        <v>3840</v>
      </c>
    </row>
    <row r="383" spans="1:14" x14ac:dyDescent="0.35">
      <c r="A383" s="30">
        <v>382</v>
      </c>
      <c r="B383" s="31">
        <v>4</v>
      </c>
      <c r="C383" s="32">
        <f>(IO!$B$4+IO!$B$8)</f>
        <v>102</v>
      </c>
      <c r="D383" s="32">
        <f>IF(B383&gt;IO!$B$8,0,IO!$B$8-Model!B383)</f>
        <v>0</v>
      </c>
      <c r="E383" s="33">
        <f>IO!$B$5*C383-IO!$B$6*D383</f>
        <v>4080</v>
      </c>
      <c r="G383" s="47">
        <v>382</v>
      </c>
      <c r="H383" s="38" t="s">
        <v>7</v>
      </c>
      <c r="I383" s="38">
        <v>4</v>
      </c>
      <c r="J383" s="39">
        <v>0.16988909658605245</v>
      </c>
      <c r="K383" s="40">
        <f>ROUND(NORMINV(J383,IO!$B$10,IO!$B$11),0)</f>
        <v>98</v>
      </c>
      <c r="L383" s="40">
        <f>MIN(K383,IO!$B$4+IO!$B$8)</f>
        <v>98</v>
      </c>
      <c r="M383" s="40">
        <f>IF(L383-I383&gt;IO!$B$4,Model!L383-Model!I383-IO!$B$4,0)</f>
        <v>0</v>
      </c>
      <c r="N383" s="41">
        <f>IO!$B$5*Model!L383-IO!$B$6*Model!M383</f>
        <v>3920</v>
      </c>
    </row>
    <row r="384" spans="1:14" x14ac:dyDescent="0.35">
      <c r="A384" s="30">
        <v>383</v>
      </c>
      <c r="B384" s="31">
        <v>5</v>
      </c>
      <c r="C384" s="32">
        <f>(IO!$B$4+IO!$B$8)</f>
        <v>102</v>
      </c>
      <c r="D384" s="32">
        <f>IF(B384&gt;IO!$B$8,0,IO!$B$8-Model!B384)</f>
        <v>0</v>
      </c>
      <c r="E384" s="33">
        <f>IO!$B$5*C384-IO!$B$6*D384</f>
        <v>4080</v>
      </c>
      <c r="G384" s="47">
        <v>383</v>
      </c>
      <c r="H384" s="38" t="s">
        <v>8</v>
      </c>
      <c r="I384" s="38">
        <v>5</v>
      </c>
      <c r="J384" s="39">
        <v>0.58079655011477005</v>
      </c>
      <c r="K384" s="40">
        <f>ROUND(NORMINV(J384,IO!$B$10,IO!$B$11),0)</f>
        <v>104</v>
      </c>
      <c r="L384" s="40">
        <f>MIN(K384,IO!$B$4+IO!$B$8)</f>
        <v>102</v>
      </c>
      <c r="M384" s="40">
        <f>IF(L384-I384&gt;IO!$B$4,Model!L384-Model!I384-IO!$B$4,0)</f>
        <v>0</v>
      </c>
      <c r="N384" s="41">
        <f>IO!$B$5*Model!L384-IO!$B$6*Model!M384</f>
        <v>4080</v>
      </c>
    </row>
    <row r="385" spans="1:14" x14ac:dyDescent="0.35">
      <c r="A385" s="30">
        <v>384</v>
      </c>
      <c r="B385" s="31">
        <v>2</v>
      </c>
      <c r="C385" s="32">
        <f>(IO!$B$4+IO!$B$8)</f>
        <v>102</v>
      </c>
      <c r="D385" s="32">
        <f>IF(B385&gt;IO!$B$8,0,IO!$B$8-Model!B385)</f>
        <v>0</v>
      </c>
      <c r="E385" s="33">
        <f>IO!$B$5*C385-IO!$B$6*D385</f>
        <v>4080</v>
      </c>
      <c r="G385" s="47">
        <v>384</v>
      </c>
      <c r="H385" s="38" t="s">
        <v>9</v>
      </c>
      <c r="I385" s="38">
        <v>2</v>
      </c>
      <c r="J385" s="39">
        <v>0.52705339940017093</v>
      </c>
      <c r="K385" s="40">
        <f>ROUND(NORMINV(J385,IO!$B$10,IO!$B$11),0)</f>
        <v>103</v>
      </c>
      <c r="L385" s="40">
        <f>MIN(K385,IO!$B$4+IO!$B$8)</f>
        <v>102</v>
      </c>
      <c r="M385" s="40">
        <f>IF(L385-I385&gt;IO!$B$4,Model!L385-Model!I385-IO!$B$4,0)</f>
        <v>0</v>
      </c>
      <c r="N385" s="41">
        <f>IO!$B$5*Model!L385-IO!$B$6*Model!M385</f>
        <v>4080</v>
      </c>
    </row>
    <row r="386" spans="1:14" x14ac:dyDescent="0.35">
      <c r="A386" s="30">
        <v>385</v>
      </c>
      <c r="B386" s="31">
        <v>4</v>
      </c>
      <c r="C386" s="32">
        <f>(IO!$B$4+IO!$B$8)</f>
        <v>102</v>
      </c>
      <c r="D386" s="32">
        <f>IF(B386&gt;IO!$B$8,0,IO!$B$8-Model!B386)</f>
        <v>0</v>
      </c>
      <c r="E386" s="33">
        <f>IO!$B$5*C386-IO!$B$6*D386</f>
        <v>4080</v>
      </c>
      <c r="G386" s="47">
        <v>385</v>
      </c>
      <c r="H386" s="38" t="s">
        <v>7</v>
      </c>
      <c r="I386" s="38">
        <v>4</v>
      </c>
      <c r="J386" s="39">
        <v>0.5866656040769378</v>
      </c>
      <c r="K386" s="40">
        <f>ROUND(NORMINV(J386,IO!$B$10,IO!$B$11),0)</f>
        <v>104</v>
      </c>
      <c r="L386" s="40">
        <f>MIN(K386,IO!$B$4+IO!$B$8)</f>
        <v>102</v>
      </c>
      <c r="M386" s="40">
        <f>IF(L386-I386&gt;IO!$B$4,Model!L386-Model!I386-IO!$B$4,0)</f>
        <v>0</v>
      </c>
      <c r="N386" s="41">
        <f>IO!$B$5*Model!L386-IO!$B$6*Model!M386</f>
        <v>4080</v>
      </c>
    </row>
    <row r="387" spans="1:14" x14ac:dyDescent="0.35">
      <c r="A387" s="30">
        <v>386</v>
      </c>
      <c r="B387" s="31">
        <v>2</v>
      </c>
      <c r="C387" s="32">
        <f>(IO!$B$4+IO!$B$8)</f>
        <v>102</v>
      </c>
      <c r="D387" s="32">
        <f>IF(B387&gt;IO!$B$8,0,IO!$B$8-Model!B387)</f>
        <v>0</v>
      </c>
      <c r="E387" s="33">
        <f>IO!$B$5*C387-IO!$B$6*D387</f>
        <v>4080</v>
      </c>
      <c r="G387" s="47">
        <v>386</v>
      </c>
      <c r="H387" s="38" t="s">
        <v>8</v>
      </c>
      <c r="I387" s="38">
        <v>2</v>
      </c>
      <c r="J387" s="39">
        <v>0.58154691987914942</v>
      </c>
      <c r="K387" s="40">
        <f>ROUND(NORMINV(J387,IO!$B$10,IO!$B$11),0)</f>
        <v>104</v>
      </c>
      <c r="L387" s="40">
        <f>MIN(K387,IO!$B$4+IO!$B$8)</f>
        <v>102</v>
      </c>
      <c r="M387" s="40">
        <f>IF(L387-I387&gt;IO!$B$4,Model!L387-Model!I387-IO!$B$4,0)</f>
        <v>0</v>
      </c>
      <c r="N387" s="41">
        <f>IO!$B$5*Model!L387-IO!$B$6*Model!M387</f>
        <v>4080</v>
      </c>
    </row>
    <row r="388" spans="1:14" x14ac:dyDescent="0.35">
      <c r="A388" s="30">
        <v>387</v>
      </c>
      <c r="B388" s="31">
        <v>1</v>
      </c>
      <c r="C388" s="32">
        <f>(IO!$B$4+IO!$B$8)</f>
        <v>102</v>
      </c>
      <c r="D388" s="32">
        <f>IF(B388&gt;IO!$B$8,0,IO!$B$8-Model!B388)</f>
        <v>1</v>
      </c>
      <c r="E388" s="33">
        <f>IO!$B$5*C388-IO!$B$6*D388</f>
        <v>3980</v>
      </c>
      <c r="G388" s="47">
        <v>387</v>
      </c>
      <c r="H388" s="38" t="s">
        <v>9</v>
      </c>
      <c r="I388" s="38">
        <v>1</v>
      </c>
      <c r="J388" s="39">
        <v>0.28464371865998384</v>
      </c>
      <c r="K388" s="40">
        <f>ROUND(NORMINV(J388,IO!$B$10,IO!$B$11),0)</f>
        <v>100</v>
      </c>
      <c r="L388" s="40">
        <f>MIN(K388,IO!$B$4+IO!$B$8)</f>
        <v>100</v>
      </c>
      <c r="M388" s="40">
        <f>IF(L388-I388&gt;IO!$B$4,Model!L388-Model!I388-IO!$B$4,0)</f>
        <v>0</v>
      </c>
      <c r="N388" s="41">
        <f>IO!$B$5*Model!L388-IO!$B$6*Model!M388</f>
        <v>4000</v>
      </c>
    </row>
    <row r="389" spans="1:14" x14ac:dyDescent="0.35">
      <c r="A389" s="30">
        <v>388</v>
      </c>
      <c r="B389" s="31">
        <v>4</v>
      </c>
      <c r="C389" s="32">
        <f>(IO!$B$4+IO!$B$8)</f>
        <v>102</v>
      </c>
      <c r="D389" s="32">
        <f>IF(B389&gt;IO!$B$8,0,IO!$B$8-Model!B389)</f>
        <v>0</v>
      </c>
      <c r="E389" s="33">
        <f>IO!$B$5*C389-IO!$B$6*D389</f>
        <v>4080</v>
      </c>
      <c r="G389" s="47">
        <v>388</v>
      </c>
      <c r="H389" s="38" t="s">
        <v>7</v>
      </c>
      <c r="I389" s="38">
        <v>4</v>
      </c>
      <c r="J389" s="39">
        <v>3.768791545342709E-3</v>
      </c>
      <c r="K389" s="40">
        <f>ROUND(NORMINV(J389,IO!$B$10,IO!$B$11),0)</f>
        <v>90</v>
      </c>
      <c r="L389" s="40">
        <f>MIN(K389,IO!$B$4+IO!$B$8)</f>
        <v>90</v>
      </c>
      <c r="M389" s="40">
        <f>IF(L389-I389&gt;IO!$B$4,Model!L389-Model!I389-IO!$B$4,0)</f>
        <v>0</v>
      </c>
      <c r="N389" s="41">
        <f>IO!$B$5*Model!L389-IO!$B$6*Model!M389</f>
        <v>3600</v>
      </c>
    </row>
    <row r="390" spans="1:14" x14ac:dyDescent="0.35">
      <c r="A390" s="30">
        <v>389</v>
      </c>
      <c r="B390" s="31">
        <v>3</v>
      </c>
      <c r="C390" s="32">
        <f>(IO!$B$4+IO!$B$8)</f>
        <v>102</v>
      </c>
      <c r="D390" s="32">
        <f>IF(B390&gt;IO!$B$8,0,IO!$B$8-Model!B390)</f>
        <v>0</v>
      </c>
      <c r="E390" s="33">
        <f>IO!$B$5*C390-IO!$B$6*D390</f>
        <v>4080</v>
      </c>
      <c r="G390" s="47">
        <v>389</v>
      </c>
      <c r="H390" s="38" t="s">
        <v>8</v>
      </c>
      <c r="I390" s="38">
        <v>3</v>
      </c>
      <c r="J390" s="39">
        <v>0.91501888396391973</v>
      </c>
      <c r="K390" s="40">
        <f>ROUND(NORMINV(J390,IO!$B$10,IO!$B$11),0)</f>
        <v>110</v>
      </c>
      <c r="L390" s="40">
        <f>MIN(K390,IO!$B$4+IO!$B$8)</f>
        <v>102</v>
      </c>
      <c r="M390" s="40">
        <f>IF(L390-I390&gt;IO!$B$4,Model!L390-Model!I390-IO!$B$4,0)</f>
        <v>0</v>
      </c>
      <c r="N390" s="41">
        <f>IO!$B$5*Model!L390-IO!$B$6*Model!M390</f>
        <v>4080</v>
      </c>
    </row>
    <row r="391" spans="1:14" x14ac:dyDescent="0.35">
      <c r="A391" s="30">
        <v>390</v>
      </c>
      <c r="B391" s="31">
        <v>1</v>
      </c>
      <c r="C391" s="32">
        <f>(IO!$B$4+IO!$B$8)</f>
        <v>102</v>
      </c>
      <c r="D391" s="32">
        <f>IF(B391&gt;IO!$B$8,0,IO!$B$8-Model!B391)</f>
        <v>1</v>
      </c>
      <c r="E391" s="33">
        <f>IO!$B$5*C391-IO!$B$6*D391</f>
        <v>3980</v>
      </c>
      <c r="G391" s="47">
        <v>390</v>
      </c>
      <c r="H391" s="38" t="s">
        <v>9</v>
      </c>
      <c r="I391" s="38">
        <v>1</v>
      </c>
      <c r="J391" s="39">
        <v>0.65856486401058323</v>
      </c>
      <c r="K391" s="40">
        <f>ROUND(NORMINV(J391,IO!$B$10,IO!$B$11),0)</f>
        <v>105</v>
      </c>
      <c r="L391" s="40">
        <f>MIN(K391,IO!$B$4+IO!$B$8)</f>
        <v>102</v>
      </c>
      <c r="M391" s="40">
        <f>IF(L391-I391&gt;IO!$B$4,Model!L391-Model!I391-IO!$B$4,0)</f>
        <v>1</v>
      </c>
      <c r="N391" s="41">
        <f>IO!$B$5*Model!L391-IO!$B$6*Model!M391</f>
        <v>3980</v>
      </c>
    </row>
    <row r="392" spans="1:14" x14ac:dyDescent="0.35">
      <c r="A392" s="30">
        <v>391</v>
      </c>
      <c r="B392" s="31">
        <v>2</v>
      </c>
      <c r="C392" s="32">
        <f>(IO!$B$4+IO!$B$8)</f>
        <v>102</v>
      </c>
      <c r="D392" s="32">
        <f>IF(B392&gt;IO!$B$8,0,IO!$B$8-Model!B392)</f>
        <v>0</v>
      </c>
      <c r="E392" s="33">
        <f>IO!$B$5*C392-IO!$B$6*D392</f>
        <v>4080</v>
      </c>
      <c r="G392" s="47">
        <v>391</v>
      </c>
      <c r="H392" s="38" t="s">
        <v>7</v>
      </c>
      <c r="I392" s="38">
        <v>2</v>
      </c>
      <c r="J392" s="39">
        <v>9.6597724956677844E-2</v>
      </c>
      <c r="K392" s="40">
        <f>ROUND(NORMINV(J392,IO!$B$10,IO!$B$11),0)</f>
        <v>96</v>
      </c>
      <c r="L392" s="40">
        <f>MIN(K392,IO!$B$4+IO!$B$8)</f>
        <v>96</v>
      </c>
      <c r="M392" s="40">
        <f>IF(L392-I392&gt;IO!$B$4,Model!L392-Model!I392-IO!$B$4,0)</f>
        <v>0</v>
      </c>
      <c r="N392" s="41">
        <f>IO!$B$5*Model!L392-IO!$B$6*Model!M392</f>
        <v>3840</v>
      </c>
    </row>
    <row r="393" spans="1:14" x14ac:dyDescent="0.35">
      <c r="A393" s="30">
        <v>392</v>
      </c>
      <c r="B393" s="31">
        <v>7</v>
      </c>
      <c r="C393" s="32">
        <f>(IO!$B$4+IO!$B$8)</f>
        <v>102</v>
      </c>
      <c r="D393" s="32">
        <f>IF(B393&gt;IO!$B$8,0,IO!$B$8-Model!B393)</f>
        <v>0</v>
      </c>
      <c r="E393" s="33">
        <f>IO!$B$5*C393-IO!$B$6*D393</f>
        <v>4080</v>
      </c>
      <c r="G393" s="47">
        <v>392</v>
      </c>
      <c r="H393" s="38" t="s">
        <v>8</v>
      </c>
      <c r="I393" s="38">
        <v>7</v>
      </c>
      <c r="J393" s="39">
        <v>0.52557207550496199</v>
      </c>
      <c r="K393" s="40">
        <f>ROUND(NORMINV(J393,IO!$B$10,IO!$B$11),0)</f>
        <v>103</v>
      </c>
      <c r="L393" s="40">
        <f>MIN(K393,IO!$B$4+IO!$B$8)</f>
        <v>102</v>
      </c>
      <c r="M393" s="40">
        <f>IF(L393-I393&gt;IO!$B$4,Model!L393-Model!I393-IO!$B$4,0)</f>
        <v>0</v>
      </c>
      <c r="N393" s="41">
        <f>IO!$B$5*Model!L393-IO!$B$6*Model!M393</f>
        <v>4080</v>
      </c>
    </row>
    <row r="394" spans="1:14" x14ac:dyDescent="0.35">
      <c r="A394" s="30">
        <v>393</v>
      </c>
      <c r="B394" s="31">
        <v>2</v>
      </c>
      <c r="C394" s="32">
        <f>(IO!$B$4+IO!$B$8)</f>
        <v>102</v>
      </c>
      <c r="D394" s="32">
        <f>IF(B394&gt;IO!$B$8,0,IO!$B$8-Model!B394)</f>
        <v>0</v>
      </c>
      <c r="E394" s="33">
        <f>IO!$B$5*C394-IO!$B$6*D394</f>
        <v>4080</v>
      </c>
      <c r="G394" s="47">
        <v>393</v>
      </c>
      <c r="H394" s="38" t="s">
        <v>9</v>
      </c>
      <c r="I394" s="38">
        <v>2</v>
      </c>
      <c r="J394" s="39">
        <v>0.13880297735394254</v>
      </c>
      <c r="K394" s="40">
        <f>ROUND(NORMINV(J394,IO!$B$10,IO!$B$11),0)</f>
        <v>98</v>
      </c>
      <c r="L394" s="40">
        <f>MIN(K394,IO!$B$4+IO!$B$8)</f>
        <v>98</v>
      </c>
      <c r="M394" s="40">
        <f>IF(L394-I394&gt;IO!$B$4,Model!L394-Model!I394-IO!$B$4,0)</f>
        <v>0</v>
      </c>
      <c r="N394" s="41">
        <f>IO!$B$5*Model!L394-IO!$B$6*Model!M394</f>
        <v>3920</v>
      </c>
    </row>
    <row r="395" spans="1:14" x14ac:dyDescent="0.35">
      <c r="A395" s="30">
        <v>394</v>
      </c>
      <c r="B395" s="31">
        <v>5</v>
      </c>
      <c r="C395" s="32">
        <f>(IO!$B$4+IO!$B$8)</f>
        <v>102</v>
      </c>
      <c r="D395" s="32">
        <f>IF(B395&gt;IO!$B$8,0,IO!$B$8-Model!B395)</f>
        <v>0</v>
      </c>
      <c r="E395" s="33">
        <f>IO!$B$5*C395-IO!$B$6*D395</f>
        <v>4080</v>
      </c>
      <c r="G395" s="47">
        <v>394</v>
      </c>
      <c r="H395" s="38" t="s">
        <v>7</v>
      </c>
      <c r="I395" s="38">
        <v>5</v>
      </c>
      <c r="J395" s="39">
        <v>0.73846731508220054</v>
      </c>
      <c r="K395" s="40">
        <f>ROUND(NORMINV(J395,IO!$B$10,IO!$B$11),0)</f>
        <v>106</v>
      </c>
      <c r="L395" s="40">
        <f>MIN(K395,IO!$B$4+IO!$B$8)</f>
        <v>102</v>
      </c>
      <c r="M395" s="40">
        <f>IF(L395-I395&gt;IO!$B$4,Model!L395-Model!I395-IO!$B$4,0)</f>
        <v>0</v>
      </c>
      <c r="N395" s="41">
        <f>IO!$B$5*Model!L395-IO!$B$6*Model!M395</f>
        <v>4080</v>
      </c>
    </row>
    <row r="396" spans="1:14" x14ac:dyDescent="0.35">
      <c r="A396" s="30">
        <v>395</v>
      </c>
      <c r="B396" s="31">
        <v>3</v>
      </c>
      <c r="C396" s="32">
        <f>(IO!$B$4+IO!$B$8)</f>
        <v>102</v>
      </c>
      <c r="D396" s="32">
        <f>IF(B396&gt;IO!$B$8,0,IO!$B$8-Model!B396)</f>
        <v>0</v>
      </c>
      <c r="E396" s="33">
        <f>IO!$B$5*C396-IO!$B$6*D396</f>
        <v>4080</v>
      </c>
      <c r="G396" s="47">
        <v>395</v>
      </c>
      <c r="H396" s="38" t="s">
        <v>8</v>
      </c>
      <c r="I396" s="38">
        <v>3</v>
      </c>
      <c r="J396" s="39">
        <v>0.65757823486546518</v>
      </c>
      <c r="K396" s="40">
        <f>ROUND(NORMINV(J396,IO!$B$10,IO!$B$11),0)</f>
        <v>105</v>
      </c>
      <c r="L396" s="40">
        <f>MIN(K396,IO!$B$4+IO!$B$8)</f>
        <v>102</v>
      </c>
      <c r="M396" s="40">
        <f>IF(L396-I396&gt;IO!$B$4,Model!L396-Model!I396-IO!$B$4,0)</f>
        <v>0</v>
      </c>
      <c r="N396" s="41">
        <f>IO!$B$5*Model!L396-IO!$B$6*Model!M396</f>
        <v>4080</v>
      </c>
    </row>
    <row r="397" spans="1:14" x14ac:dyDescent="0.35">
      <c r="A397" s="30">
        <v>396</v>
      </c>
      <c r="B397" s="31">
        <v>1</v>
      </c>
      <c r="C397" s="32">
        <f>(IO!$B$4+IO!$B$8)</f>
        <v>102</v>
      </c>
      <c r="D397" s="32">
        <f>IF(B397&gt;IO!$B$8,0,IO!$B$8-Model!B397)</f>
        <v>1</v>
      </c>
      <c r="E397" s="33">
        <f>IO!$B$5*C397-IO!$B$6*D397</f>
        <v>3980</v>
      </c>
      <c r="G397" s="47">
        <v>396</v>
      </c>
      <c r="H397" s="38" t="s">
        <v>9</v>
      </c>
      <c r="I397" s="38">
        <v>1</v>
      </c>
      <c r="J397" s="39">
        <v>0.41016872093539913</v>
      </c>
      <c r="K397" s="40">
        <f>ROUND(NORMINV(J397,IO!$B$10,IO!$B$11),0)</f>
        <v>102</v>
      </c>
      <c r="L397" s="40">
        <f>MIN(K397,IO!$B$4+IO!$B$8)</f>
        <v>102</v>
      </c>
      <c r="M397" s="40">
        <f>IF(L397-I397&gt;IO!$B$4,Model!L397-Model!I397-IO!$B$4,0)</f>
        <v>1</v>
      </c>
      <c r="N397" s="41">
        <f>IO!$B$5*Model!L397-IO!$B$6*Model!M397</f>
        <v>3980</v>
      </c>
    </row>
    <row r="398" spans="1:14" x14ac:dyDescent="0.35">
      <c r="A398" s="30">
        <v>397</v>
      </c>
      <c r="B398" s="31">
        <v>0</v>
      </c>
      <c r="C398" s="32">
        <f>(IO!$B$4+IO!$B$8)</f>
        <v>102</v>
      </c>
      <c r="D398" s="32">
        <f>IF(B398&gt;IO!$B$8,0,IO!$B$8-Model!B398)</f>
        <v>2</v>
      </c>
      <c r="E398" s="33">
        <f>IO!$B$5*C398-IO!$B$6*D398</f>
        <v>3880</v>
      </c>
      <c r="G398" s="47">
        <v>397</v>
      </c>
      <c r="H398" s="38" t="s">
        <v>7</v>
      </c>
      <c r="I398" s="38">
        <v>0</v>
      </c>
      <c r="J398" s="39">
        <v>0.94349791087227008</v>
      </c>
      <c r="K398" s="40">
        <f>ROUND(NORMINV(J398,IO!$B$10,IO!$B$11),0)</f>
        <v>111</v>
      </c>
      <c r="L398" s="40">
        <f>MIN(K398,IO!$B$4+IO!$B$8)</f>
        <v>102</v>
      </c>
      <c r="M398" s="40">
        <f>IF(L398-I398&gt;IO!$B$4,Model!L398-Model!I398-IO!$B$4,0)</f>
        <v>2</v>
      </c>
      <c r="N398" s="41">
        <f>IO!$B$5*Model!L398-IO!$B$6*Model!M398</f>
        <v>3880</v>
      </c>
    </row>
    <row r="399" spans="1:14" x14ac:dyDescent="0.35">
      <c r="A399" s="30">
        <v>398</v>
      </c>
      <c r="B399" s="31">
        <v>3</v>
      </c>
      <c r="C399" s="32">
        <f>(IO!$B$4+IO!$B$8)</f>
        <v>102</v>
      </c>
      <c r="D399" s="32">
        <f>IF(B399&gt;IO!$B$8,0,IO!$B$8-Model!B399)</f>
        <v>0</v>
      </c>
      <c r="E399" s="33">
        <f>IO!$B$5*C399-IO!$B$6*D399</f>
        <v>4080</v>
      </c>
      <c r="G399" s="47">
        <v>398</v>
      </c>
      <c r="H399" s="38" t="s">
        <v>8</v>
      </c>
      <c r="I399" s="38">
        <v>3</v>
      </c>
      <c r="J399" s="39">
        <v>8.4495401339051202E-2</v>
      </c>
      <c r="K399" s="40">
        <f>ROUND(NORMINV(J399,IO!$B$10,IO!$B$11),0)</f>
        <v>96</v>
      </c>
      <c r="L399" s="40">
        <f>MIN(K399,IO!$B$4+IO!$B$8)</f>
        <v>96</v>
      </c>
      <c r="M399" s="40">
        <f>IF(L399-I399&gt;IO!$B$4,Model!L399-Model!I399-IO!$B$4,0)</f>
        <v>0</v>
      </c>
      <c r="N399" s="41">
        <f>IO!$B$5*Model!L399-IO!$B$6*Model!M399</f>
        <v>3840</v>
      </c>
    </row>
    <row r="400" spans="1:14" x14ac:dyDescent="0.35">
      <c r="A400" s="30">
        <v>399</v>
      </c>
      <c r="B400" s="31">
        <v>0</v>
      </c>
      <c r="C400" s="32">
        <f>(IO!$B$4+IO!$B$8)</f>
        <v>102</v>
      </c>
      <c r="D400" s="32">
        <f>IF(B400&gt;IO!$B$8,0,IO!$B$8-Model!B400)</f>
        <v>2</v>
      </c>
      <c r="E400" s="33">
        <f>IO!$B$5*C400-IO!$B$6*D400</f>
        <v>3880</v>
      </c>
      <c r="G400" s="47">
        <v>399</v>
      </c>
      <c r="H400" s="38" t="s">
        <v>9</v>
      </c>
      <c r="I400" s="38">
        <v>0</v>
      </c>
      <c r="J400" s="39">
        <v>0.99077588882064938</v>
      </c>
      <c r="K400" s="40">
        <f>ROUND(NORMINV(J400,IO!$B$10,IO!$B$11),0)</f>
        <v>115</v>
      </c>
      <c r="L400" s="40">
        <f>MIN(K400,IO!$B$4+IO!$B$8)</f>
        <v>102</v>
      </c>
      <c r="M400" s="40">
        <f>IF(L400-I400&gt;IO!$B$4,Model!L400-Model!I400-IO!$B$4,0)</f>
        <v>2</v>
      </c>
      <c r="N400" s="41">
        <f>IO!$B$5*Model!L400-IO!$B$6*Model!M400</f>
        <v>3880</v>
      </c>
    </row>
    <row r="401" spans="1:14" x14ac:dyDescent="0.35">
      <c r="A401" s="30">
        <v>400</v>
      </c>
      <c r="B401" s="31">
        <v>4</v>
      </c>
      <c r="C401" s="32">
        <f>(IO!$B$4+IO!$B$8)</f>
        <v>102</v>
      </c>
      <c r="D401" s="32">
        <f>IF(B401&gt;IO!$B$8,0,IO!$B$8-Model!B401)</f>
        <v>0</v>
      </c>
      <c r="E401" s="33">
        <f>IO!$B$5*C401-IO!$B$6*D401</f>
        <v>4080</v>
      </c>
      <c r="G401" s="47">
        <v>400</v>
      </c>
      <c r="H401" s="38" t="s">
        <v>7</v>
      </c>
      <c r="I401" s="38">
        <v>4</v>
      </c>
      <c r="J401" s="39">
        <v>7.662409918303914E-3</v>
      </c>
      <c r="K401" s="40">
        <f>ROUND(NORMINV(J401,IO!$B$10,IO!$B$11),0)</f>
        <v>91</v>
      </c>
      <c r="L401" s="40">
        <f>MIN(K401,IO!$B$4+IO!$B$8)</f>
        <v>91</v>
      </c>
      <c r="M401" s="40">
        <f>IF(L401-I401&gt;IO!$B$4,Model!L401-Model!I401-IO!$B$4,0)</f>
        <v>0</v>
      </c>
      <c r="N401" s="41">
        <f>IO!$B$5*Model!L401-IO!$B$6*Model!M401</f>
        <v>3640</v>
      </c>
    </row>
    <row r="402" spans="1:14" x14ac:dyDescent="0.35">
      <c r="A402" s="30">
        <v>401</v>
      </c>
      <c r="B402" s="31">
        <v>2</v>
      </c>
      <c r="C402" s="32">
        <f>(IO!$B$4+IO!$B$8)</f>
        <v>102</v>
      </c>
      <c r="D402" s="32">
        <f>IF(B402&gt;IO!$B$8,0,IO!$B$8-Model!B402)</f>
        <v>0</v>
      </c>
      <c r="E402" s="33">
        <f>IO!$B$5*C402-IO!$B$6*D402</f>
        <v>4080</v>
      </c>
      <c r="G402" s="47">
        <v>401</v>
      </c>
      <c r="H402" s="38" t="s">
        <v>8</v>
      </c>
      <c r="I402" s="38">
        <v>2</v>
      </c>
      <c r="J402" s="39">
        <v>0.76910464482578078</v>
      </c>
      <c r="K402" s="40">
        <f>ROUND(NORMINV(J402,IO!$B$10,IO!$B$11),0)</f>
        <v>107</v>
      </c>
      <c r="L402" s="40">
        <f>MIN(K402,IO!$B$4+IO!$B$8)</f>
        <v>102</v>
      </c>
      <c r="M402" s="40">
        <f>IF(L402-I402&gt;IO!$B$4,Model!L402-Model!I402-IO!$B$4,0)</f>
        <v>0</v>
      </c>
      <c r="N402" s="41">
        <f>IO!$B$5*Model!L402-IO!$B$6*Model!M402</f>
        <v>4080</v>
      </c>
    </row>
    <row r="403" spans="1:14" x14ac:dyDescent="0.35">
      <c r="A403" s="30">
        <v>402</v>
      </c>
      <c r="B403" s="31">
        <v>2</v>
      </c>
      <c r="C403" s="32">
        <f>(IO!$B$4+IO!$B$8)</f>
        <v>102</v>
      </c>
      <c r="D403" s="32">
        <f>IF(B403&gt;IO!$B$8,0,IO!$B$8-Model!B403)</f>
        <v>0</v>
      </c>
      <c r="E403" s="33">
        <f>IO!$B$5*C403-IO!$B$6*D403</f>
        <v>4080</v>
      </c>
      <c r="G403" s="47">
        <v>402</v>
      </c>
      <c r="H403" s="38" t="s">
        <v>9</v>
      </c>
      <c r="I403" s="38">
        <v>2</v>
      </c>
      <c r="J403" s="39">
        <v>0.69619659276363977</v>
      </c>
      <c r="K403" s="40">
        <f>ROUND(NORMINV(J403,IO!$B$10,IO!$B$11),0)</f>
        <v>106</v>
      </c>
      <c r="L403" s="40">
        <f>MIN(K403,IO!$B$4+IO!$B$8)</f>
        <v>102</v>
      </c>
      <c r="M403" s="40">
        <f>IF(L403-I403&gt;IO!$B$4,Model!L403-Model!I403-IO!$B$4,0)</f>
        <v>0</v>
      </c>
      <c r="N403" s="41">
        <f>IO!$B$5*Model!L403-IO!$B$6*Model!M403</f>
        <v>4080</v>
      </c>
    </row>
    <row r="404" spans="1:14" x14ac:dyDescent="0.35">
      <c r="A404" s="30">
        <v>403</v>
      </c>
      <c r="B404" s="31">
        <v>6</v>
      </c>
      <c r="C404" s="32">
        <f>(IO!$B$4+IO!$B$8)</f>
        <v>102</v>
      </c>
      <c r="D404" s="32">
        <f>IF(B404&gt;IO!$B$8,0,IO!$B$8-Model!B404)</f>
        <v>0</v>
      </c>
      <c r="E404" s="33">
        <f>IO!$B$5*C404-IO!$B$6*D404</f>
        <v>4080</v>
      </c>
      <c r="G404" s="47">
        <v>403</v>
      </c>
      <c r="H404" s="38" t="s">
        <v>7</v>
      </c>
      <c r="I404" s="38">
        <v>6</v>
      </c>
      <c r="J404" s="39">
        <v>0.12770428108897069</v>
      </c>
      <c r="K404" s="40">
        <f>ROUND(NORMINV(J404,IO!$B$10,IO!$B$11),0)</f>
        <v>97</v>
      </c>
      <c r="L404" s="40">
        <f>MIN(K404,IO!$B$4+IO!$B$8)</f>
        <v>97</v>
      </c>
      <c r="M404" s="40">
        <f>IF(L404-I404&gt;IO!$B$4,Model!L404-Model!I404-IO!$B$4,0)</f>
        <v>0</v>
      </c>
      <c r="N404" s="41">
        <f>IO!$B$5*Model!L404-IO!$B$6*Model!M404</f>
        <v>3880</v>
      </c>
    </row>
    <row r="405" spans="1:14" x14ac:dyDescent="0.35">
      <c r="A405" s="30">
        <v>404</v>
      </c>
      <c r="B405" s="31">
        <v>1</v>
      </c>
      <c r="C405" s="32">
        <f>(IO!$B$4+IO!$B$8)</f>
        <v>102</v>
      </c>
      <c r="D405" s="32">
        <f>IF(B405&gt;IO!$B$8,0,IO!$B$8-Model!B405)</f>
        <v>1</v>
      </c>
      <c r="E405" s="33">
        <f>IO!$B$5*C405-IO!$B$6*D405</f>
        <v>3980</v>
      </c>
      <c r="G405" s="47">
        <v>404</v>
      </c>
      <c r="H405" s="38" t="s">
        <v>8</v>
      </c>
      <c r="I405" s="38">
        <v>1</v>
      </c>
      <c r="J405" s="39">
        <v>0.66454531796496275</v>
      </c>
      <c r="K405" s="40">
        <f>ROUND(NORMINV(J405,IO!$B$10,IO!$B$11),0)</f>
        <v>105</v>
      </c>
      <c r="L405" s="40">
        <f>MIN(K405,IO!$B$4+IO!$B$8)</f>
        <v>102</v>
      </c>
      <c r="M405" s="40">
        <f>IF(L405-I405&gt;IO!$B$4,Model!L405-Model!I405-IO!$B$4,0)</f>
        <v>1</v>
      </c>
      <c r="N405" s="41">
        <f>IO!$B$5*Model!L405-IO!$B$6*Model!M405</f>
        <v>3980</v>
      </c>
    </row>
    <row r="406" spans="1:14" x14ac:dyDescent="0.35">
      <c r="A406" s="30">
        <v>405</v>
      </c>
      <c r="B406" s="31">
        <v>1</v>
      </c>
      <c r="C406" s="32">
        <f>(IO!$B$4+IO!$B$8)</f>
        <v>102</v>
      </c>
      <c r="D406" s="32">
        <f>IF(B406&gt;IO!$B$8,0,IO!$B$8-Model!B406)</f>
        <v>1</v>
      </c>
      <c r="E406" s="33">
        <f>IO!$B$5*C406-IO!$B$6*D406</f>
        <v>3980</v>
      </c>
      <c r="G406" s="47">
        <v>405</v>
      </c>
      <c r="H406" s="38" t="s">
        <v>9</v>
      </c>
      <c r="I406" s="38">
        <v>1</v>
      </c>
      <c r="J406" s="39">
        <v>0.11939673294004316</v>
      </c>
      <c r="K406" s="40">
        <f>ROUND(NORMINV(J406,IO!$B$10,IO!$B$11),0)</f>
        <v>97</v>
      </c>
      <c r="L406" s="40">
        <f>MIN(K406,IO!$B$4+IO!$B$8)</f>
        <v>97</v>
      </c>
      <c r="M406" s="40">
        <f>IF(L406-I406&gt;IO!$B$4,Model!L406-Model!I406-IO!$B$4,0)</f>
        <v>0</v>
      </c>
      <c r="N406" s="41">
        <f>IO!$B$5*Model!L406-IO!$B$6*Model!M406</f>
        <v>3880</v>
      </c>
    </row>
    <row r="407" spans="1:14" x14ac:dyDescent="0.35">
      <c r="A407" s="30">
        <v>406</v>
      </c>
      <c r="B407" s="31">
        <v>3</v>
      </c>
      <c r="C407" s="32">
        <f>(IO!$B$4+IO!$B$8)</f>
        <v>102</v>
      </c>
      <c r="D407" s="32">
        <f>IF(B407&gt;IO!$B$8,0,IO!$B$8-Model!B407)</f>
        <v>0</v>
      </c>
      <c r="E407" s="33">
        <f>IO!$B$5*C407-IO!$B$6*D407</f>
        <v>4080</v>
      </c>
      <c r="G407" s="47">
        <v>406</v>
      </c>
      <c r="H407" s="38" t="s">
        <v>7</v>
      </c>
      <c r="I407" s="38">
        <v>3</v>
      </c>
      <c r="J407" s="39">
        <v>0.52765906346102165</v>
      </c>
      <c r="K407" s="40">
        <f>ROUND(NORMINV(J407,IO!$B$10,IO!$B$11),0)</f>
        <v>103</v>
      </c>
      <c r="L407" s="40">
        <f>MIN(K407,IO!$B$4+IO!$B$8)</f>
        <v>102</v>
      </c>
      <c r="M407" s="40">
        <f>IF(L407-I407&gt;IO!$B$4,Model!L407-Model!I407-IO!$B$4,0)</f>
        <v>0</v>
      </c>
      <c r="N407" s="41">
        <f>IO!$B$5*Model!L407-IO!$B$6*Model!M407</f>
        <v>4080</v>
      </c>
    </row>
    <row r="408" spans="1:14" x14ac:dyDescent="0.35">
      <c r="A408" s="30">
        <v>407</v>
      </c>
      <c r="B408" s="31">
        <v>5</v>
      </c>
      <c r="C408" s="32">
        <f>(IO!$B$4+IO!$B$8)</f>
        <v>102</v>
      </c>
      <c r="D408" s="32">
        <f>IF(B408&gt;IO!$B$8,0,IO!$B$8-Model!B408)</f>
        <v>0</v>
      </c>
      <c r="E408" s="33">
        <f>IO!$B$5*C408-IO!$B$6*D408</f>
        <v>4080</v>
      </c>
      <c r="G408" s="47">
        <v>407</v>
      </c>
      <c r="H408" s="38" t="s">
        <v>8</v>
      </c>
      <c r="I408" s="38">
        <v>5</v>
      </c>
      <c r="J408" s="39">
        <v>5.6850732342709986E-2</v>
      </c>
      <c r="K408" s="40">
        <f>ROUND(NORMINV(J408,IO!$B$10,IO!$B$11),0)</f>
        <v>95</v>
      </c>
      <c r="L408" s="40">
        <f>MIN(K408,IO!$B$4+IO!$B$8)</f>
        <v>95</v>
      </c>
      <c r="M408" s="40">
        <f>IF(L408-I408&gt;IO!$B$4,Model!L408-Model!I408-IO!$B$4,0)</f>
        <v>0</v>
      </c>
      <c r="N408" s="41">
        <f>IO!$B$5*Model!L408-IO!$B$6*Model!M408</f>
        <v>3800</v>
      </c>
    </row>
    <row r="409" spans="1:14" x14ac:dyDescent="0.35">
      <c r="A409" s="30">
        <v>408</v>
      </c>
      <c r="B409" s="31">
        <v>2</v>
      </c>
      <c r="C409" s="32">
        <f>(IO!$B$4+IO!$B$8)</f>
        <v>102</v>
      </c>
      <c r="D409" s="32">
        <f>IF(B409&gt;IO!$B$8,0,IO!$B$8-Model!B409)</f>
        <v>0</v>
      </c>
      <c r="E409" s="33">
        <f>IO!$B$5*C409-IO!$B$6*D409</f>
        <v>4080</v>
      </c>
      <c r="G409" s="47">
        <v>408</v>
      </c>
      <c r="H409" s="38" t="s">
        <v>9</v>
      </c>
      <c r="I409" s="38">
        <v>2</v>
      </c>
      <c r="J409" s="39">
        <v>0.30909604615268171</v>
      </c>
      <c r="K409" s="40">
        <f>ROUND(NORMINV(J409,IO!$B$10,IO!$B$11),0)</f>
        <v>101</v>
      </c>
      <c r="L409" s="40">
        <f>MIN(K409,IO!$B$4+IO!$B$8)</f>
        <v>101</v>
      </c>
      <c r="M409" s="40">
        <f>IF(L409-I409&gt;IO!$B$4,Model!L409-Model!I409-IO!$B$4,0)</f>
        <v>0</v>
      </c>
      <c r="N409" s="41">
        <f>IO!$B$5*Model!L409-IO!$B$6*Model!M409</f>
        <v>4040</v>
      </c>
    </row>
    <row r="410" spans="1:14" x14ac:dyDescent="0.35">
      <c r="A410" s="30">
        <v>409</v>
      </c>
      <c r="B410" s="31">
        <v>2</v>
      </c>
      <c r="C410" s="32">
        <f>(IO!$B$4+IO!$B$8)</f>
        <v>102</v>
      </c>
      <c r="D410" s="32">
        <f>IF(B410&gt;IO!$B$8,0,IO!$B$8-Model!B410)</f>
        <v>0</v>
      </c>
      <c r="E410" s="33">
        <f>IO!$B$5*C410-IO!$B$6*D410</f>
        <v>4080</v>
      </c>
      <c r="G410" s="47">
        <v>409</v>
      </c>
      <c r="H410" s="38" t="s">
        <v>7</v>
      </c>
      <c r="I410" s="38">
        <v>2</v>
      </c>
      <c r="J410" s="39">
        <v>3.3551429471500582E-2</v>
      </c>
      <c r="K410" s="40">
        <f>ROUND(NORMINV(J410,IO!$B$10,IO!$B$11),0)</f>
        <v>94</v>
      </c>
      <c r="L410" s="40">
        <f>MIN(K410,IO!$B$4+IO!$B$8)</f>
        <v>94</v>
      </c>
      <c r="M410" s="40">
        <f>IF(L410-I410&gt;IO!$B$4,Model!L410-Model!I410-IO!$B$4,0)</f>
        <v>0</v>
      </c>
      <c r="N410" s="41">
        <f>IO!$B$5*Model!L410-IO!$B$6*Model!M410</f>
        <v>3760</v>
      </c>
    </row>
    <row r="411" spans="1:14" x14ac:dyDescent="0.35">
      <c r="A411" s="30">
        <v>410</v>
      </c>
      <c r="B411" s="31">
        <v>0</v>
      </c>
      <c r="C411" s="32">
        <f>(IO!$B$4+IO!$B$8)</f>
        <v>102</v>
      </c>
      <c r="D411" s="32">
        <f>IF(B411&gt;IO!$B$8,0,IO!$B$8-Model!B411)</f>
        <v>2</v>
      </c>
      <c r="E411" s="33">
        <f>IO!$B$5*C411-IO!$B$6*D411</f>
        <v>3880</v>
      </c>
      <c r="G411" s="47">
        <v>410</v>
      </c>
      <c r="H411" s="38" t="s">
        <v>8</v>
      </c>
      <c r="I411" s="38">
        <v>0</v>
      </c>
      <c r="J411" s="39">
        <v>4.5236693808713091E-2</v>
      </c>
      <c r="K411" s="40">
        <f>ROUND(NORMINV(J411,IO!$B$10,IO!$B$11),0)</f>
        <v>95</v>
      </c>
      <c r="L411" s="40">
        <f>MIN(K411,IO!$B$4+IO!$B$8)</f>
        <v>95</v>
      </c>
      <c r="M411" s="40">
        <f>IF(L411-I411&gt;IO!$B$4,Model!L411-Model!I411-IO!$B$4,0)</f>
        <v>0</v>
      </c>
      <c r="N411" s="41">
        <f>IO!$B$5*Model!L411-IO!$B$6*Model!M411</f>
        <v>3800</v>
      </c>
    </row>
    <row r="412" spans="1:14" x14ac:dyDescent="0.35">
      <c r="A412" s="30">
        <v>411</v>
      </c>
      <c r="B412" s="31">
        <v>3</v>
      </c>
      <c r="C412" s="32">
        <f>(IO!$B$4+IO!$B$8)</f>
        <v>102</v>
      </c>
      <c r="D412" s="32">
        <f>IF(B412&gt;IO!$B$8,0,IO!$B$8-Model!B412)</f>
        <v>0</v>
      </c>
      <c r="E412" s="33">
        <f>IO!$B$5*C412-IO!$B$6*D412</f>
        <v>4080</v>
      </c>
      <c r="G412" s="47">
        <v>411</v>
      </c>
      <c r="H412" s="38" t="s">
        <v>9</v>
      </c>
      <c r="I412" s="38">
        <v>3</v>
      </c>
      <c r="J412" s="39">
        <v>4.5184615641362225E-2</v>
      </c>
      <c r="K412" s="40">
        <f>ROUND(NORMINV(J412,IO!$B$10,IO!$B$11),0)</f>
        <v>95</v>
      </c>
      <c r="L412" s="40">
        <f>MIN(K412,IO!$B$4+IO!$B$8)</f>
        <v>95</v>
      </c>
      <c r="M412" s="40">
        <f>IF(L412-I412&gt;IO!$B$4,Model!L412-Model!I412-IO!$B$4,0)</f>
        <v>0</v>
      </c>
      <c r="N412" s="41">
        <f>IO!$B$5*Model!L412-IO!$B$6*Model!M412</f>
        <v>3800</v>
      </c>
    </row>
    <row r="413" spans="1:14" x14ac:dyDescent="0.35">
      <c r="A413" s="30">
        <v>412</v>
      </c>
      <c r="B413" s="31">
        <v>3</v>
      </c>
      <c r="C413" s="32">
        <f>(IO!$B$4+IO!$B$8)</f>
        <v>102</v>
      </c>
      <c r="D413" s="32">
        <f>IF(B413&gt;IO!$B$8,0,IO!$B$8-Model!B413)</f>
        <v>0</v>
      </c>
      <c r="E413" s="33">
        <f>IO!$B$5*C413-IO!$B$6*D413</f>
        <v>4080</v>
      </c>
      <c r="G413" s="47">
        <v>412</v>
      </c>
      <c r="H413" s="38" t="s">
        <v>7</v>
      </c>
      <c r="I413" s="38">
        <v>3</v>
      </c>
      <c r="J413" s="39">
        <v>0.39706741312099614</v>
      </c>
      <c r="K413" s="40">
        <f>ROUND(NORMINV(J413,IO!$B$10,IO!$B$11),0)</f>
        <v>102</v>
      </c>
      <c r="L413" s="40">
        <f>MIN(K413,IO!$B$4+IO!$B$8)</f>
        <v>102</v>
      </c>
      <c r="M413" s="40">
        <f>IF(L413-I413&gt;IO!$B$4,Model!L413-Model!I413-IO!$B$4,0)</f>
        <v>0</v>
      </c>
      <c r="N413" s="41">
        <f>IO!$B$5*Model!L413-IO!$B$6*Model!M413</f>
        <v>4080</v>
      </c>
    </row>
    <row r="414" spans="1:14" x14ac:dyDescent="0.35">
      <c r="A414" s="30">
        <v>413</v>
      </c>
      <c r="B414" s="31">
        <v>1</v>
      </c>
      <c r="C414" s="32">
        <f>(IO!$B$4+IO!$B$8)</f>
        <v>102</v>
      </c>
      <c r="D414" s="32">
        <f>IF(B414&gt;IO!$B$8,0,IO!$B$8-Model!B414)</f>
        <v>1</v>
      </c>
      <c r="E414" s="33">
        <f>IO!$B$5*C414-IO!$B$6*D414</f>
        <v>3980</v>
      </c>
      <c r="G414" s="47">
        <v>413</v>
      </c>
      <c r="H414" s="38" t="s">
        <v>8</v>
      </c>
      <c r="I414" s="38">
        <v>1</v>
      </c>
      <c r="J414" s="39">
        <v>0.46963571007530158</v>
      </c>
      <c r="K414" s="40">
        <f>ROUND(NORMINV(J414,IO!$B$10,IO!$B$11),0)</f>
        <v>103</v>
      </c>
      <c r="L414" s="40">
        <f>MIN(K414,IO!$B$4+IO!$B$8)</f>
        <v>102</v>
      </c>
      <c r="M414" s="40">
        <f>IF(L414-I414&gt;IO!$B$4,Model!L414-Model!I414-IO!$B$4,0)</f>
        <v>1</v>
      </c>
      <c r="N414" s="41">
        <f>IO!$B$5*Model!L414-IO!$B$6*Model!M414</f>
        <v>3980</v>
      </c>
    </row>
    <row r="415" spans="1:14" x14ac:dyDescent="0.35">
      <c r="A415" s="30">
        <v>414</v>
      </c>
      <c r="B415" s="31">
        <v>0</v>
      </c>
      <c r="C415" s="32">
        <f>(IO!$B$4+IO!$B$8)</f>
        <v>102</v>
      </c>
      <c r="D415" s="32">
        <f>IF(B415&gt;IO!$B$8,0,IO!$B$8-Model!B415)</f>
        <v>2</v>
      </c>
      <c r="E415" s="33">
        <f>IO!$B$5*C415-IO!$B$6*D415</f>
        <v>3880</v>
      </c>
      <c r="G415" s="47">
        <v>414</v>
      </c>
      <c r="H415" s="38" t="s">
        <v>9</v>
      </c>
      <c r="I415" s="38">
        <v>0</v>
      </c>
      <c r="J415" s="39">
        <v>0.12653773632904541</v>
      </c>
      <c r="K415" s="40">
        <f>ROUND(NORMINV(J415,IO!$B$10,IO!$B$11),0)</f>
        <v>97</v>
      </c>
      <c r="L415" s="40">
        <f>MIN(K415,IO!$B$4+IO!$B$8)</f>
        <v>97</v>
      </c>
      <c r="M415" s="40">
        <f>IF(L415-I415&gt;IO!$B$4,Model!L415-Model!I415-IO!$B$4,0)</f>
        <v>0</v>
      </c>
      <c r="N415" s="41">
        <f>IO!$B$5*Model!L415-IO!$B$6*Model!M415</f>
        <v>3880</v>
      </c>
    </row>
    <row r="416" spans="1:14" x14ac:dyDescent="0.35">
      <c r="A416" s="30">
        <v>415</v>
      </c>
      <c r="B416" s="31">
        <v>4</v>
      </c>
      <c r="C416" s="32">
        <f>(IO!$B$4+IO!$B$8)</f>
        <v>102</v>
      </c>
      <c r="D416" s="32">
        <f>IF(B416&gt;IO!$B$8,0,IO!$B$8-Model!B416)</f>
        <v>0</v>
      </c>
      <c r="E416" s="33">
        <f>IO!$B$5*C416-IO!$B$6*D416</f>
        <v>4080</v>
      </c>
      <c r="G416" s="47">
        <v>415</v>
      </c>
      <c r="H416" s="38" t="s">
        <v>7</v>
      </c>
      <c r="I416" s="38">
        <v>4</v>
      </c>
      <c r="J416" s="39">
        <v>0.46306014600602319</v>
      </c>
      <c r="K416" s="40">
        <f>ROUND(NORMINV(J416,IO!$B$10,IO!$B$11),0)</f>
        <v>103</v>
      </c>
      <c r="L416" s="40">
        <f>MIN(K416,IO!$B$4+IO!$B$8)</f>
        <v>102</v>
      </c>
      <c r="M416" s="40">
        <f>IF(L416-I416&gt;IO!$B$4,Model!L416-Model!I416-IO!$B$4,0)</f>
        <v>0</v>
      </c>
      <c r="N416" s="41">
        <f>IO!$B$5*Model!L416-IO!$B$6*Model!M416</f>
        <v>4080</v>
      </c>
    </row>
    <row r="417" spans="1:14" x14ac:dyDescent="0.35">
      <c r="A417" s="30">
        <v>416</v>
      </c>
      <c r="B417" s="31">
        <v>1</v>
      </c>
      <c r="C417" s="32">
        <f>(IO!$B$4+IO!$B$8)</f>
        <v>102</v>
      </c>
      <c r="D417" s="32">
        <f>IF(B417&gt;IO!$B$8,0,IO!$B$8-Model!B417)</f>
        <v>1</v>
      </c>
      <c r="E417" s="33">
        <f>IO!$B$5*C417-IO!$B$6*D417</f>
        <v>3980</v>
      </c>
      <c r="G417" s="47">
        <v>416</v>
      </c>
      <c r="H417" s="38" t="s">
        <v>8</v>
      </c>
      <c r="I417" s="38">
        <v>1</v>
      </c>
      <c r="J417" s="39">
        <v>0.92671789059941112</v>
      </c>
      <c r="K417" s="40">
        <f>ROUND(NORMINV(J417,IO!$B$10,IO!$B$11),0)</f>
        <v>110</v>
      </c>
      <c r="L417" s="40">
        <f>MIN(K417,IO!$B$4+IO!$B$8)</f>
        <v>102</v>
      </c>
      <c r="M417" s="40">
        <f>IF(L417-I417&gt;IO!$B$4,Model!L417-Model!I417-IO!$B$4,0)</f>
        <v>1</v>
      </c>
      <c r="N417" s="41">
        <f>IO!$B$5*Model!L417-IO!$B$6*Model!M417</f>
        <v>3980</v>
      </c>
    </row>
    <row r="418" spans="1:14" x14ac:dyDescent="0.35">
      <c r="A418" s="30">
        <v>417</v>
      </c>
      <c r="B418" s="31">
        <v>1</v>
      </c>
      <c r="C418" s="32">
        <f>(IO!$B$4+IO!$B$8)</f>
        <v>102</v>
      </c>
      <c r="D418" s="32">
        <f>IF(B418&gt;IO!$B$8,0,IO!$B$8-Model!B418)</f>
        <v>1</v>
      </c>
      <c r="E418" s="33">
        <f>IO!$B$5*C418-IO!$B$6*D418</f>
        <v>3980</v>
      </c>
      <c r="G418" s="47">
        <v>417</v>
      </c>
      <c r="H418" s="38" t="s">
        <v>9</v>
      </c>
      <c r="I418" s="38">
        <v>1</v>
      </c>
      <c r="J418" s="39">
        <v>0.12287186980954534</v>
      </c>
      <c r="K418" s="40">
        <f>ROUND(NORMINV(J418,IO!$B$10,IO!$B$11),0)</f>
        <v>97</v>
      </c>
      <c r="L418" s="40">
        <f>MIN(K418,IO!$B$4+IO!$B$8)</f>
        <v>97</v>
      </c>
      <c r="M418" s="40">
        <f>IF(L418-I418&gt;IO!$B$4,Model!L418-Model!I418-IO!$B$4,0)</f>
        <v>0</v>
      </c>
      <c r="N418" s="41">
        <f>IO!$B$5*Model!L418-IO!$B$6*Model!M418</f>
        <v>3880</v>
      </c>
    </row>
    <row r="419" spans="1:14" x14ac:dyDescent="0.35">
      <c r="A419" s="30">
        <v>418</v>
      </c>
      <c r="B419" s="31">
        <v>3</v>
      </c>
      <c r="C419" s="32">
        <f>(IO!$B$4+IO!$B$8)</f>
        <v>102</v>
      </c>
      <c r="D419" s="32">
        <f>IF(B419&gt;IO!$B$8,0,IO!$B$8-Model!B419)</f>
        <v>0</v>
      </c>
      <c r="E419" s="33">
        <f>IO!$B$5*C419-IO!$B$6*D419</f>
        <v>4080</v>
      </c>
      <c r="G419" s="47">
        <v>418</v>
      </c>
      <c r="H419" s="38" t="s">
        <v>7</v>
      </c>
      <c r="I419" s="38">
        <v>3</v>
      </c>
      <c r="J419" s="39">
        <v>0.51537562540521853</v>
      </c>
      <c r="K419" s="40">
        <f>ROUND(NORMINV(J419,IO!$B$10,IO!$B$11),0)</f>
        <v>103</v>
      </c>
      <c r="L419" s="40">
        <f>MIN(K419,IO!$B$4+IO!$B$8)</f>
        <v>102</v>
      </c>
      <c r="M419" s="40">
        <f>IF(L419-I419&gt;IO!$B$4,Model!L419-Model!I419-IO!$B$4,0)</f>
        <v>0</v>
      </c>
      <c r="N419" s="41">
        <f>IO!$B$5*Model!L419-IO!$B$6*Model!M419</f>
        <v>4080</v>
      </c>
    </row>
    <row r="420" spans="1:14" x14ac:dyDescent="0.35">
      <c r="A420" s="30">
        <v>419</v>
      </c>
      <c r="B420" s="31">
        <v>2</v>
      </c>
      <c r="C420" s="32">
        <f>(IO!$B$4+IO!$B$8)</f>
        <v>102</v>
      </c>
      <c r="D420" s="32">
        <f>IF(B420&gt;IO!$B$8,0,IO!$B$8-Model!B420)</f>
        <v>0</v>
      </c>
      <c r="E420" s="33">
        <f>IO!$B$5*C420-IO!$B$6*D420</f>
        <v>4080</v>
      </c>
      <c r="G420" s="47">
        <v>419</v>
      </c>
      <c r="H420" s="38" t="s">
        <v>8</v>
      </c>
      <c r="I420" s="38">
        <v>2</v>
      </c>
      <c r="J420" s="39">
        <v>0.20954931135855948</v>
      </c>
      <c r="K420" s="40">
        <f>ROUND(NORMINV(J420,IO!$B$10,IO!$B$11),0)</f>
        <v>99</v>
      </c>
      <c r="L420" s="40">
        <f>MIN(K420,IO!$B$4+IO!$B$8)</f>
        <v>99</v>
      </c>
      <c r="M420" s="40">
        <f>IF(L420-I420&gt;IO!$B$4,Model!L420-Model!I420-IO!$B$4,0)</f>
        <v>0</v>
      </c>
      <c r="N420" s="41">
        <f>IO!$B$5*Model!L420-IO!$B$6*Model!M420</f>
        <v>3960</v>
      </c>
    </row>
    <row r="421" spans="1:14" x14ac:dyDescent="0.35">
      <c r="A421" s="30">
        <v>420</v>
      </c>
      <c r="B421" s="31">
        <v>0</v>
      </c>
      <c r="C421" s="32">
        <f>(IO!$B$4+IO!$B$8)</f>
        <v>102</v>
      </c>
      <c r="D421" s="32">
        <f>IF(B421&gt;IO!$B$8,0,IO!$B$8-Model!B421)</f>
        <v>2</v>
      </c>
      <c r="E421" s="33">
        <f>IO!$B$5*C421-IO!$B$6*D421</f>
        <v>3880</v>
      </c>
      <c r="G421" s="47">
        <v>420</v>
      </c>
      <c r="H421" s="38" t="s">
        <v>9</v>
      </c>
      <c r="I421" s="38">
        <v>0</v>
      </c>
      <c r="J421" s="39">
        <v>0.88449115686538049</v>
      </c>
      <c r="K421" s="40">
        <f>ROUND(NORMINV(J421,IO!$B$10,IO!$B$11),0)</f>
        <v>109</v>
      </c>
      <c r="L421" s="40">
        <f>MIN(K421,IO!$B$4+IO!$B$8)</f>
        <v>102</v>
      </c>
      <c r="M421" s="40">
        <f>IF(L421-I421&gt;IO!$B$4,Model!L421-Model!I421-IO!$B$4,0)</f>
        <v>2</v>
      </c>
      <c r="N421" s="41">
        <f>IO!$B$5*Model!L421-IO!$B$6*Model!M421</f>
        <v>3880</v>
      </c>
    </row>
    <row r="422" spans="1:14" x14ac:dyDescent="0.35">
      <c r="A422" s="30">
        <v>421</v>
      </c>
      <c r="B422" s="31">
        <v>5</v>
      </c>
      <c r="C422" s="32">
        <f>(IO!$B$4+IO!$B$8)</f>
        <v>102</v>
      </c>
      <c r="D422" s="32">
        <f>IF(B422&gt;IO!$B$8,0,IO!$B$8-Model!B422)</f>
        <v>0</v>
      </c>
      <c r="E422" s="33">
        <f>IO!$B$5*C422-IO!$B$6*D422</f>
        <v>4080</v>
      </c>
      <c r="G422" s="47">
        <v>421</v>
      </c>
      <c r="H422" s="38" t="s">
        <v>7</v>
      </c>
      <c r="I422" s="38">
        <v>5</v>
      </c>
      <c r="J422" s="39">
        <v>0.68236694129830988</v>
      </c>
      <c r="K422" s="40">
        <f>ROUND(NORMINV(J422,IO!$B$10,IO!$B$11),0)</f>
        <v>105</v>
      </c>
      <c r="L422" s="40">
        <f>MIN(K422,IO!$B$4+IO!$B$8)</f>
        <v>102</v>
      </c>
      <c r="M422" s="40">
        <f>IF(L422-I422&gt;IO!$B$4,Model!L422-Model!I422-IO!$B$4,0)</f>
        <v>0</v>
      </c>
      <c r="N422" s="41">
        <f>IO!$B$5*Model!L422-IO!$B$6*Model!M422</f>
        <v>4080</v>
      </c>
    </row>
    <row r="423" spans="1:14" x14ac:dyDescent="0.35">
      <c r="A423" s="30">
        <v>422</v>
      </c>
      <c r="B423" s="31">
        <v>2</v>
      </c>
      <c r="C423" s="32">
        <f>(IO!$B$4+IO!$B$8)</f>
        <v>102</v>
      </c>
      <c r="D423" s="32">
        <f>IF(B423&gt;IO!$B$8,0,IO!$B$8-Model!B423)</f>
        <v>0</v>
      </c>
      <c r="E423" s="33">
        <f>IO!$B$5*C423-IO!$B$6*D423</f>
        <v>4080</v>
      </c>
      <c r="G423" s="47">
        <v>422</v>
      </c>
      <c r="H423" s="38" t="s">
        <v>8</v>
      </c>
      <c r="I423" s="38">
        <v>2</v>
      </c>
      <c r="J423" s="39">
        <v>0.55089149386974667</v>
      </c>
      <c r="K423" s="40">
        <f>ROUND(NORMINV(J423,IO!$B$10,IO!$B$11),0)</f>
        <v>104</v>
      </c>
      <c r="L423" s="40">
        <f>MIN(K423,IO!$B$4+IO!$B$8)</f>
        <v>102</v>
      </c>
      <c r="M423" s="40">
        <f>IF(L423-I423&gt;IO!$B$4,Model!L423-Model!I423-IO!$B$4,0)</f>
        <v>0</v>
      </c>
      <c r="N423" s="41">
        <f>IO!$B$5*Model!L423-IO!$B$6*Model!M423</f>
        <v>4080</v>
      </c>
    </row>
    <row r="424" spans="1:14" x14ac:dyDescent="0.35">
      <c r="A424" s="30">
        <v>423</v>
      </c>
      <c r="B424" s="31">
        <v>4</v>
      </c>
      <c r="C424" s="32">
        <f>(IO!$B$4+IO!$B$8)</f>
        <v>102</v>
      </c>
      <c r="D424" s="32">
        <f>IF(B424&gt;IO!$B$8,0,IO!$B$8-Model!B424)</f>
        <v>0</v>
      </c>
      <c r="E424" s="33">
        <f>IO!$B$5*C424-IO!$B$6*D424</f>
        <v>4080</v>
      </c>
      <c r="G424" s="47">
        <v>423</v>
      </c>
      <c r="H424" s="38" t="s">
        <v>9</v>
      </c>
      <c r="I424" s="38">
        <v>4</v>
      </c>
      <c r="J424" s="39">
        <v>0.562361130207086</v>
      </c>
      <c r="K424" s="40">
        <f>ROUND(NORMINV(J424,IO!$B$10,IO!$B$11),0)</f>
        <v>104</v>
      </c>
      <c r="L424" s="40">
        <f>MIN(K424,IO!$B$4+IO!$B$8)</f>
        <v>102</v>
      </c>
      <c r="M424" s="40">
        <f>IF(L424-I424&gt;IO!$B$4,Model!L424-Model!I424-IO!$B$4,0)</f>
        <v>0</v>
      </c>
      <c r="N424" s="41">
        <f>IO!$B$5*Model!L424-IO!$B$6*Model!M424</f>
        <v>4080</v>
      </c>
    </row>
    <row r="425" spans="1:14" x14ac:dyDescent="0.35">
      <c r="A425" s="30">
        <v>424</v>
      </c>
      <c r="B425" s="31">
        <v>7</v>
      </c>
      <c r="C425" s="32">
        <f>(IO!$B$4+IO!$B$8)</f>
        <v>102</v>
      </c>
      <c r="D425" s="32">
        <f>IF(B425&gt;IO!$B$8,0,IO!$B$8-Model!B425)</f>
        <v>0</v>
      </c>
      <c r="E425" s="33">
        <f>IO!$B$5*C425-IO!$B$6*D425</f>
        <v>4080</v>
      </c>
      <c r="G425" s="47">
        <v>424</v>
      </c>
      <c r="H425" s="38" t="s">
        <v>7</v>
      </c>
      <c r="I425" s="38">
        <v>7</v>
      </c>
      <c r="J425" s="39">
        <v>0.50284956837604822</v>
      </c>
      <c r="K425" s="40">
        <f>ROUND(NORMINV(J425,IO!$B$10,IO!$B$11),0)</f>
        <v>103</v>
      </c>
      <c r="L425" s="40">
        <f>MIN(K425,IO!$B$4+IO!$B$8)</f>
        <v>102</v>
      </c>
      <c r="M425" s="40">
        <f>IF(L425-I425&gt;IO!$B$4,Model!L425-Model!I425-IO!$B$4,0)</f>
        <v>0</v>
      </c>
      <c r="N425" s="41">
        <f>IO!$B$5*Model!L425-IO!$B$6*Model!M425</f>
        <v>4080</v>
      </c>
    </row>
    <row r="426" spans="1:14" x14ac:dyDescent="0.35">
      <c r="A426" s="30">
        <v>425</v>
      </c>
      <c r="B426" s="31">
        <v>1</v>
      </c>
      <c r="C426" s="32">
        <f>(IO!$B$4+IO!$B$8)</f>
        <v>102</v>
      </c>
      <c r="D426" s="32">
        <f>IF(B426&gt;IO!$B$8,0,IO!$B$8-Model!B426)</f>
        <v>1</v>
      </c>
      <c r="E426" s="33">
        <f>IO!$B$5*C426-IO!$B$6*D426</f>
        <v>3980</v>
      </c>
      <c r="G426" s="47">
        <v>425</v>
      </c>
      <c r="H426" s="38" t="s">
        <v>8</v>
      </c>
      <c r="I426" s="38">
        <v>1</v>
      </c>
      <c r="J426" s="39">
        <v>0.56859769226728896</v>
      </c>
      <c r="K426" s="40">
        <f>ROUND(NORMINV(J426,IO!$B$10,IO!$B$11),0)</f>
        <v>104</v>
      </c>
      <c r="L426" s="40">
        <f>MIN(K426,IO!$B$4+IO!$B$8)</f>
        <v>102</v>
      </c>
      <c r="M426" s="40">
        <f>IF(L426-I426&gt;IO!$B$4,Model!L426-Model!I426-IO!$B$4,0)</f>
        <v>1</v>
      </c>
      <c r="N426" s="41">
        <f>IO!$B$5*Model!L426-IO!$B$6*Model!M426</f>
        <v>3980</v>
      </c>
    </row>
    <row r="427" spans="1:14" x14ac:dyDescent="0.35">
      <c r="A427" s="30">
        <v>426</v>
      </c>
      <c r="B427" s="31">
        <v>1</v>
      </c>
      <c r="C427" s="32">
        <f>(IO!$B$4+IO!$B$8)</f>
        <v>102</v>
      </c>
      <c r="D427" s="32">
        <f>IF(B427&gt;IO!$B$8,0,IO!$B$8-Model!B427)</f>
        <v>1</v>
      </c>
      <c r="E427" s="33">
        <f>IO!$B$5*C427-IO!$B$6*D427</f>
        <v>3980</v>
      </c>
      <c r="G427" s="47">
        <v>426</v>
      </c>
      <c r="H427" s="38" t="s">
        <v>9</v>
      </c>
      <c r="I427" s="38">
        <v>1</v>
      </c>
      <c r="J427" s="39">
        <v>5.7226636809091347E-2</v>
      </c>
      <c r="K427" s="40">
        <f>ROUND(NORMINV(J427,IO!$B$10,IO!$B$11),0)</f>
        <v>95</v>
      </c>
      <c r="L427" s="40">
        <f>MIN(K427,IO!$B$4+IO!$B$8)</f>
        <v>95</v>
      </c>
      <c r="M427" s="40">
        <f>IF(L427-I427&gt;IO!$B$4,Model!L427-Model!I427-IO!$B$4,0)</f>
        <v>0</v>
      </c>
      <c r="N427" s="41">
        <f>IO!$B$5*Model!L427-IO!$B$6*Model!M427</f>
        <v>3800</v>
      </c>
    </row>
    <row r="428" spans="1:14" x14ac:dyDescent="0.35">
      <c r="A428" s="30">
        <v>427</v>
      </c>
      <c r="B428" s="31">
        <v>4</v>
      </c>
      <c r="C428" s="32">
        <f>(IO!$B$4+IO!$B$8)</f>
        <v>102</v>
      </c>
      <c r="D428" s="32">
        <f>IF(B428&gt;IO!$B$8,0,IO!$B$8-Model!B428)</f>
        <v>0</v>
      </c>
      <c r="E428" s="33">
        <f>IO!$B$5*C428-IO!$B$6*D428</f>
        <v>4080</v>
      </c>
      <c r="G428" s="47">
        <v>427</v>
      </c>
      <c r="H428" s="38" t="s">
        <v>7</v>
      </c>
      <c r="I428" s="38">
        <v>4</v>
      </c>
      <c r="J428" s="39">
        <v>8.5486790202010332E-2</v>
      </c>
      <c r="K428" s="40">
        <f>ROUND(NORMINV(J428,IO!$B$10,IO!$B$11),0)</f>
        <v>96</v>
      </c>
      <c r="L428" s="40">
        <f>MIN(K428,IO!$B$4+IO!$B$8)</f>
        <v>96</v>
      </c>
      <c r="M428" s="40">
        <f>IF(L428-I428&gt;IO!$B$4,Model!L428-Model!I428-IO!$B$4,0)</f>
        <v>0</v>
      </c>
      <c r="N428" s="41">
        <f>IO!$B$5*Model!L428-IO!$B$6*Model!M428</f>
        <v>3840</v>
      </c>
    </row>
    <row r="429" spans="1:14" x14ac:dyDescent="0.35">
      <c r="A429" s="30">
        <v>428</v>
      </c>
      <c r="B429" s="31">
        <v>1</v>
      </c>
      <c r="C429" s="32">
        <f>(IO!$B$4+IO!$B$8)</f>
        <v>102</v>
      </c>
      <c r="D429" s="32">
        <f>IF(B429&gt;IO!$B$8,0,IO!$B$8-Model!B429)</f>
        <v>1</v>
      </c>
      <c r="E429" s="33">
        <f>IO!$B$5*C429-IO!$B$6*D429</f>
        <v>3980</v>
      </c>
      <c r="G429" s="47">
        <v>428</v>
      </c>
      <c r="H429" s="38" t="s">
        <v>8</v>
      </c>
      <c r="I429" s="38">
        <v>1</v>
      </c>
      <c r="J429" s="39">
        <v>0.51270502933884432</v>
      </c>
      <c r="K429" s="40">
        <f>ROUND(NORMINV(J429,IO!$B$10,IO!$B$11),0)</f>
        <v>103</v>
      </c>
      <c r="L429" s="40">
        <f>MIN(K429,IO!$B$4+IO!$B$8)</f>
        <v>102</v>
      </c>
      <c r="M429" s="40">
        <f>IF(L429-I429&gt;IO!$B$4,Model!L429-Model!I429-IO!$B$4,0)</f>
        <v>1</v>
      </c>
      <c r="N429" s="41">
        <f>IO!$B$5*Model!L429-IO!$B$6*Model!M429</f>
        <v>3980</v>
      </c>
    </row>
    <row r="430" spans="1:14" x14ac:dyDescent="0.35">
      <c r="A430" s="30">
        <v>429</v>
      </c>
      <c r="B430" s="31">
        <v>1</v>
      </c>
      <c r="C430" s="32">
        <f>(IO!$B$4+IO!$B$8)</f>
        <v>102</v>
      </c>
      <c r="D430" s="32">
        <f>IF(B430&gt;IO!$B$8,0,IO!$B$8-Model!B430)</f>
        <v>1</v>
      </c>
      <c r="E430" s="33">
        <f>IO!$B$5*C430-IO!$B$6*D430</f>
        <v>3980</v>
      </c>
      <c r="G430" s="47">
        <v>429</v>
      </c>
      <c r="H430" s="38" t="s">
        <v>9</v>
      </c>
      <c r="I430" s="38">
        <v>1</v>
      </c>
      <c r="J430" s="39">
        <v>0.79045653336055233</v>
      </c>
      <c r="K430" s="40">
        <f>ROUND(NORMINV(J430,IO!$B$10,IO!$B$11),0)</f>
        <v>107</v>
      </c>
      <c r="L430" s="40">
        <f>MIN(K430,IO!$B$4+IO!$B$8)</f>
        <v>102</v>
      </c>
      <c r="M430" s="40">
        <f>IF(L430-I430&gt;IO!$B$4,Model!L430-Model!I430-IO!$B$4,0)</f>
        <v>1</v>
      </c>
      <c r="N430" s="41">
        <f>IO!$B$5*Model!L430-IO!$B$6*Model!M430</f>
        <v>3980</v>
      </c>
    </row>
    <row r="431" spans="1:14" x14ac:dyDescent="0.35">
      <c r="A431" s="30">
        <v>430</v>
      </c>
      <c r="B431" s="31">
        <v>1</v>
      </c>
      <c r="C431" s="32">
        <f>(IO!$B$4+IO!$B$8)</f>
        <v>102</v>
      </c>
      <c r="D431" s="32">
        <f>IF(B431&gt;IO!$B$8,0,IO!$B$8-Model!B431)</f>
        <v>1</v>
      </c>
      <c r="E431" s="33">
        <f>IO!$B$5*C431-IO!$B$6*D431</f>
        <v>3980</v>
      </c>
      <c r="G431" s="47">
        <v>430</v>
      </c>
      <c r="H431" s="38" t="s">
        <v>7</v>
      </c>
      <c r="I431" s="38">
        <v>1</v>
      </c>
      <c r="J431" s="39">
        <v>0.20474636128207524</v>
      </c>
      <c r="K431" s="40">
        <f>ROUND(NORMINV(J431,IO!$B$10,IO!$B$11),0)</f>
        <v>99</v>
      </c>
      <c r="L431" s="40">
        <f>MIN(K431,IO!$B$4+IO!$B$8)</f>
        <v>99</v>
      </c>
      <c r="M431" s="40">
        <f>IF(L431-I431&gt;IO!$B$4,Model!L431-Model!I431-IO!$B$4,0)</f>
        <v>0</v>
      </c>
      <c r="N431" s="41">
        <f>IO!$B$5*Model!L431-IO!$B$6*Model!M431</f>
        <v>3960</v>
      </c>
    </row>
    <row r="432" spans="1:14" x14ac:dyDescent="0.35">
      <c r="A432" s="30">
        <v>431</v>
      </c>
      <c r="B432" s="31">
        <v>3</v>
      </c>
      <c r="C432" s="32">
        <f>(IO!$B$4+IO!$B$8)</f>
        <v>102</v>
      </c>
      <c r="D432" s="32">
        <f>IF(B432&gt;IO!$B$8,0,IO!$B$8-Model!B432)</f>
        <v>0</v>
      </c>
      <c r="E432" s="33">
        <f>IO!$B$5*C432-IO!$B$6*D432</f>
        <v>4080</v>
      </c>
      <c r="G432" s="47">
        <v>431</v>
      </c>
      <c r="H432" s="38" t="s">
        <v>8</v>
      </c>
      <c r="I432" s="38">
        <v>3</v>
      </c>
      <c r="J432" s="39">
        <v>0.76994950644952309</v>
      </c>
      <c r="K432" s="40">
        <f>ROUND(NORMINV(J432,IO!$B$10,IO!$B$11),0)</f>
        <v>107</v>
      </c>
      <c r="L432" s="40">
        <f>MIN(K432,IO!$B$4+IO!$B$8)</f>
        <v>102</v>
      </c>
      <c r="M432" s="40">
        <f>IF(L432-I432&gt;IO!$B$4,Model!L432-Model!I432-IO!$B$4,0)</f>
        <v>0</v>
      </c>
      <c r="N432" s="41">
        <f>IO!$B$5*Model!L432-IO!$B$6*Model!M432</f>
        <v>4080</v>
      </c>
    </row>
    <row r="433" spans="1:14" x14ac:dyDescent="0.35">
      <c r="A433" s="30">
        <v>432</v>
      </c>
      <c r="B433" s="31">
        <v>2</v>
      </c>
      <c r="C433" s="32">
        <f>(IO!$B$4+IO!$B$8)</f>
        <v>102</v>
      </c>
      <c r="D433" s="32">
        <f>IF(B433&gt;IO!$B$8,0,IO!$B$8-Model!B433)</f>
        <v>0</v>
      </c>
      <c r="E433" s="33">
        <f>IO!$B$5*C433-IO!$B$6*D433</f>
        <v>4080</v>
      </c>
      <c r="G433" s="47">
        <v>432</v>
      </c>
      <c r="H433" s="38" t="s">
        <v>9</v>
      </c>
      <c r="I433" s="38">
        <v>2</v>
      </c>
      <c r="J433" s="39">
        <v>0.72398343854893787</v>
      </c>
      <c r="K433" s="40">
        <f>ROUND(NORMINV(J433,IO!$B$10,IO!$B$11),0)</f>
        <v>106</v>
      </c>
      <c r="L433" s="40">
        <f>MIN(K433,IO!$B$4+IO!$B$8)</f>
        <v>102</v>
      </c>
      <c r="M433" s="40">
        <f>IF(L433-I433&gt;IO!$B$4,Model!L433-Model!I433-IO!$B$4,0)</f>
        <v>0</v>
      </c>
      <c r="N433" s="41">
        <f>IO!$B$5*Model!L433-IO!$B$6*Model!M433</f>
        <v>4080</v>
      </c>
    </row>
    <row r="434" spans="1:14" x14ac:dyDescent="0.35">
      <c r="A434" s="30">
        <v>433</v>
      </c>
      <c r="B434" s="31">
        <v>7</v>
      </c>
      <c r="C434" s="32">
        <f>(IO!$B$4+IO!$B$8)</f>
        <v>102</v>
      </c>
      <c r="D434" s="32">
        <f>IF(B434&gt;IO!$B$8,0,IO!$B$8-Model!B434)</f>
        <v>0</v>
      </c>
      <c r="E434" s="33">
        <f>IO!$B$5*C434-IO!$B$6*D434</f>
        <v>4080</v>
      </c>
      <c r="G434" s="47">
        <v>433</v>
      </c>
      <c r="H434" s="38" t="s">
        <v>7</v>
      </c>
      <c r="I434" s="38">
        <v>7</v>
      </c>
      <c r="J434" s="39">
        <v>0.38900506636263243</v>
      </c>
      <c r="K434" s="40">
        <f>ROUND(NORMINV(J434,IO!$B$10,IO!$B$11),0)</f>
        <v>102</v>
      </c>
      <c r="L434" s="40">
        <f>MIN(K434,IO!$B$4+IO!$B$8)</f>
        <v>102</v>
      </c>
      <c r="M434" s="40">
        <f>IF(L434-I434&gt;IO!$B$4,Model!L434-Model!I434-IO!$B$4,0)</f>
        <v>0</v>
      </c>
      <c r="N434" s="41">
        <f>IO!$B$5*Model!L434-IO!$B$6*Model!M434</f>
        <v>4080</v>
      </c>
    </row>
    <row r="435" spans="1:14" x14ac:dyDescent="0.35">
      <c r="A435" s="30">
        <v>434</v>
      </c>
      <c r="B435" s="31">
        <v>4</v>
      </c>
      <c r="C435" s="32">
        <f>(IO!$B$4+IO!$B$8)</f>
        <v>102</v>
      </c>
      <c r="D435" s="32">
        <f>IF(B435&gt;IO!$B$8,0,IO!$B$8-Model!B435)</f>
        <v>0</v>
      </c>
      <c r="E435" s="33">
        <f>IO!$B$5*C435-IO!$B$6*D435</f>
        <v>4080</v>
      </c>
      <c r="G435" s="47">
        <v>434</v>
      </c>
      <c r="H435" s="38" t="s">
        <v>8</v>
      </c>
      <c r="I435" s="38">
        <v>4</v>
      </c>
      <c r="J435" s="39">
        <v>0.55644415669510217</v>
      </c>
      <c r="K435" s="40">
        <f>ROUND(NORMINV(J435,IO!$B$10,IO!$B$11),0)</f>
        <v>104</v>
      </c>
      <c r="L435" s="40">
        <f>MIN(K435,IO!$B$4+IO!$B$8)</f>
        <v>102</v>
      </c>
      <c r="M435" s="40">
        <f>IF(L435-I435&gt;IO!$B$4,Model!L435-Model!I435-IO!$B$4,0)</f>
        <v>0</v>
      </c>
      <c r="N435" s="41">
        <f>IO!$B$5*Model!L435-IO!$B$6*Model!M435</f>
        <v>4080</v>
      </c>
    </row>
    <row r="436" spans="1:14" x14ac:dyDescent="0.35">
      <c r="A436" s="30">
        <v>435</v>
      </c>
      <c r="B436" s="31">
        <v>0</v>
      </c>
      <c r="C436" s="32">
        <f>(IO!$B$4+IO!$B$8)</f>
        <v>102</v>
      </c>
      <c r="D436" s="32">
        <f>IF(B436&gt;IO!$B$8,0,IO!$B$8-Model!B436)</f>
        <v>2</v>
      </c>
      <c r="E436" s="33">
        <f>IO!$B$5*C436-IO!$B$6*D436</f>
        <v>3880</v>
      </c>
      <c r="G436" s="47">
        <v>435</v>
      </c>
      <c r="H436" s="38" t="s">
        <v>9</v>
      </c>
      <c r="I436" s="38">
        <v>0</v>
      </c>
      <c r="J436" s="39">
        <v>7.936247395385454E-3</v>
      </c>
      <c r="K436" s="40">
        <f>ROUND(NORMINV(J436,IO!$B$10,IO!$B$11),0)</f>
        <v>91</v>
      </c>
      <c r="L436" s="40">
        <f>MIN(K436,IO!$B$4+IO!$B$8)</f>
        <v>91</v>
      </c>
      <c r="M436" s="40">
        <f>IF(L436-I436&gt;IO!$B$4,Model!L436-Model!I436-IO!$B$4,0)</f>
        <v>0</v>
      </c>
      <c r="N436" s="41">
        <f>IO!$B$5*Model!L436-IO!$B$6*Model!M436</f>
        <v>3640</v>
      </c>
    </row>
    <row r="437" spans="1:14" x14ac:dyDescent="0.35">
      <c r="A437" s="30">
        <v>436</v>
      </c>
      <c r="B437" s="31">
        <v>3</v>
      </c>
      <c r="C437" s="32">
        <f>(IO!$B$4+IO!$B$8)</f>
        <v>102</v>
      </c>
      <c r="D437" s="32">
        <f>IF(B437&gt;IO!$B$8,0,IO!$B$8-Model!B437)</f>
        <v>0</v>
      </c>
      <c r="E437" s="33">
        <f>IO!$B$5*C437-IO!$B$6*D437</f>
        <v>4080</v>
      </c>
      <c r="G437" s="47">
        <v>436</v>
      </c>
      <c r="H437" s="38" t="s">
        <v>7</v>
      </c>
      <c r="I437" s="38">
        <v>3</v>
      </c>
      <c r="J437" s="39">
        <v>0.52450680005103445</v>
      </c>
      <c r="K437" s="40">
        <f>ROUND(NORMINV(J437,IO!$B$10,IO!$B$11),0)</f>
        <v>103</v>
      </c>
      <c r="L437" s="40">
        <f>MIN(K437,IO!$B$4+IO!$B$8)</f>
        <v>102</v>
      </c>
      <c r="M437" s="40">
        <f>IF(L437-I437&gt;IO!$B$4,Model!L437-Model!I437-IO!$B$4,0)</f>
        <v>0</v>
      </c>
      <c r="N437" s="41">
        <f>IO!$B$5*Model!L437-IO!$B$6*Model!M437</f>
        <v>4080</v>
      </c>
    </row>
    <row r="438" spans="1:14" x14ac:dyDescent="0.35">
      <c r="A438" s="30">
        <v>437</v>
      </c>
      <c r="B438" s="31">
        <v>7</v>
      </c>
      <c r="C438" s="32">
        <f>(IO!$B$4+IO!$B$8)</f>
        <v>102</v>
      </c>
      <c r="D438" s="32">
        <f>IF(B438&gt;IO!$B$8,0,IO!$B$8-Model!B438)</f>
        <v>0</v>
      </c>
      <c r="E438" s="33">
        <f>IO!$B$5*C438-IO!$B$6*D438</f>
        <v>4080</v>
      </c>
      <c r="G438" s="47">
        <v>437</v>
      </c>
      <c r="H438" s="38" t="s">
        <v>8</v>
      </c>
      <c r="I438" s="38">
        <v>7</v>
      </c>
      <c r="J438" s="39">
        <v>0.95649046192230569</v>
      </c>
      <c r="K438" s="40">
        <f>ROUND(NORMINV(J438,IO!$B$10,IO!$B$11),0)</f>
        <v>112</v>
      </c>
      <c r="L438" s="40">
        <f>MIN(K438,IO!$B$4+IO!$B$8)</f>
        <v>102</v>
      </c>
      <c r="M438" s="40">
        <f>IF(L438-I438&gt;IO!$B$4,Model!L438-Model!I438-IO!$B$4,0)</f>
        <v>0</v>
      </c>
      <c r="N438" s="41">
        <f>IO!$B$5*Model!L438-IO!$B$6*Model!M438</f>
        <v>4080</v>
      </c>
    </row>
    <row r="439" spans="1:14" x14ac:dyDescent="0.35">
      <c r="A439" s="30">
        <v>438</v>
      </c>
      <c r="B439" s="31">
        <v>1</v>
      </c>
      <c r="C439" s="32">
        <f>(IO!$B$4+IO!$B$8)</f>
        <v>102</v>
      </c>
      <c r="D439" s="32">
        <f>IF(B439&gt;IO!$B$8,0,IO!$B$8-Model!B439)</f>
        <v>1</v>
      </c>
      <c r="E439" s="33">
        <f>IO!$B$5*C439-IO!$B$6*D439</f>
        <v>3980</v>
      </c>
      <c r="G439" s="47">
        <v>438</v>
      </c>
      <c r="H439" s="38" t="s">
        <v>9</v>
      </c>
      <c r="I439" s="38">
        <v>1</v>
      </c>
      <c r="J439" s="39">
        <v>0.93602810575575068</v>
      </c>
      <c r="K439" s="40">
        <f>ROUND(NORMINV(J439,IO!$B$10,IO!$B$11),0)</f>
        <v>111</v>
      </c>
      <c r="L439" s="40">
        <f>MIN(K439,IO!$B$4+IO!$B$8)</f>
        <v>102</v>
      </c>
      <c r="M439" s="40">
        <f>IF(L439-I439&gt;IO!$B$4,Model!L439-Model!I439-IO!$B$4,0)</f>
        <v>1</v>
      </c>
      <c r="N439" s="41">
        <f>IO!$B$5*Model!L439-IO!$B$6*Model!M439</f>
        <v>3980</v>
      </c>
    </row>
    <row r="440" spans="1:14" x14ac:dyDescent="0.35">
      <c r="A440" s="30">
        <v>439</v>
      </c>
      <c r="B440" s="31">
        <v>5</v>
      </c>
      <c r="C440" s="32">
        <f>(IO!$B$4+IO!$B$8)</f>
        <v>102</v>
      </c>
      <c r="D440" s="32">
        <f>IF(B440&gt;IO!$B$8,0,IO!$B$8-Model!B440)</f>
        <v>0</v>
      </c>
      <c r="E440" s="33">
        <f>IO!$B$5*C440-IO!$B$6*D440</f>
        <v>4080</v>
      </c>
      <c r="G440" s="47">
        <v>439</v>
      </c>
      <c r="H440" s="38" t="s">
        <v>7</v>
      </c>
      <c r="I440" s="38">
        <v>5</v>
      </c>
      <c r="J440" s="39">
        <v>0.94540124684727977</v>
      </c>
      <c r="K440" s="40">
        <f>ROUND(NORMINV(J440,IO!$B$10,IO!$B$11),0)</f>
        <v>111</v>
      </c>
      <c r="L440" s="40">
        <f>MIN(K440,IO!$B$4+IO!$B$8)</f>
        <v>102</v>
      </c>
      <c r="M440" s="40">
        <f>IF(L440-I440&gt;IO!$B$4,Model!L440-Model!I440-IO!$B$4,0)</f>
        <v>0</v>
      </c>
      <c r="N440" s="41">
        <f>IO!$B$5*Model!L440-IO!$B$6*Model!M440</f>
        <v>4080</v>
      </c>
    </row>
    <row r="441" spans="1:14" x14ac:dyDescent="0.35">
      <c r="A441" s="30">
        <v>440</v>
      </c>
      <c r="B441" s="31">
        <v>4</v>
      </c>
      <c r="C441" s="32">
        <f>(IO!$B$4+IO!$B$8)</f>
        <v>102</v>
      </c>
      <c r="D441" s="32">
        <f>IF(B441&gt;IO!$B$8,0,IO!$B$8-Model!B441)</f>
        <v>0</v>
      </c>
      <c r="E441" s="33">
        <f>IO!$B$5*C441-IO!$B$6*D441</f>
        <v>4080</v>
      </c>
      <c r="G441" s="47">
        <v>440</v>
      </c>
      <c r="H441" s="38" t="s">
        <v>8</v>
      </c>
      <c r="I441" s="38">
        <v>4</v>
      </c>
      <c r="J441" s="39">
        <v>5.9959400866259505E-2</v>
      </c>
      <c r="K441" s="40">
        <f>ROUND(NORMINV(J441,IO!$B$10,IO!$B$11),0)</f>
        <v>95</v>
      </c>
      <c r="L441" s="40">
        <f>MIN(K441,IO!$B$4+IO!$B$8)</f>
        <v>95</v>
      </c>
      <c r="M441" s="40">
        <f>IF(L441-I441&gt;IO!$B$4,Model!L441-Model!I441-IO!$B$4,0)</f>
        <v>0</v>
      </c>
      <c r="N441" s="41">
        <f>IO!$B$5*Model!L441-IO!$B$6*Model!M441</f>
        <v>3800</v>
      </c>
    </row>
    <row r="442" spans="1:14" x14ac:dyDescent="0.35">
      <c r="A442" s="30">
        <v>441</v>
      </c>
      <c r="B442" s="31">
        <v>0</v>
      </c>
      <c r="C442" s="32">
        <f>(IO!$B$4+IO!$B$8)</f>
        <v>102</v>
      </c>
      <c r="D442" s="32">
        <f>IF(B442&gt;IO!$B$8,0,IO!$B$8-Model!B442)</f>
        <v>2</v>
      </c>
      <c r="E442" s="33">
        <f>IO!$B$5*C442-IO!$B$6*D442</f>
        <v>3880</v>
      </c>
      <c r="G442" s="47">
        <v>441</v>
      </c>
      <c r="H442" s="38" t="s">
        <v>9</v>
      </c>
      <c r="I442" s="38">
        <v>0</v>
      </c>
      <c r="J442" s="39">
        <v>0.80914561766329207</v>
      </c>
      <c r="K442" s="40">
        <f>ROUND(NORMINV(J442,IO!$B$10,IO!$B$11),0)</f>
        <v>107</v>
      </c>
      <c r="L442" s="40">
        <f>MIN(K442,IO!$B$4+IO!$B$8)</f>
        <v>102</v>
      </c>
      <c r="M442" s="40">
        <f>IF(L442-I442&gt;IO!$B$4,Model!L442-Model!I442-IO!$B$4,0)</f>
        <v>2</v>
      </c>
      <c r="N442" s="41">
        <f>IO!$B$5*Model!L442-IO!$B$6*Model!M442</f>
        <v>3880</v>
      </c>
    </row>
    <row r="443" spans="1:14" x14ac:dyDescent="0.35">
      <c r="A443" s="30">
        <v>442</v>
      </c>
      <c r="B443" s="31">
        <v>1</v>
      </c>
      <c r="C443" s="32">
        <f>(IO!$B$4+IO!$B$8)</f>
        <v>102</v>
      </c>
      <c r="D443" s="32">
        <f>IF(B443&gt;IO!$B$8,0,IO!$B$8-Model!B443)</f>
        <v>1</v>
      </c>
      <c r="E443" s="33">
        <f>IO!$B$5*C443-IO!$B$6*D443</f>
        <v>3980</v>
      </c>
      <c r="G443" s="47">
        <v>442</v>
      </c>
      <c r="H443" s="38" t="s">
        <v>7</v>
      </c>
      <c r="I443" s="38">
        <v>1</v>
      </c>
      <c r="J443" s="39">
        <v>0.15387587677525338</v>
      </c>
      <c r="K443" s="40">
        <f>ROUND(NORMINV(J443,IO!$B$10,IO!$B$11),0)</f>
        <v>98</v>
      </c>
      <c r="L443" s="40">
        <f>MIN(K443,IO!$B$4+IO!$B$8)</f>
        <v>98</v>
      </c>
      <c r="M443" s="40">
        <f>IF(L443-I443&gt;IO!$B$4,Model!L443-Model!I443-IO!$B$4,0)</f>
        <v>0</v>
      </c>
      <c r="N443" s="41">
        <f>IO!$B$5*Model!L443-IO!$B$6*Model!M443</f>
        <v>3920</v>
      </c>
    </row>
    <row r="444" spans="1:14" x14ac:dyDescent="0.35">
      <c r="A444" s="30">
        <v>443</v>
      </c>
      <c r="B444" s="31">
        <v>1</v>
      </c>
      <c r="C444" s="32">
        <f>(IO!$B$4+IO!$B$8)</f>
        <v>102</v>
      </c>
      <c r="D444" s="32">
        <f>IF(B444&gt;IO!$B$8,0,IO!$B$8-Model!B444)</f>
        <v>1</v>
      </c>
      <c r="E444" s="33">
        <f>IO!$B$5*C444-IO!$B$6*D444</f>
        <v>3980</v>
      </c>
      <c r="G444" s="47">
        <v>443</v>
      </c>
      <c r="H444" s="38" t="s">
        <v>8</v>
      </c>
      <c r="I444" s="38">
        <v>1</v>
      </c>
      <c r="J444" s="39">
        <v>0.66943186018567724</v>
      </c>
      <c r="K444" s="40">
        <f>ROUND(NORMINV(J444,IO!$B$10,IO!$B$11),0)</f>
        <v>105</v>
      </c>
      <c r="L444" s="40">
        <f>MIN(K444,IO!$B$4+IO!$B$8)</f>
        <v>102</v>
      </c>
      <c r="M444" s="40">
        <f>IF(L444-I444&gt;IO!$B$4,Model!L444-Model!I444-IO!$B$4,0)</f>
        <v>1</v>
      </c>
      <c r="N444" s="41">
        <f>IO!$B$5*Model!L444-IO!$B$6*Model!M444</f>
        <v>3980</v>
      </c>
    </row>
    <row r="445" spans="1:14" x14ac:dyDescent="0.35">
      <c r="A445" s="30">
        <v>444</v>
      </c>
      <c r="B445" s="31">
        <v>2</v>
      </c>
      <c r="C445" s="32">
        <f>(IO!$B$4+IO!$B$8)</f>
        <v>102</v>
      </c>
      <c r="D445" s="32">
        <f>IF(B445&gt;IO!$B$8,0,IO!$B$8-Model!B445)</f>
        <v>0</v>
      </c>
      <c r="E445" s="33">
        <f>IO!$B$5*C445-IO!$B$6*D445</f>
        <v>4080</v>
      </c>
      <c r="G445" s="47">
        <v>444</v>
      </c>
      <c r="H445" s="38" t="s">
        <v>9</v>
      </c>
      <c r="I445" s="38">
        <v>2</v>
      </c>
      <c r="J445" s="39">
        <v>0.17897024992694965</v>
      </c>
      <c r="K445" s="40">
        <f>ROUND(NORMINV(J445,IO!$B$10,IO!$B$11),0)</f>
        <v>98</v>
      </c>
      <c r="L445" s="40">
        <f>MIN(K445,IO!$B$4+IO!$B$8)</f>
        <v>98</v>
      </c>
      <c r="M445" s="40">
        <f>IF(L445-I445&gt;IO!$B$4,Model!L445-Model!I445-IO!$B$4,0)</f>
        <v>0</v>
      </c>
      <c r="N445" s="41">
        <f>IO!$B$5*Model!L445-IO!$B$6*Model!M445</f>
        <v>3920</v>
      </c>
    </row>
    <row r="446" spans="1:14" x14ac:dyDescent="0.35">
      <c r="A446" s="30">
        <v>445</v>
      </c>
      <c r="B446" s="31">
        <v>6</v>
      </c>
      <c r="C446" s="32">
        <f>(IO!$B$4+IO!$B$8)</f>
        <v>102</v>
      </c>
      <c r="D446" s="32">
        <f>IF(B446&gt;IO!$B$8,0,IO!$B$8-Model!B446)</f>
        <v>0</v>
      </c>
      <c r="E446" s="33">
        <f>IO!$B$5*C446-IO!$B$6*D446</f>
        <v>4080</v>
      </c>
      <c r="G446" s="47">
        <v>445</v>
      </c>
      <c r="H446" s="38" t="s">
        <v>7</v>
      </c>
      <c r="I446" s="38">
        <v>6</v>
      </c>
      <c r="J446" s="39">
        <v>0.42340066138962262</v>
      </c>
      <c r="K446" s="40">
        <f>ROUND(NORMINV(J446,IO!$B$10,IO!$B$11),0)</f>
        <v>102</v>
      </c>
      <c r="L446" s="40">
        <f>MIN(K446,IO!$B$4+IO!$B$8)</f>
        <v>102</v>
      </c>
      <c r="M446" s="40">
        <f>IF(L446-I446&gt;IO!$B$4,Model!L446-Model!I446-IO!$B$4,0)</f>
        <v>0</v>
      </c>
      <c r="N446" s="41">
        <f>IO!$B$5*Model!L446-IO!$B$6*Model!M446</f>
        <v>4080</v>
      </c>
    </row>
    <row r="447" spans="1:14" x14ac:dyDescent="0.35">
      <c r="A447" s="30">
        <v>446</v>
      </c>
      <c r="B447" s="31">
        <v>2</v>
      </c>
      <c r="C447" s="32">
        <f>(IO!$B$4+IO!$B$8)</f>
        <v>102</v>
      </c>
      <c r="D447" s="32">
        <f>IF(B447&gt;IO!$B$8,0,IO!$B$8-Model!B447)</f>
        <v>0</v>
      </c>
      <c r="E447" s="33">
        <f>IO!$B$5*C447-IO!$B$6*D447</f>
        <v>4080</v>
      </c>
      <c r="G447" s="47">
        <v>446</v>
      </c>
      <c r="H447" s="38" t="s">
        <v>8</v>
      </c>
      <c r="I447" s="38">
        <v>2</v>
      </c>
      <c r="J447" s="39">
        <v>0.73129510463730618</v>
      </c>
      <c r="K447" s="40">
        <f>ROUND(NORMINV(J447,IO!$B$10,IO!$B$11),0)</f>
        <v>106</v>
      </c>
      <c r="L447" s="40">
        <f>MIN(K447,IO!$B$4+IO!$B$8)</f>
        <v>102</v>
      </c>
      <c r="M447" s="40">
        <f>IF(L447-I447&gt;IO!$B$4,Model!L447-Model!I447-IO!$B$4,0)</f>
        <v>0</v>
      </c>
      <c r="N447" s="41">
        <f>IO!$B$5*Model!L447-IO!$B$6*Model!M447</f>
        <v>4080</v>
      </c>
    </row>
    <row r="448" spans="1:14" x14ac:dyDescent="0.35">
      <c r="A448" s="30">
        <v>447</v>
      </c>
      <c r="B448" s="31">
        <v>1</v>
      </c>
      <c r="C448" s="32">
        <f>(IO!$B$4+IO!$B$8)</f>
        <v>102</v>
      </c>
      <c r="D448" s="32">
        <f>IF(B448&gt;IO!$B$8,0,IO!$B$8-Model!B448)</f>
        <v>1</v>
      </c>
      <c r="E448" s="33">
        <f>IO!$B$5*C448-IO!$B$6*D448</f>
        <v>3980</v>
      </c>
      <c r="G448" s="47">
        <v>447</v>
      </c>
      <c r="H448" s="38" t="s">
        <v>9</v>
      </c>
      <c r="I448" s="38">
        <v>1</v>
      </c>
      <c r="J448" s="39">
        <v>0.93679774701474083</v>
      </c>
      <c r="K448" s="40">
        <f>ROUND(NORMINV(J448,IO!$B$10,IO!$B$11),0)</f>
        <v>111</v>
      </c>
      <c r="L448" s="40">
        <f>MIN(K448,IO!$B$4+IO!$B$8)</f>
        <v>102</v>
      </c>
      <c r="M448" s="40">
        <f>IF(L448-I448&gt;IO!$B$4,Model!L448-Model!I448-IO!$B$4,0)</f>
        <v>1</v>
      </c>
      <c r="N448" s="41">
        <f>IO!$B$5*Model!L448-IO!$B$6*Model!M448</f>
        <v>3980</v>
      </c>
    </row>
    <row r="449" spans="1:14" x14ac:dyDescent="0.35">
      <c r="A449" s="30">
        <v>448</v>
      </c>
      <c r="B449" s="31">
        <v>3</v>
      </c>
      <c r="C449" s="32">
        <f>(IO!$B$4+IO!$B$8)</f>
        <v>102</v>
      </c>
      <c r="D449" s="32">
        <f>IF(B449&gt;IO!$B$8,0,IO!$B$8-Model!B449)</f>
        <v>0</v>
      </c>
      <c r="E449" s="33">
        <f>IO!$B$5*C449-IO!$B$6*D449</f>
        <v>4080</v>
      </c>
      <c r="G449" s="47">
        <v>448</v>
      </c>
      <c r="H449" s="38" t="s">
        <v>7</v>
      </c>
      <c r="I449" s="38">
        <v>3</v>
      </c>
      <c r="J449" s="39">
        <v>0.66601830218034974</v>
      </c>
      <c r="K449" s="40">
        <f>ROUND(NORMINV(J449,IO!$B$10,IO!$B$11),0)</f>
        <v>105</v>
      </c>
      <c r="L449" s="40">
        <f>MIN(K449,IO!$B$4+IO!$B$8)</f>
        <v>102</v>
      </c>
      <c r="M449" s="40">
        <f>IF(L449-I449&gt;IO!$B$4,Model!L449-Model!I449-IO!$B$4,0)</f>
        <v>0</v>
      </c>
      <c r="N449" s="41">
        <f>IO!$B$5*Model!L449-IO!$B$6*Model!M449</f>
        <v>4080</v>
      </c>
    </row>
    <row r="450" spans="1:14" x14ac:dyDescent="0.35">
      <c r="A450" s="30">
        <v>449</v>
      </c>
      <c r="B450" s="31">
        <v>2</v>
      </c>
      <c r="C450" s="32">
        <f>(IO!$B$4+IO!$B$8)</f>
        <v>102</v>
      </c>
      <c r="D450" s="32">
        <f>IF(B450&gt;IO!$B$8,0,IO!$B$8-Model!B450)</f>
        <v>0</v>
      </c>
      <c r="E450" s="33">
        <f>IO!$B$5*C450-IO!$B$6*D450</f>
        <v>4080</v>
      </c>
      <c r="G450" s="47">
        <v>449</v>
      </c>
      <c r="H450" s="38" t="s">
        <v>8</v>
      </c>
      <c r="I450" s="38">
        <v>2</v>
      </c>
      <c r="J450" s="39">
        <v>0.80294877237009077</v>
      </c>
      <c r="K450" s="40">
        <f>ROUND(NORMINV(J450,IO!$B$10,IO!$B$11),0)</f>
        <v>107</v>
      </c>
      <c r="L450" s="40">
        <f>MIN(K450,IO!$B$4+IO!$B$8)</f>
        <v>102</v>
      </c>
      <c r="M450" s="40">
        <f>IF(L450-I450&gt;IO!$B$4,Model!L450-Model!I450-IO!$B$4,0)</f>
        <v>0</v>
      </c>
      <c r="N450" s="41">
        <f>IO!$B$5*Model!L450-IO!$B$6*Model!M450</f>
        <v>4080</v>
      </c>
    </row>
    <row r="451" spans="1:14" x14ac:dyDescent="0.35">
      <c r="A451" s="30">
        <v>450</v>
      </c>
      <c r="B451" s="31">
        <v>2</v>
      </c>
      <c r="C451" s="32">
        <f>(IO!$B$4+IO!$B$8)</f>
        <v>102</v>
      </c>
      <c r="D451" s="32">
        <f>IF(B451&gt;IO!$B$8,0,IO!$B$8-Model!B451)</f>
        <v>0</v>
      </c>
      <c r="E451" s="33">
        <f>IO!$B$5*C451-IO!$B$6*D451</f>
        <v>4080</v>
      </c>
      <c r="G451" s="47">
        <v>450</v>
      </c>
      <c r="H451" s="38" t="s">
        <v>9</v>
      </c>
      <c r="I451" s="38">
        <v>2</v>
      </c>
      <c r="J451" s="39">
        <v>0.96031875305889458</v>
      </c>
      <c r="K451" s="40">
        <f>ROUND(NORMINV(J451,IO!$B$10,IO!$B$11),0)</f>
        <v>112</v>
      </c>
      <c r="L451" s="40">
        <f>MIN(K451,IO!$B$4+IO!$B$8)</f>
        <v>102</v>
      </c>
      <c r="M451" s="40">
        <f>IF(L451-I451&gt;IO!$B$4,Model!L451-Model!I451-IO!$B$4,0)</f>
        <v>0</v>
      </c>
      <c r="N451" s="41">
        <f>IO!$B$5*Model!L451-IO!$B$6*Model!M451</f>
        <v>4080</v>
      </c>
    </row>
    <row r="452" spans="1:14" x14ac:dyDescent="0.35">
      <c r="A452" s="30">
        <v>451</v>
      </c>
      <c r="B452" s="31">
        <v>5</v>
      </c>
      <c r="C452" s="32">
        <f>(IO!$B$4+IO!$B$8)</f>
        <v>102</v>
      </c>
      <c r="D452" s="32">
        <f>IF(B452&gt;IO!$B$8,0,IO!$B$8-Model!B452)</f>
        <v>0</v>
      </c>
      <c r="E452" s="33">
        <f>IO!$B$5*C452-IO!$B$6*D452</f>
        <v>4080</v>
      </c>
      <c r="G452" s="47">
        <v>451</v>
      </c>
      <c r="H452" s="38" t="s">
        <v>7</v>
      </c>
      <c r="I452" s="38">
        <v>5</v>
      </c>
      <c r="J452" s="39">
        <v>0.64246901961845171</v>
      </c>
      <c r="K452" s="40">
        <f>ROUND(NORMINV(J452,IO!$B$10,IO!$B$11),0)</f>
        <v>105</v>
      </c>
      <c r="L452" s="40">
        <f>MIN(K452,IO!$B$4+IO!$B$8)</f>
        <v>102</v>
      </c>
      <c r="M452" s="40">
        <f>IF(L452-I452&gt;IO!$B$4,Model!L452-Model!I452-IO!$B$4,0)</f>
        <v>0</v>
      </c>
      <c r="N452" s="41">
        <f>IO!$B$5*Model!L452-IO!$B$6*Model!M452</f>
        <v>4080</v>
      </c>
    </row>
    <row r="453" spans="1:14" x14ac:dyDescent="0.35">
      <c r="A453" s="30">
        <v>452</v>
      </c>
      <c r="B453" s="31">
        <v>2</v>
      </c>
      <c r="C453" s="32">
        <f>(IO!$B$4+IO!$B$8)</f>
        <v>102</v>
      </c>
      <c r="D453" s="32">
        <f>IF(B453&gt;IO!$B$8,0,IO!$B$8-Model!B453)</f>
        <v>0</v>
      </c>
      <c r="E453" s="33">
        <f>IO!$B$5*C453-IO!$B$6*D453</f>
        <v>4080</v>
      </c>
      <c r="G453" s="47">
        <v>452</v>
      </c>
      <c r="H453" s="38" t="s">
        <v>8</v>
      </c>
      <c r="I453" s="38">
        <v>2</v>
      </c>
      <c r="J453" s="39">
        <v>0.17863874408602931</v>
      </c>
      <c r="K453" s="40">
        <f>ROUND(NORMINV(J453,IO!$B$10,IO!$B$11),0)</f>
        <v>98</v>
      </c>
      <c r="L453" s="40">
        <f>MIN(K453,IO!$B$4+IO!$B$8)</f>
        <v>98</v>
      </c>
      <c r="M453" s="40">
        <f>IF(L453-I453&gt;IO!$B$4,Model!L453-Model!I453-IO!$B$4,0)</f>
        <v>0</v>
      </c>
      <c r="N453" s="41">
        <f>IO!$B$5*Model!L453-IO!$B$6*Model!M453</f>
        <v>3920</v>
      </c>
    </row>
    <row r="454" spans="1:14" x14ac:dyDescent="0.35">
      <c r="A454" s="30">
        <v>453</v>
      </c>
      <c r="B454" s="31">
        <v>0</v>
      </c>
      <c r="C454" s="32">
        <f>(IO!$B$4+IO!$B$8)</f>
        <v>102</v>
      </c>
      <c r="D454" s="32">
        <f>IF(B454&gt;IO!$B$8,0,IO!$B$8-Model!B454)</f>
        <v>2</v>
      </c>
      <c r="E454" s="33">
        <f>IO!$B$5*C454-IO!$B$6*D454</f>
        <v>3880</v>
      </c>
      <c r="G454" s="47">
        <v>453</v>
      </c>
      <c r="H454" s="38" t="s">
        <v>9</v>
      </c>
      <c r="I454" s="38">
        <v>0</v>
      </c>
      <c r="J454" s="39">
        <v>0.76628616165803165</v>
      </c>
      <c r="K454" s="40">
        <f>ROUND(NORMINV(J454,IO!$B$10,IO!$B$11),0)</f>
        <v>107</v>
      </c>
      <c r="L454" s="40">
        <f>MIN(K454,IO!$B$4+IO!$B$8)</f>
        <v>102</v>
      </c>
      <c r="M454" s="40">
        <f>IF(L454-I454&gt;IO!$B$4,Model!L454-Model!I454-IO!$B$4,0)</f>
        <v>2</v>
      </c>
      <c r="N454" s="41">
        <f>IO!$B$5*Model!L454-IO!$B$6*Model!M454</f>
        <v>3880</v>
      </c>
    </row>
    <row r="455" spans="1:14" x14ac:dyDescent="0.35">
      <c r="A455" s="30">
        <v>454</v>
      </c>
      <c r="B455" s="31">
        <v>2</v>
      </c>
      <c r="C455" s="32">
        <f>(IO!$B$4+IO!$B$8)</f>
        <v>102</v>
      </c>
      <c r="D455" s="32">
        <f>IF(B455&gt;IO!$B$8,0,IO!$B$8-Model!B455)</f>
        <v>0</v>
      </c>
      <c r="E455" s="33">
        <f>IO!$B$5*C455-IO!$B$6*D455</f>
        <v>4080</v>
      </c>
      <c r="G455" s="47">
        <v>454</v>
      </c>
      <c r="H455" s="38" t="s">
        <v>7</v>
      </c>
      <c r="I455" s="38">
        <v>2</v>
      </c>
      <c r="J455" s="39">
        <v>7.5865161031283823E-2</v>
      </c>
      <c r="K455" s="40">
        <f>ROUND(NORMINV(J455,IO!$B$10,IO!$B$11),0)</f>
        <v>96</v>
      </c>
      <c r="L455" s="40">
        <f>MIN(K455,IO!$B$4+IO!$B$8)</f>
        <v>96</v>
      </c>
      <c r="M455" s="40">
        <f>IF(L455-I455&gt;IO!$B$4,Model!L455-Model!I455-IO!$B$4,0)</f>
        <v>0</v>
      </c>
      <c r="N455" s="41">
        <f>IO!$B$5*Model!L455-IO!$B$6*Model!M455</f>
        <v>3840</v>
      </c>
    </row>
    <row r="456" spans="1:14" x14ac:dyDescent="0.35">
      <c r="A456" s="30">
        <v>455</v>
      </c>
      <c r="B456" s="31">
        <v>3</v>
      </c>
      <c r="C456" s="32">
        <f>(IO!$B$4+IO!$B$8)</f>
        <v>102</v>
      </c>
      <c r="D456" s="32">
        <f>IF(B456&gt;IO!$B$8,0,IO!$B$8-Model!B456)</f>
        <v>0</v>
      </c>
      <c r="E456" s="33">
        <f>IO!$B$5*C456-IO!$B$6*D456</f>
        <v>4080</v>
      </c>
      <c r="G456" s="47">
        <v>455</v>
      </c>
      <c r="H456" s="38" t="s">
        <v>8</v>
      </c>
      <c r="I456" s="38">
        <v>3</v>
      </c>
      <c r="J456" s="39">
        <v>0.62300973727816478</v>
      </c>
      <c r="K456" s="40">
        <f>ROUND(NORMINV(J456,IO!$B$10,IO!$B$11),0)</f>
        <v>105</v>
      </c>
      <c r="L456" s="40">
        <f>MIN(K456,IO!$B$4+IO!$B$8)</f>
        <v>102</v>
      </c>
      <c r="M456" s="40">
        <f>IF(L456-I456&gt;IO!$B$4,Model!L456-Model!I456-IO!$B$4,0)</f>
        <v>0</v>
      </c>
      <c r="N456" s="41">
        <f>IO!$B$5*Model!L456-IO!$B$6*Model!M456</f>
        <v>4080</v>
      </c>
    </row>
    <row r="457" spans="1:14" x14ac:dyDescent="0.35">
      <c r="A457" s="30">
        <v>456</v>
      </c>
      <c r="B457" s="31">
        <v>3</v>
      </c>
      <c r="C457" s="32">
        <f>(IO!$B$4+IO!$B$8)</f>
        <v>102</v>
      </c>
      <c r="D457" s="32">
        <f>IF(B457&gt;IO!$B$8,0,IO!$B$8-Model!B457)</f>
        <v>0</v>
      </c>
      <c r="E457" s="33">
        <f>IO!$B$5*C457-IO!$B$6*D457</f>
        <v>4080</v>
      </c>
      <c r="G457" s="47">
        <v>456</v>
      </c>
      <c r="H457" s="38" t="s">
        <v>9</v>
      </c>
      <c r="I457" s="38">
        <v>3</v>
      </c>
      <c r="J457" s="39">
        <v>0.14120473892033125</v>
      </c>
      <c r="K457" s="40">
        <f>ROUND(NORMINV(J457,IO!$B$10,IO!$B$11),0)</f>
        <v>98</v>
      </c>
      <c r="L457" s="40">
        <f>MIN(K457,IO!$B$4+IO!$B$8)</f>
        <v>98</v>
      </c>
      <c r="M457" s="40">
        <f>IF(L457-I457&gt;IO!$B$4,Model!L457-Model!I457-IO!$B$4,0)</f>
        <v>0</v>
      </c>
      <c r="N457" s="41">
        <f>IO!$B$5*Model!L457-IO!$B$6*Model!M457</f>
        <v>3920</v>
      </c>
    </row>
    <row r="458" spans="1:14" x14ac:dyDescent="0.35">
      <c r="A458" s="30">
        <v>457</v>
      </c>
      <c r="B458" s="31">
        <v>3</v>
      </c>
      <c r="C458" s="32">
        <f>(IO!$B$4+IO!$B$8)</f>
        <v>102</v>
      </c>
      <c r="D458" s="32">
        <f>IF(B458&gt;IO!$B$8,0,IO!$B$8-Model!B458)</f>
        <v>0</v>
      </c>
      <c r="E458" s="33">
        <f>IO!$B$5*C458-IO!$B$6*D458</f>
        <v>4080</v>
      </c>
      <c r="G458" s="47">
        <v>457</v>
      </c>
      <c r="H458" s="38" t="s">
        <v>7</v>
      </c>
      <c r="I458" s="38">
        <v>3</v>
      </c>
      <c r="J458" s="39">
        <v>0.38331515043802122</v>
      </c>
      <c r="K458" s="40">
        <f>ROUND(NORMINV(J458,IO!$B$10,IO!$B$11),0)</f>
        <v>102</v>
      </c>
      <c r="L458" s="40">
        <f>MIN(K458,IO!$B$4+IO!$B$8)</f>
        <v>102</v>
      </c>
      <c r="M458" s="40">
        <f>IF(L458-I458&gt;IO!$B$4,Model!L458-Model!I458-IO!$B$4,0)</f>
        <v>0</v>
      </c>
      <c r="N458" s="41">
        <f>IO!$B$5*Model!L458-IO!$B$6*Model!M458</f>
        <v>4080</v>
      </c>
    </row>
    <row r="459" spans="1:14" x14ac:dyDescent="0.35">
      <c r="A459" s="30">
        <v>458</v>
      </c>
      <c r="B459" s="31">
        <v>1</v>
      </c>
      <c r="C459" s="32">
        <f>(IO!$B$4+IO!$B$8)</f>
        <v>102</v>
      </c>
      <c r="D459" s="32">
        <f>IF(B459&gt;IO!$B$8,0,IO!$B$8-Model!B459)</f>
        <v>1</v>
      </c>
      <c r="E459" s="33">
        <f>IO!$B$5*C459-IO!$B$6*D459</f>
        <v>3980</v>
      </c>
      <c r="G459" s="47">
        <v>458</v>
      </c>
      <c r="H459" s="38" t="s">
        <v>8</v>
      </c>
      <c r="I459" s="38">
        <v>1</v>
      </c>
      <c r="J459" s="39">
        <v>0.63864687311091195</v>
      </c>
      <c r="K459" s="40">
        <f>ROUND(NORMINV(J459,IO!$B$10,IO!$B$11),0)</f>
        <v>105</v>
      </c>
      <c r="L459" s="40">
        <f>MIN(K459,IO!$B$4+IO!$B$8)</f>
        <v>102</v>
      </c>
      <c r="M459" s="40">
        <f>IF(L459-I459&gt;IO!$B$4,Model!L459-Model!I459-IO!$B$4,0)</f>
        <v>1</v>
      </c>
      <c r="N459" s="41">
        <f>IO!$B$5*Model!L459-IO!$B$6*Model!M459</f>
        <v>3980</v>
      </c>
    </row>
    <row r="460" spans="1:14" x14ac:dyDescent="0.35">
      <c r="A460" s="30">
        <v>459</v>
      </c>
      <c r="B460" s="31">
        <v>0</v>
      </c>
      <c r="C460" s="32">
        <f>(IO!$B$4+IO!$B$8)</f>
        <v>102</v>
      </c>
      <c r="D460" s="32">
        <f>IF(B460&gt;IO!$B$8,0,IO!$B$8-Model!B460)</f>
        <v>2</v>
      </c>
      <c r="E460" s="33">
        <f>IO!$B$5*C460-IO!$B$6*D460</f>
        <v>3880</v>
      </c>
      <c r="G460" s="47">
        <v>459</v>
      </c>
      <c r="H460" s="38" t="s">
        <v>9</v>
      </c>
      <c r="I460" s="38">
        <v>0</v>
      </c>
      <c r="J460" s="39">
        <v>0.14855569896833154</v>
      </c>
      <c r="K460" s="40">
        <f>ROUND(NORMINV(J460,IO!$B$10,IO!$B$11),0)</f>
        <v>98</v>
      </c>
      <c r="L460" s="40">
        <f>MIN(K460,IO!$B$4+IO!$B$8)</f>
        <v>98</v>
      </c>
      <c r="M460" s="40">
        <f>IF(L460-I460&gt;IO!$B$4,Model!L460-Model!I460-IO!$B$4,0)</f>
        <v>0</v>
      </c>
      <c r="N460" s="41">
        <f>IO!$B$5*Model!L460-IO!$B$6*Model!M460</f>
        <v>3920</v>
      </c>
    </row>
    <row r="461" spans="1:14" x14ac:dyDescent="0.35">
      <c r="A461" s="30">
        <v>460</v>
      </c>
      <c r="B461" s="31">
        <v>6</v>
      </c>
      <c r="C461" s="32">
        <f>(IO!$B$4+IO!$B$8)</f>
        <v>102</v>
      </c>
      <c r="D461" s="32">
        <f>IF(B461&gt;IO!$B$8,0,IO!$B$8-Model!B461)</f>
        <v>0</v>
      </c>
      <c r="E461" s="33">
        <f>IO!$B$5*C461-IO!$B$6*D461</f>
        <v>4080</v>
      </c>
      <c r="G461" s="47">
        <v>460</v>
      </c>
      <c r="H461" s="38" t="s">
        <v>7</v>
      </c>
      <c r="I461" s="38">
        <v>6</v>
      </c>
      <c r="J461" s="39">
        <v>0.3643864244783811</v>
      </c>
      <c r="K461" s="40">
        <f>ROUND(NORMINV(J461,IO!$B$10,IO!$B$11),0)</f>
        <v>101</v>
      </c>
      <c r="L461" s="40">
        <f>MIN(K461,IO!$B$4+IO!$B$8)</f>
        <v>101</v>
      </c>
      <c r="M461" s="40">
        <f>IF(L461-I461&gt;IO!$B$4,Model!L461-Model!I461-IO!$B$4,0)</f>
        <v>0</v>
      </c>
      <c r="N461" s="41">
        <f>IO!$B$5*Model!L461-IO!$B$6*Model!M461</f>
        <v>4040</v>
      </c>
    </row>
    <row r="462" spans="1:14" x14ac:dyDescent="0.35">
      <c r="A462" s="30">
        <v>461</v>
      </c>
      <c r="B462" s="31">
        <v>0</v>
      </c>
      <c r="C462" s="32">
        <f>(IO!$B$4+IO!$B$8)</f>
        <v>102</v>
      </c>
      <c r="D462" s="32">
        <f>IF(B462&gt;IO!$B$8,0,IO!$B$8-Model!B462)</f>
        <v>2</v>
      </c>
      <c r="E462" s="33">
        <f>IO!$B$5*C462-IO!$B$6*D462</f>
        <v>3880</v>
      </c>
      <c r="G462" s="47">
        <v>461</v>
      </c>
      <c r="H462" s="38" t="s">
        <v>8</v>
      </c>
      <c r="I462" s="38">
        <v>0</v>
      </c>
      <c r="J462" s="39">
        <v>0.73912310052513064</v>
      </c>
      <c r="K462" s="40">
        <f>ROUND(NORMINV(J462,IO!$B$10,IO!$B$11),0)</f>
        <v>106</v>
      </c>
      <c r="L462" s="40">
        <f>MIN(K462,IO!$B$4+IO!$B$8)</f>
        <v>102</v>
      </c>
      <c r="M462" s="40">
        <f>IF(L462-I462&gt;IO!$B$4,Model!L462-Model!I462-IO!$B$4,0)</f>
        <v>2</v>
      </c>
      <c r="N462" s="41">
        <f>IO!$B$5*Model!L462-IO!$B$6*Model!M462</f>
        <v>3880</v>
      </c>
    </row>
    <row r="463" spans="1:14" x14ac:dyDescent="0.35">
      <c r="A463" s="30">
        <v>462</v>
      </c>
      <c r="B463" s="31">
        <v>0</v>
      </c>
      <c r="C463" s="32">
        <f>(IO!$B$4+IO!$B$8)</f>
        <v>102</v>
      </c>
      <c r="D463" s="32">
        <f>IF(B463&gt;IO!$B$8,0,IO!$B$8-Model!B463)</f>
        <v>2</v>
      </c>
      <c r="E463" s="33">
        <f>IO!$B$5*C463-IO!$B$6*D463</f>
        <v>3880</v>
      </c>
      <c r="G463" s="47">
        <v>462</v>
      </c>
      <c r="H463" s="38" t="s">
        <v>9</v>
      </c>
      <c r="I463" s="38">
        <v>0</v>
      </c>
      <c r="J463" s="39">
        <v>0.42326934099066493</v>
      </c>
      <c r="K463" s="40">
        <f>ROUND(NORMINV(J463,IO!$B$10,IO!$B$11),0)</f>
        <v>102</v>
      </c>
      <c r="L463" s="40">
        <f>MIN(K463,IO!$B$4+IO!$B$8)</f>
        <v>102</v>
      </c>
      <c r="M463" s="40">
        <f>IF(L463-I463&gt;IO!$B$4,Model!L463-Model!I463-IO!$B$4,0)</f>
        <v>2</v>
      </c>
      <c r="N463" s="41">
        <f>IO!$B$5*Model!L463-IO!$B$6*Model!M463</f>
        <v>3880</v>
      </c>
    </row>
    <row r="464" spans="1:14" x14ac:dyDescent="0.35">
      <c r="A464" s="30">
        <v>463</v>
      </c>
      <c r="B464" s="31">
        <v>2</v>
      </c>
      <c r="C464" s="32">
        <f>(IO!$B$4+IO!$B$8)</f>
        <v>102</v>
      </c>
      <c r="D464" s="32">
        <f>IF(B464&gt;IO!$B$8,0,IO!$B$8-Model!B464)</f>
        <v>0</v>
      </c>
      <c r="E464" s="33">
        <f>IO!$B$5*C464-IO!$B$6*D464</f>
        <v>4080</v>
      </c>
      <c r="G464" s="47">
        <v>463</v>
      </c>
      <c r="H464" s="38" t="s">
        <v>7</v>
      </c>
      <c r="I464" s="38">
        <v>2</v>
      </c>
      <c r="J464" s="39">
        <v>0.22489928334764053</v>
      </c>
      <c r="K464" s="40">
        <f>ROUND(NORMINV(J464,IO!$B$10,IO!$B$11),0)</f>
        <v>99</v>
      </c>
      <c r="L464" s="40">
        <f>MIN(K464,IO!$B$4+IO!$B$8)</f>
        <v>99</v>
      </c>
      <c r="M464" s="40">
        <f>IF(L464-I464&gt;IO!$B$4,Model!L464-Model!I464-IO!$B$4,0)</f>
        <v>0</v>
      </c>
      <c r="N464" s="41">
        <f>IO!$B$5*Model!L464-IO!$B$6*Model!M464</f>
        <v>3960</v>
      </c>
    </row>
    <row r="465" spans="1:14" x14ac:dyDescent="0.35">
      <c r="A465" s="30">
        <v>464</v>
      </c>
      <c r="B465" s="31">
        <v>0</v>
      </c>
      <c r="C465" s="32">
        <f>(IO!$B$4+IO!$B$8)</f>
        <v>102</v>
      </c>
      <c r="D465" s="32">
        <f>IF(B465&gt;IO!$B$8,0,IO!$B$8-Model!B465)</f>
        <v>2</v>
      </c>
      <c r="E465" s="33">
        <f>IO!$B$5*C465-IO!$B$6*D465</f>
        <v>3880</v>
      </c>
      <c r="G465" s="47">
        <v>464</v>
      </c>
      <c r="H465" s="38" t="s">
        <v>8</v>
      </c>
      <c r="I465" s="38">
        <v>0</v>
      </c>
      <c r="J465" s="39">
        <v>0.84380932883566206</v>
      </c>
      <c r="K465" s="40">
        <f>ROUND(NORMINV(J465,IO!$B$10,IO!$B$11),0)</f>
        <v>108</v>
      </c>
      <c r="L465" s="40">
        <f>MIN(K465,IO!$B$4+IO!$B$8)</f>
        <v>102</v>
      </c>
      <c r="M465" s="40">
        <f>IF(L465-I465&gt;IO!$B$4,Model!L465-Model!I465-IO!$B$4,0)</f>
        <v>2</v>
      </c>
      <c r="N465" s="41">
        <f>IO!$B$5*Model!L465-IO!$B$6*Model!M465</f>
        <v>3880</v>
      </c>
    </row>
    <row r="466" spans="1:14" x14ac:dyDescent="0.35">
      <c r="A466" s="30">
        <v>465</v>
      </c>
      <c r="B466" s="31">
        <v>0</v>
      </c>
      <c r="C466" s="32">
        <f>(IO!$B$4+IO!$B$8)</f>
        <v>102</v>
      </c>
      <c r="D466" s="32">
        <f>IF(B466&gt;IO!$B$8,0,IO!$B$8-Model!B466)</f>
        <v>2</v>
      </c>
      <c r="E466" s="33">
        <f>IO!$B$5*C466-IO!$B$6*D466</f>
        <v>3880</v>
      </c>
      <c r="G466" s="47">
        <v>465</v>
      </c>
      <c r="H466" s="38" t="s">
        <v>9</v>
      </c>
      <c r="I466" s="38">
        <v>0</v>
      </c>
      <c r="J466" s="39">
        <v>0.86520531787738508</v>
      </c>
      <c r="K466" s="40">
        <f>ROUND(NORMINV(J466,IO!$B$10,IO!$B$11),0)</f>
        <v>109</v>
      </c>
      <c r="L466" s="40">
        <f>MIN(K466,IO!$B$4+IO!$B$8)</f>
        <v>102</v>
      </c>
      <c r="M466" s="40">
        <f>IF(L466-I466&gt;IO!$B$4,Model!L466-Model!I466-IO!$B$4,0)</f>
        <v>2</v>
      </c>
      <c r="N466" s="41">
        <f>IO!$B$5*Model!L466-IO!$B$6*Model!M466</f>
        <v>3880</v>
      </c>
    </row>
    <row r="467" spans="1:14" x14ac:dyDescent="0.35">
      <c r="A467" s="30">
        <v>466</v>
      </c>
      <c r="B467" s="31">
        <v>3</v>
      </c>
      <c r="C467" s="32">
        <f>(IO!$B$4+IO!$B$8)</f>
        <v>102</v>
      </c>
      <c r="D467" s="32">
        <f>IF(B467&gt;IO!$B$8,0,IO!$B$8-Model!B467)</f>
        <v>0</v>
      </c>
      <c r="E467" s="33">
        <f>IO!$B$5*C467-IO!$B$6*D467</f>
        <v>4080</v>
      </c>
      <c r="G467" s="47">
        <v>466</v>
      </c>
      <c r="H467" s="38" t="s">
        <v>7</v>
      </c>
      <c r="I467" s="38">
        <v>3</v>
      </c>
      <c r="J467" s="39">
        <v>0.520938084276514</v>
      </c>
      <c r="K467" s="40">
        <f>ROUND(NORMINV(J467,IO!$B$10,IO!$B$11),0)</f>
        <v>103</v>
      </c>
      <c r="L467" s="40">
        <f>MIN(K467,IO!$B$4+IO!$B$8)</f>
        <v>102</v>
      </c>
      <c r="M467" s="40">
        <f>IF(L467-I467&gt;IO!$B$4,Model!L467-Model!I467-IO!$B$4,0)</f>
        <v>0</v>
      </c>
      <c r="N467" s="41">
        <f>IO!$B$5*Model!L467-IO!$B$6*Model!M467</f>
        <v>4080</v>
      </c>
    </row>
    <row r="468" spans="1:14" x14ac:dyDescent="0.35">
      <c r="A468" s="30">
        <v>467</v>
      </c>
      <c r="B468" s="31">
        <v>3</v>
      </c>
      <c r="C468" s="32">
        <f>(IO!$B$4+IO!$B$8)</f>
        <v>102</v>
      </c>
      <c r="D468" s="32">
        <f>IF(B468&gt;IO!$B$8,0,IO!$B$8-Model!B468)</f>
        <v>0</v>
      </c>
      <c r="E468" s="33">
        <f>IO!$B$5*C468-IO!$B$6*D468</f>
        <v>4080</v>
      </c>
      <c r="G468" s="47">
        <v>467</v>
      </c>
      <c r="H468" s="38" t="s">
        <v>8</v>
      </c>
      <c r="I468" s="38">
        <v>3</v>
      </c>
      <c r="J468" s="39">
        <v>0.80951985537071347</v>
      </c>
      <c r="K468" s="40">
        <f>ROUND(NORMINV(J468,IO!$B$10,IO!$B$11),0)</f>
        <v>107</v>
      </c>
      <c r="L468" s="40">
        <f>MIN(K468,IO!$B$4+IO!$B$8)</f>
        <v>102</v>
      </c>
      <c r="M468" s="40">
        <f>IF(L468-I468&gt;IO!$B$4,Model!L468-Model!I468-IO!$B$4,0)</f>
        <v>0</v>
      </c>
      <c r="N468" s="41">
        <f>IO!$B$5*Model!L468-IO!$B$6*Model!M468</f>
        <v>4080</v>
      </c>
    </row>
    <row r="469" spans="1:14" x14ac:dyDescent="0.35">
      <c r="A469" s="30">
        <v>468</v>
      </c>
      <c r="B469" s="31">
        <v>1</v>
      </c>
      <c r="C469" s="32">
        <f>(IO!$B$4+IO!$B$8)</f>
        <v>102</v>
      </c>
      <c r="D469" s="32">
        <f>IF(B469&gt;IO!$B$8,0,IO!$B$8-Model!B469)</f>
        <v>1</v>
      </c>
      <c r="E469" s="33">
        <f>IO!$B$5*C469-IO!$B$6*D469</f>
        <v>3980</v>
      </c>
      <c r="G469" s="47">
        <v>468</v>
      </c>
      <c r="H469" s="38" t="s">
        <v>9</v>
      </c>
      <c r="I469" s="38">
        <v>1</v>
      </c>
      <c r="J469" s="39">
        <v>0.11692596938726774</v>
      </c>
      <c r="K469" s="40">
        <f>ROUND(NORMINV(J469,IO!$B$10,IO!$B$11),0)</f>
        <v>97</v>
      </c>
      <c r="L469" s="40">
        <f>MIN(K469,IO!$B$4+IO!$B$8)</f>
        <v>97</v>
      </c>
      <c r="M469" s="40">
        <f>IF(L469-I469&gt;IO!$B$4,Model!L469-Model!I469-IO!$B$4,0)</f>
        <v>0</v>
      </c>
      <c r="N469" s="41">
        <f>IO!$B$5*Model!L469-IO!$B$6*Model!M469</f>
        <v>3880</v>
      </c>
    </row>
    <row r="470" spans="1:14" x14ac:dyDescent="0.35">
      <c r="A470" s="30">
        <v>469</v>
      </c>
      <c r="B470" s="31">
        <v>3</v>
      </c>
      <c r="C470" s="32">
        <f>(IO!$B$4+IO!$B$8)</f>
        <v>102</v>
      </c>
      <c r="D470" s="32">
        <f>IF(B470&gt;IO!$B$8,0,IO!$B$8-Model!B470)</f>
        <v>0</v>
      </c>
      <c r="E470" s="33">
        <f>IO!$B$5*C470-IO!$B$6*D470</f>
        <v>4080</v>
      </c>
      <c r="G470" s="47">
        <v>469</v>
      </c>
      <c r="H470" s="38" t="s">
        <v>7</v>
      </c>
      <c r="I470" s="38">
        <v>3</v>
      </c>
      <c r="J470" s="39">
        <v>0.32813883426799439</v>
      </c>
      <c r="K470" s="40">
        <f>ROUND(NORMINV(J470,IO!$B$10,IO!$B$11),0)</f>
        <v>101</v>
      </c>
      <c r="L470" s="40">
        <f>MIN(K470,IO!$B$4+IO!$B$8)</f>
        <v>101</v>
      </c>
      <c r="M470" s="40">
        <f>IF(L470-I470&gt;IO!$B$4,Model!L470-Model!I470-IO!$B$4,0)</f>
        <v>0</v>
      </c>
      <c r="N470" s="41">
        <f>IO!$B$5*Model!L470-IO!$B$6*Model!M470</f>
        <v>4040</v>
      </c>
    </row>
    <row r="471" spans="1:14" x14ac:dyDescent="0.35">
      <c r="A471" s="30">
        <v>470</v>
      </c>
      <c r="B471" s="31">
        <v>3</v>
      </c>
      <c r="C471" s="32">
        <f>(IO!$B$4+IO!$B$8)</f>
        <v>102</v>
      </c>
      <c r="D471" s="32">
        <f>IF(B471&gt;IO!$B$8,0,IO!$B$8-Model!B471)</f>
        <v>0</v>
      </c>
      <c r="E471" s="33">
        <f>IO!$B$5*C471-IO!$B$6*D471</f>
        <v>4080</v>
      </c>
      <c r="G471" s="47">
        <v>470</v>
      </c>
      <c r="H471" s="38" t="s">
        <v>8</v>
      </c>
      <c r="I471" s="38">
        <v>3</v>
      </c>
      <c r="J471" s="39">
        <v>0.26813558931012116</v>
      </c>
      <c r="K471" s="40">
        <f>ROUND(NORMINV(J471,IO!$B$10,IO!$B$11),0)</f>
        <v>100</v>
      </c>
      <c r="L471" s="40">
        <f>MIN(K471,IO!$B$4+IO!$B$8)</f>
        <v>100</v>
      </c>
      <c r="M471" s="40">
        <f>IF(L471-I471&gt;IO!$B$4,Model!L471-Model!I471-IO!$B$4,0)</f>
        <v>0</v>
      </c>
      <c r="N471" s="41">
        <f>IO!$B$5*Model!L471-IO!$B$6*Model!M471</f>
        <v>4000</v>
      </c>
    </row>
    <row r="472" spans="1:14" x14ac:dyDescent="0.35">
      <c r="A472" s="30">
        <v>471</v>
      </c>
      <c r="B472" s="31">
        <v>1</v>
      </c>
      <c r="C472" s="32">
        <f>(IO!$B$4+IO!$B$8)</f>
        <v>102</v>
      </c>
      <c r="D472" s="32">
        <f>IF(B472&gt;IO!$B$8,0,IO!$B$8-Model!B472)</f>
        <v>1</v>
      </c>
      <c r="E472" s="33">
        <f>IO!$B$5*C472-IO!$B$6*D472</f>
        <v>3980</v>
      </c>
      <c r="G472" s="47">
        <v>471</v>
      </c>
      <c r="H472" s="38" t="s">
        <v>9</v>
      </c>
      <c r="I472" s="38">
        <v>1</v>
      </c>
      <c r="J472" s="39">
        <v>0.77899296889436076</v>
      </c>
      <c r="K472" s="40">
        <f>ROUND(NORMINV(J472,IO!$B$10,IO!$B$11),0)</f>
        <v>107</v>
      </c>
      <c r="L472" s="40">
        <f>MIN(K472,IO!$B$4+IO!$B$8)</f>
        <v>102</v>
      </c>
      <c r="M472" s="40">
        <f>IF(L472-I472&gt;IO!$B$4,Model!L472-Model!I472-IO!$B$4,0)</f>
        <v>1</v>
      </c>
      <c r="N472" s="41">
        <f>IO!$B$5*Model!L472-IO!$B$6*Model!M472</f>
        <v>3980</v>
      </c>
    </row>
    <row r="473" spans="1:14" x14ac:dyDescent="0.35">
      <c r="A473" s="30">
        <v>472</v>
      </c>
      <c r="B473" s="31">
        <v>4</v>
      </c>
      <c r="C473" s="32">
        <f>(IO!$B$4+IO!$B$8)</f>
        <v>102</v>
      </c>
      <c r="D473" s="32">
        <f>IF(B473&gt;IO!$B$8,0,IO!$B$8-Model!B473)</f>
        <v>0</v>
      </c>
      <c r="E473" s="33">
        <f>IO!$B$5*C473-IO!$B$6*D473</f>
        <v>4080</v>
      </c>
      <c r="G473" s="47">
        <v>472</v>
      </c>
      <c r="H473" s="38" t="s">
        <v>7</v>
      </c>
      <c r="I473" s="38">
        <v>4</v>
      </c>
      <c r="J473" s="39">
        <v>0.63434239626484967</v>
      </c>
      <c r="K473" s="40">
        <f>ROUND(NORMINV(J473,IO!$B$10,IO!$B$11),0)</f>
        <v>105</v>
      </c>
      <c r="L473" s="40">
        <f>MIN(K473,IO!$B$4+IO!$B$8)</f>
        <v>102</v>
      </c>
      <c r="M473" s="40">
        <f>IF(L473-I473&gt;IO!$B$4,Model!L473-Model!I473-IO!$B$4,0)</f>
        <v>0</v>
      </c>
      <c r="N473" s="41">
        <f>IO!$B$5*Model!L473-IO!$B$6*Model!M473</f>
        <v>4080</v>
      </c>
    </row>
    <row r="474" spans="1:14" x14ac:dyDescent="0.35">
      <c r="A474" s="30">
        <v>473</v>
      </c>
      <c r="B474" s="31">
        <v>3</v>
      </c>
      <c r="C474" s="32">
        <f>(IO!$B$4+IO!$B$8)</f>
        <v>102</v>
      </c>
      <c r="D474" s="32">
        <f>IF(B474&gt;IO!$B$8,0,IO!$B$8-Model!B474)</f>
        <v>0</v>
      </c>
      <c r="E474" s="33">
        <f>IO!$B$5*C474-IO!$B$6*D474</f>
        <v>4080</v>
      </c>
      <c r="G474" s="47">
        <v>473</v>
      </c>
      <c r="H474" s="38" t="s">
        <v>8</v>
      </c>
      <c r="I474" s="38">
        <v>3</v>
      </c>
      <c r="J474" s="39">
        <v>0.5128465387491663</v>
      </c>
      <c r="K474" s="40">
        <f>ROUND(NORMINV(J474,IO!$B$10,IO!$B$11),0)</f>
        <v>103</v>
      </c>
      <c r="L474" s="40">
        <f>MIN(K474,IO!$B$4+IO!$B$8)</f>
        <v>102</v>
      </c>
      <c r="M474" s="40">
        <f>IF(L474-I474&gt;IO!$B$4,Model!L474-Model!I474-IO!$B$4,0)</f>
        <v>0</v>
      </c>
      <c r="N474" s="41">
        <f>IO!$B$5*Model!L474-IO!$B$6*Model!M474</f>
        <v>4080</v>
      </c>
    </row>
    <row r="475" spans="1:14" x14ac:dyDescent="0.35">
      <c r="A475" s="30">
        <v>474</v>
      </c>
      <c r="B475" s="31">
        <v>0</v>
      </c>
      <c r="C475" s="32">
        <f>(IO!$B$4+IO!$B$8)</f>
        <v>102</v>
      </c>
      <c r="D475" s="32">
        <f>IF(B475&gt;IO!$B$8,0,IO!$B$8-Model!B475)</f>
        <v>2</v>
      </c>
      <c r="E475" s="33">
        <f>IO!$B$5*C475-IO!$B$6*D475</f>
        <v>3880</v>
      </c>
      <c r="G475" s="47">
        <v>474</v>
      </c>
      <c r="H475" s="38" t="s">
        <v>9</v>
      </c>
      <c r="I475" s="38">
        <v>0</v>
      </c>
      <c r="J475" s="39">
        <v>0.13625139970701772</v>
      </c>
      <c r="K475" s="40">
        <f>ROUND(NORMINV(J475,IO!$B$10,IO!$B$11),0)</f>
        <v>98</v>
      </c>
      <c r="L475" s="40">
        <f>MIN(K475,IO!$B$4+IO!$B$8)</f>
        <v>98</v>
      </c>
      <c r="M475" s="40">
        <f>IF(L475-I475&gt;IO!$B$4,Model!L475-Model!I475-IO!$B$4,0)</f>
        <v>0</v>
      </c>
      <c r="N475" s="41">
        <f>IO!$B$5*Model!L475-IO!$B$6*Model!M475</f>
        <v>3920</v>
      </c>
    </row>
    <row r="476" spans="1:14" x14ac:dyDescent="0.35">
      <c r="A476" s="30">
        <v>475</v>
      </c>
      <c r="B476" s="31">
        <v>0</v>
      </c>
      <c r="C476" s="32">
        <f>(IO!$B$4+IO!$B$8)</f>
        <v>102</v>
      </c>
      <c r="D476" s="32">
        <f>IF(B476&gt;IO!$B$8,0,IO!$B$8-Model!B476)</f>
        <v>2</v>
      </c>
      <c r="E476" s="33">
        <f>IO!$B$5*C476-IO!$B$6*D476</f>
        <v>3880</v>
      </c>
      <c r="G476" s="47">
        <v>475</v>
      </c>
      <c r="H476" s="38" t="s">
        <v>7</v>
      </c>
      <c r="I476" s="38">
        <v>0</v>
      </c>
      <c r="J476" s="39">
        <v>0.80594949074684519</v>
      </c>
      <c r="K476" s="40">
        <f>ROUND(NORMINV(J476,IO!$B$10,IO!$B$11),0)</f>
        <v>107</v>
      </c>
      <c r="L476" s="40">
        <f>MIN(K476,IO!$B$4+IO!$B$8)</f>
        <v>102</v>
      </c>
      <c r="M476" s="40">
        <f>IF(L476-I476&gt;IO!$B$4,Model!L476-Model!I476-IO!$B$4,0)</f>
        <v>2</v>
      </c>
      <c r="N476" s="41">
        <f>IO!$B$5*Model!L476-IO!$B$6*Model!M476</f>
        <v>3880</v>
      </c>
    </row>
    <row r="477" spans="1:14" x14ac:dyDescent="0.35">
      <c r="A477" s="30">
        <v>476</v>
      </c>
      <c r="B477" s="31">
        <v>1</v>
      </c>
      <c r="C477" s="32">
        <f>(IO!$B$4+IO!$B$8)</f>
        <v>102</v>
      </c>
      <c r="D477" s="32">
        <f>IF(B477&gt;IO!$B$8,0,IO!$B$8-Model!B477)</f>
        <v>1</v>
      </c>
      <c r="E477" s="33">
        <f>IO!$B$5*C477-IO!$B$6*D477</f>
        <v>3980</v>
      </c>
      <c r="G477" s="47">
        <v>476</v>
      </c>
      <c r="H477" s="38" t="s">
        <v>8</v>
      </c>
      <c r="I477" s="38">
        <v>1</v>
      </c>
      <c r="J477" s="39">
        <v>7.0054087880641824E-2</v>
      </c>
      <c r="K477" s="40">
        <f>ROUND(NORMINV(J477,IO!$B$10,IO!$B$11),0)</f>
        <v>96</v>
      </c>
      <c r="L477" s="40">
        <f>MIN(K477,IO!$B$4+IO!$B$8)</f>
        <v>96</v>
      </c>
      <c r="M477" s="40">
        <f>IF(L477-I477&gt;IO!$B$4,Model!L477-Model!I477-IO!$B$4,0)</f>
        <v>0</v>
      </c>
      <c r="N477" s="41">
        <f>IO!$B$5*Model!L477-IO!$B$6*Model!M477</f>
        <v>3840</v>
      </c>
    </row>
    <row r="478" spans="1:14" x14ac:dyDescent="0.35">
      <c r="A478" s="30">
        <v>477</v>
      </c>
      <c r="B478" s="31">
        <v>2</v>
      </c>
      <c r="C478" s="32">
        <f>(IO!$B$4+IO!$B$8)</f>
        <v>102</v>
      </c>
      <c r="D478" s="32">
        <f>IF(B478&gt;IO!$B$8,0,IO!$B$8-Model!B478)</f>
        <v>0</v>
      </c>
      <c r="E478" s="33">
        <f>IO!$B$5*C478-IO!$B$6*D478</f>
        <v>4080</v>
      </c>
      <c r="G478" s="47">
        <v>477</v>
      </c>
      <c r="H478" s="38" t="s">
        <v>9</v>
      </c>
      <c r="I478" s="38">
        <v>2</v>
      </c>
      <c r="J478" s="39">
        <v>0.70967791447116269</v>
      </c>
      <c r="K478" s="40">
        <f>ROUND(NORMINV(J478,IO!$B$10,IO!$B$11),0)</f>
        <v>106</v>
      </c>
      <c r="L478" s="40">
        <f>MIN(K478,IO!$B$4+IO!$B$8)</f>
        <v>102</v>
      </c>
      <c r="M478" s="40">
        <f>IF(L478-I478&gt;IO!$B$4,Model!L478-Model!I478-IO!$B$4,0)</f>
        <v>0</v>
      </c>
      <c r="N478" s="41">
        <f>IO!$B$5*Model!L478-IO!$B$6*Model!M478</f>
        <v>4080</v>
      </c>
    </row>
    <row r="479" spans="1:14" x14ac:dyDescent="0.35">
      <c r="A479" s="30">
        <v>478</v>
      </c>
      <c r="B479" s="31">
        <v>4</v>
      </c>
      <c r="C479" s="32">
        <f>(IO!$B$4+IO!$B$8)</f>
        <v>102</v>
      </c>
      <c r="D479" s="32">
        <f>IF(B479&gt;IO!$B$8,0,IO!$B$8-Model!B479)</f>
        <v>0</v>
      </c>
      <c r="E479" s="33">
        <f>IO!$B$5*C479-IO!$B$6*D479</f>
        <v>4080</v>
      </c>
      <c r="G479" s="47">
        <v>478</v>
      </c>
      <c r="H479" s="38" t="s">
        <v>7</v>
      </c>
      <c r="I479" s="38">
        <v>4</v>
      </c>
      <c r="J479" s="39">
        <v>0.19887197957470248</v>
      </c>
      <c r="K479" s="40">
        <f>ROUND(NORMINV(J479,IO!$B$10,IO!$B$11),0)</f>
        <v>99</v>
      </c>
      <c r="L479" s="40">
        <f>MIN(K479,IO!$B$4+IO!$B$8)</f>
        <v>99</v>
      </c>
      <c r="M479" s="40">
        <f>IF(L479-I479&gt;IO!$B$4,Model!L479-Model!I479-IO!$B$4,0)</f>
        <v>0</v>
      </c>
      <c r="N479" s="41">
        <f>IO!$B$5*Model!L479-IO!$B$6*Model!M479</f>
        <v>3960</v>
      </c>
    </row>
    <row r="480" spans="1:14" x14ac:dyDescent="0.35">
      <c r="A480" s="30">
        <v>479</v>
      </c>
      <c r="B480" s="31">
        <v>4</v>
      </c>
      <c r="C480" s="32">
        <f>(IO!$B$4+IO!$B$8)</f>
        <v>102</v>
      </c>
      <c r="D480" s="32">
        <f>IF(B480&gt;IO!$B$8,0,IO!$B$8-Model!B480)</f>
        <v>0</v>
      </c>
      <c r="E480" s="33">
        <f>IO!$B$5*C480-IO!$B$6*D480</f>
        <v>4080</v>
      </c>
      <c r="G480" s="47">
        <v>479</v>
      </c>
      <c r="H480" s="38" t="s">
        <v>8</v>
      </c>
      <c r="I480" s="38">
        <v>4</v>
      </c>
      <c r="J480" s="39">
        <v>0.94190947118748547</v>
      </c>
      <c r="K480" s="40">
        <f>ROUND(NORMINV(J480,IO!$B$10,IO!$B$11),0)</f>
        <v>111</v>
      </c>
      <c r="L480" s="40">
        <f>MIN(K480,IO!$B$4+IO!$B$8)</f>
        <v>102</v>
      </c>
      <c r="M480" s="40">
        <f>IF(L480-I480&gt;IO!$B$4,Model!L480-Model!I480-IO!$B$4,0)</f>
        <v>0</v>
      </c>
      <c r="N480" s="41">
        <f>IO!$B$5*Model!L480-IO!$B$6*Model!M480</f>
        <v>4080</v>
      </c>
    </row>
    <row r="481" spans="1:14" x14ac:dyDescent="0.35">
      <c r="A481" s="30">
        <v>480</v>
      </c>
      <c r="B481" s="31">
        <v>0</v>
      </c>
      <c r="C481" s="32">
        <f>(IO!$B$4+IO!$B$8)</f>
        <v>102</v>
      </c>
      <c r="D481" s="32">
        <f>IF(B481&gt;IO!$B$8,0,IO!$B$8-Model!B481)</f>
        <v>2</v>
      </c>
      <c r="E481" s="33">
        <f>IO!$B$5*C481-IO!$B$6*D481</f>
        <v>3880</v>
      </c>
      <c r="G481" s="47">
        <v>480</v>
      </c>
      <c r="H481" s="38" t="s">
        <v>9</v>
      </c>
      <c r="I481" s="38">
        <v>0</v>
      </c>
      <c r="J481" s="39">
        <v>0.23527001819754556</v>
      </c>
      <c r="K481" s="40">
        <f>ROUND(NORMINV(J481,IO!$B$10,IO!$B$11),0)</f>
        <v>99</v>
      </c>
      <c r="L481" s="40">
        <f>MIN(K481,IO!$B$4+IO!$B$8)</f>
        <v>99</v>
      </c>
      <c r="M481" s="40">
        <f>IF(L481-I481&gt;IO!$B$4,Model!L481-Model!I481-IO!$B$4,0)</f>
        <v>0</v>
      </c>
      <c r="N481" s="41">
        <f>IO!$B$5*Model!L481-IO!$B$6*Model!M481</f>
        <v>3960</v>
      </c>
    </row>
    <row r="482" spans="1:14" x14ac:dyDescent="0.35">
      <c r="A482" s="30">
        <v>481</v>
      </c>
      <c r="B482" s="31">
        <v>3</v>
      </c>
      <c r="C482" s="32">
        <f>(IO!$B$4+IO!$B$8)</f>
        <v>102</v>
      </c>
      <c r="D482" s="32">
        <f>IF(B482&gt;IO!$B$8,0,IO!$B$8-Model!B482)</f>
        <v>0</v>
      </c>
      <c r="E482" s="33">
        <f>IO!$B$5*C482-IO!$B$6*D482</f>
        <v>4080</v>
      </c>
      <c r="G482" s="47">
        <v>481</v>
      </c>
      <c r="H482" s="38" t="s">
        <v>7</v>
      </c>
      <c r="I482" s="38">
        <v>3</v>
      </c>
      <c r="J482" s="39">
        <v>0.94822016872650106</v>
      </c>
      <c r="K482" s="40">
        <f>ROUND(NORMINV(J482,IO!$B$10,IO!$B$11),0)</f>
        <v>111</v>
      </c>
      <c r="L482" s="40">
        <f>MIN(K482,IO!$B$4+IO!$B$8)</f>
        <v>102</v>
      </c>
      <c r="M482" s="40">
        <f>IF(L482-I482&gt;IO!$B$4,Model!L482-Model!I482-IO!$B$4,0)</f>
        <v>0</v>
      </c>
      <c r="N482" s="41">
        <f>IO!$B$5*Model!L482-IO!$B$6*Model!M482</f>
        <v>4080</v>
      </c>
    </row>
    <row r="483" spans="1:14" x14ac:dyDescent="0.35">
      <c r="A483" s="30">
        <v>482</v>
      </c>
      <c r="B483" s="31">
        <v>2</v>
      </c>
      <c r="C483" s="32">
        <f>(IO!$B$4+IO!$B$8)</f>
        <v>102</v>
      </c>
      <c r="D483" s="32">
        <f>IF(B483&gt;IO!$B$8,0,IO!$B$8-Model!B483)</f>
        <v>0</v>
      </c>
      <c r="E483" s="33">
        <f>IO!$B$5*C483-IO!$B$6*D483</f>
        <v>4080</v>
      </c>
      <c r="G483" s="47">
        <v>482</v>
      </c>
      <c r="H483" s="38" t="s">
        <v>8</v>
      </c>
      <c r="I483" s="38">
        <v>2</v>
      </c>
      <c r="J483" s="39">
        <v>8.2323505121389084E-2</v>
      </c>
      <c r="K483" s="40">
        <f>ROUND(NORMINV(J483,IO!$B$10,IO!$B$11),0)</f>
        <v>96</v>
      </c>
      <c r="L483" s="40">
        <f>MIN(K483,IO!$B$4+IO!$B$8)</f>
        <v>96</v>
      </c>
      <c r="M483" s="40">
        <f>IF(L483-I483&gt;IO!$B$4,Model!L483-Model!I483-IO!$B$4,0)</f>
        <v>0</v>
      </c>
      <c r="N483" s="41">
        <f>IO!$B$5*Model!L483-IO!$B$6*Model!M483</f>
        <v>3840</v>
      </c>
    </row>
    <row r="484" spans="1:14" x14ac:dyDescent="0.35">
      <c r="A484" s="30">
        <v>483</v>
      </c>
      <c r="B484" s="31">
        <v>1</v>
      </c>
      <c r="C484" s="32">
        <f>(IO!$B$4+IO!$B$8)</f>
        <v>102</v>
      </c>
      <c r="D484" s="32">
        <f>IF(B484&gt;IO!$B$8,0,IO!$B$8-Model!B484)</f>
        <v>1</v>
      </c>
      <c r="E484" s="33">
        <f>IO!$B$5*C484-IO!$B$6*D484</f>
        <v>3980</v>
      </c>
      <c r="G484" s="47">
        <v>483</v>
      </c>
      <c r="H484" s="38" t="s">
        <v>9</v>
      </c>
      <c r="I484" s="38">
        <v>1</v>
      </c>
      <c r="J484" s="39">
        <v>3.4636449892251675E-2</v>
      </c>
      <c r="K484" s="40">
        <f>ROUND(NORMINV(J484,IO!$B$10,IO!$B$11),0)</f>
        <v>94</v>
      </c>
      <c r="L484" s="40">
        <f>MIN(K484,IO!$B$4+IO!$B$8)</f>
        <v>94</v>
      </c>
      <c r="M484" s="40">
        <f>IF(L484-I484&gt;IO!$B$4,Model!L484-Model!I484-IO!$B$4,0)</f>
        <v>0</v>
      </c>
      <c r="N484" s="41">
        <f>IO!$B$5*Model!L484-IO!$B$6*Model!M484</f>
        <v>3760</v>
      </c>
    </row>
    <row r="485" spans="1:14" x14ac:dyDescent="0.35">
      <c r="A485" s="30">
        <v>484</v>
      </c>
      <c r="B485" s="31">
        <v>2</v>
      </c>
      <c r="C485" s="32">
        <f>(IO!$B$4+IO!$B$8)</f>
        <v>102</v>
      </c>
      <c r="D485" s="32">
        <f>IF(B485&gt;IO!$B$8,0,IO!$B$8-Model!B485)</f>
        <v>0</v>
      </c>
      <c r="E485" s="33">
        <f>IO!$B$5*C485-IO!$B$6*D485</f>
        <v>4080</v>
      </c>
      <c r="G485" s="47">
        <v>484</v>
      </c>
      <c r="H485" s="38" t="s">
        <v>7</v>
      </c>
      <c r="I485" s="38">
        <v>2</v>
      </c>
      <c r="J485" s="39">
        <v>0.48083918353819366</v>
      </c>
      <c r="K485" s="40">
        <f>ROUND(NORMINV(J485,IO!$B$10,IO!$B$11),0)</f>
        <v>103</v>
      </c>
      <c r="L485" s="40">
        <f>MIN(K485,IO!$B$4+IO!$B$8)</f>
        <v>102</v>
      </c>
      <c r="M485" s="40">
        <f>IF(L485-I485&gt;IO!$B$4,Model!L485-Model!I485-IO!$B$4,0)</f>
        <v>0</v>
      </c>
      <c r="N485" s="41">
        <f>IO!$B$5*Model!L485-IO!$B$6*Model!M485</f>
        <v>4080</v>
      </c>
    </row>
    <row r="486" spans="1:14" x14ac:dyDescent="0.35">
      <c r="A486" s="30">
        <v>485</v>
      </c>
      <c r="B486" s="31">
        <v>4</v>
      </c>
      <c r="C486" s="32">
        <f>(IO!$B$4+IO!$B$8)</f>
        <v>102</v>
      </c>
      <c r="D486" s="32">
        <f>IF(B486&gt;IO!$B$8,0,IO!$B$8-Model!B486)</f>
        <v>0</v>
      </c>
      <c r="E486" s="33">
        <f>IO!$B$5*C486-IO!$B$6*D486</f>
        <v>4080</v>
      </c>
      <c r="G486" s="47">
        <v>485</v>
      </c>
      <c r="H486" s="38" t="s">
        <v>8</v>
      </c>
      <c r="I486" s="38">
        <v>4</v>
      </c>
      <c r="J486" s="39">
        <v>0.42236481277391558</v>
      </c>
      <c r="K486" s="40">
        <f>ROUND(NORMINV(J486,IO!$B$10,IO!$B$11),0)</f>
        <v>102</v>
      </c>
      <c r="L486" s="40">
        <f>MIN(K486,IO!$B$4+IO!$B$8)</f>
        <v>102</v>
      </c>
      <c r="M486" s="40">
        <f>IF(L486-I486&gt;IO!$B$4,Model!L486-Model!I486-IO!$B$4,0)</f>
        <v>0</v>
      </c>
      <c r="N486" s="41">
        <f>IO!$B$5*Model!L486-IO!$B$6*Model!M486</f>
        <v>4080</v>
      </c>
    </row>
    <row r="487" spans="1:14" x14ac:dyDescent="0.35">
      <c r="A487" s="30">
        <v>486</v>
      </c>
      <c r="B487" s="31">
        <v>0</v>
      </c>
      <c r="C487" s="32">
        <f>(IO!$B$4+IO!$B$8)</f>
        <v>102</v>
      </c>
      <c r="D487" s="32">
        <f>IF(B487&gt;IO!$B$8,0,IO!$B$8-Model!B487)</f>
        <v>2</v>
      </c>
      <c r="E487" s="33">
        <f>IO!$B$5*C487-IO!$B$6*D487</f>
        <v>3880</v>
      </c>
      <c r="G487" s="47">
        <v>486</v>
      </c>
      <c r="H487" s="38" t="s">
        <v>9</v>
      </c>
      <c r="I487" s="38">
        <v>0</v>
      </c>
      <c r="J487" s="39">
        <v>0.61236258460611626</v>
      </c>
      <c r="K487" s="40">
        <f>ROUND(NORMINV(J487,IO!$B$10,IO!$B$11),0)</f>
        <v>104</v>
      </c>
      <c r="L487" s="40">
        <f>MIN(K487,IO!$B$4+IO!$B$8)</f>
        <v>102</v>
      </c>
      <c r="M487" s="40">
        <f>IF(L487-I487&gt;IO!$B$4,Model!L487-Model!I487-IO!$B$4,0)</f>
        <v>2</v>
      </c>
      <c r="N487" s="41">
        <f>IO!$B$5*Model!L487-IO!$B$6*Model!M487</f>
        <v>3880</v>
      </c>
    </row>
    <row r="488" spans="1:14" x14ac:dyDescent="0.35">
      <c r="A488" s="30">
        <v>487</v>
      </c>
      <c r="B488" s="31">
        <v>6</v>
      </c>
      <c r="C488" s="32">
        <f>(IO!$B$4+IO!$B$8)</f>
        <v>102</v>
      </c>
      <c r="D488" s="32">
        <f>IF(B488&gt;IO!$B$8,0,IO!$B$8-Model!B488)</f>
        <v>0</v>
      </c>
      <c r="E488" s="33">
        <f>IO!$B$5*C488-IO!$B$6*D488</f>
        <v>4080</v>
      </c>
      <c r="G488" s="47">
        <v>487</v>
      </c>
      <c r="H488" s="38" t="s">
        <v>7</v>
      </c>
      <c r="I488" s="38">
        <v>6</v>
      </c>
      <c r="J488" s="39">
        <v>0.65611427230250907</v>
      </c>
      <c r="K488" s="40">
        <f>ROUND(NORMINV(J488,IO!$B$10,IO!$B$11),0)</f>
        <v>105</v>
      </c>
      <c r="L488" s="40">
        <f>MIN(K488,IO!$B$4+IO!$B$8)</f>
        <v>102</v>
      </c>
      <c r="M488" s="40">
        <f>IF(L488-I488&gt;IO!$B$4,Model!L488-Model!I488-IO!$B$4,0)</f>
        <v>0</v>
      </c>
      <c r="N488" s="41">
        <f>IO!$B$5*Model!L488-IO!$B$6*Model!M488</f>
        <v>4080</v>
      </c>
    </row>
    <row r="489" spans="1:14" x14ac:dyDescent="0.35">
      <c r="A489" s="30">
        <v>488</v>
      </c>
      <c r="B489" s="31">
        <v>2</v>
      </c>
      <c r="C489" s="32">
        <f>(IO!$B$4+IO!$B$8)</f>
        <v>102</v>
      </c>
      <c r="D489" s="32">
        <f>IF(B489&gt;IO!$B$8,0,IO!$B$8-Model!B489)</f>
        <v>0</v>
      </c>
      <c r="E489" s="33">
        <f>IO!$B$5*C489-IO!$B$6*D489</f>
        <v>4080</v>
      </c>
      <c r="G489" s="47">
        <v>488</v>
      </c>
      <c r="H489" s="38" t="s">
        <v>8</v>
      </c>
      <c r="I489" s="38">
        <v>2</v>
      </c>
      <c r="J489" s="39">
        <v>0.43450421013433049</v>
      </c>
      <c r="K489" s="40">
        <f>ROUND(NORMINV(J489,IO!$B$10,IO!$B$11),0)</f>
        <v>102</v>
      </c>
      <c r="L489" s="40">
        <f>MIN(K489,IO!$B$4+IO!$B$8)</f>
        <v>102</v>
      </c>
      <c r="M489" s="40">
        <f>IF(L489-I489&gt;IO!$B$4,Model!L489-Model!I489-IO!$B$4,0)</f>
        <v>0</v>
      </c>
      <c r="N489" s="41">
        <f>IO!$B$5*Model!L489-IO!$B$6*Model!M489</f>
        <v>4080</v>
      </c>
    </row>
    <row r="490" spans="1:14" x14ac:dyDescent="0.35">
      <c r="A490" s="30">
        <v>489</v>
      </c>
      <c r="B490" s="31">
        <v>1</v>
      </c>
      <c r="C490" s="32">
        <f>(IO!$B$4+IO!$B$8)</f>
        <v>102</v>
      </c>
      <c r="D490" s="32">
        <f>IF(B490&gt;IO!$B$8,0,IO!$B$8-Model!B490)</f>
        <v>1</v>
      </c>
      <c r="E490" s="33">
        <f>IO!$B$5*C490-IO!$B$6*D490</f>
        <v>3980</v>
      </c>
      <c r="G490" s="47">
        <v>489</v>
      </c>
      <c r="H490" s="38" t="s">
        <v>9</v>
      </c>
      <c r="I490" s="38">
        <v>1</v>
      </c>
      <c r="J490" s="39">
        <v>0.63085969700733591</v>
      </c>
      <c r="K490" s="40">
        <f>ROUND(NORMINV(J490,IO!$B$10,IO!$B$11),0)</f>
        <v>105</v>
      </c>
      <c r="L490" s="40">
        <f>MIN(K490,IO!$B$4+IO!$B$8)</f>
        <v>102</v>
      </c>
      <c r="M490" s="40">
        <f>IF(L490-I490&gt;IO!$B$4,Model!L490-Model!I490-IO!$B$4,0)</f>
        <v>1</v>
      </c>
      <c r="N490" s="41">
        <f>IO!$B$5*Model!L490-IO!$B$6*Model!M490</f>
        <v>3980</v>
      </c>
    </row>
    <row r="491" spans="1:14" x14ac:dyDescent="0.35">
      <c r="A491" s="30">
        <v>490</v>
      </c>
      <c r="B491" s="31">
        <v>1</v>
      </c>
      <c r="C491" s="32">
        <f>(IO!$B$4+IO!$B$8)</f>
        <v>102</v>
      </c>
      <c r="D491" s="32">
        <f>IF(B491&gt;IO!$B$8,0,IO!$B$8-Model!B491)</f>
        <v>1</v>
      </c>
      <c r="E491" s="33">
        <f>IO!$B$5*C491-IO!$B$6*D491</f>
        <v>3980</v>
      </c>
      <c r="G491" s="47">
        <v>490</v>
      </c>
      <c r="H491" s="38" t="s">
        <v>7</v>
      </c>
      <c r="I491" s="38">
        <v>1</v>
      </c>
      <c r="J491" s="39">
        <v>5.4236778635867622E-2</v>
      </c>
      <c r="K491" s="40">
        <f>ROUND(NORMINV(J491,IO!$B$10,IO!$B$11),0)</f>
        <v>95</v>
      </c>
      <c r="L491" s="40">
        <f>MIN(K491,IO!$B$4+IO!$B$8)</f>
        <v>95</v>
      </c>
      <c r="M491" s="40">
        <f>IF(L491-I491&gt;IO!$B$4,Model!L491-Model!I491-IO!$B$4,0)</f>
        <v>0</v>
      </c>
      <c r="N491" s="41">
        <f>IO!$B$5*Model!L491-IO!$B$6*Model!M491</f>
        <v>3800</v>
      </c>
    </row>
    <row r="492" spans="1:14" x14ac:dyDescent="0.35">
      <c r="A492" s="30">
        <v>491</v>
      </c>
      <c r="B492" s="31">
        <v>4</v>
      </c>
      <c r="C492" s="32">
        <f>(IO!$B$4+IO!$B$8)</f>
        <v>102</v>
      </c>
      <c r="D492" s="32">
        <f>IF(B492&gt;IO!$B$8,0,IO!$B$8-Model!B492)</f>
        <v>0</v>
      </c>
      <c r="E492" s="33">
        <f>IO!$B$5*C492-IO!$B$6*D492</f>
        <v>4080</v>
      </c>
      <c r="G492" s="47">
        <v>491</v>
      </c>
      <c r="H492" s="38" t="s">
        <v>8</v>
      </c>
      <c r="I492" s="38">
        <v>4</v>
      </c>
      <c r="J492" s="39">
        <v>0.28252411463486105</v>
      </c>
      <c r="K492" s="40">
        <f>ROUND(NORMINV(J492,IO!$B$10,IO!$B$11),0)</f>
        <v>100</v>
      </c>
      <c r="L492" s="40">
        <f>MIN(K492,IO!$B$4+IO!$B$8)</f>
        <v>100</v>
      </c>
      <c r="M492" s="40">
        <f>IF(L492-I492&gt;IO!$B$4,Model!L492-Model!I492-IO!$B$4,0)</f>
        <v>0</v>
      </c>
      <c r="N492" s="41">
        <f>IO!$B$5*Model!L492-IO!$B$6*Model!M492</f>
        <v>4000</v>
      </c>
    </row>
    <row r="493" spans="1:14" x14ac:dyDescent="0.35">
      <c r="A493" s="30">
        <v>492</v>
      </c>
      <c r="B493" s="31">
        <v>0</v>
      </c>
      <c r="C493" s="32">
        <f>(IO!$B$4+IO!$B$8)</f>
        <v>102</v>
      </c>
      <c r="D493" s="32">
        <f>IF(B493&gt;IO!$B$8,0,IO!$B$8-Model!B493)</f>
        <v>2</v>
      </c>
      <c r="E493" s="33">
        <f>IO!$B$5*C493-IO!$B$6*D493</f>
        <v>3880</v>
      </c>
      <c r="G493" s="47">
        <v>492</v>
      </c>
      <c r="H493" s="38" t="s">
        <v>9</v>
      </c>
      <c r="I493" s="38">
        <v>0</v>
      </c>
      <c r="J493" s="39">
        <v>0.75288231875379152</v>
      </c>
      <c r="K493" s="40">
        <f>ROUND(NORMINV(J493,IO!$B$10,IO!$B$11),0)</f>
        <v>106</v>
      </c>
      <c r="L493" s="40">
        <f>MIN(K493,IO!$B$4+IO!$B$8)</f>
        <v>102</v>
      </c>
      <c r="M493" s="40">
        <f>IF(L493-I493&gt;IO!$B$4,Model!L493-Model!I493-IO!$B$4,0)</f>
        <v>2</v>
      </c>
      <c r="N493" s="41">
        <f>IO!$B$5*Model!L493-IO!$B$6*Model!M493</f>
        <v>3880</v>
      </c>
    </row>
    <row r="494" spans="1:14" x14ac:dyDescent="0.35">
      <c r="A494" s="30">
        <v>493</v>
      </c>
      <c r="B494" s="31">
        <v>7</v>
      </c>
      <c r="C494" s="32">
        <f>(IO!$B$4+IO!$B$8)</f>
        <v>102</v>
      </c>
      <c r="D494" s="32">
        <f>IF(B494&gt;IO!$B$8,0,IO!$B$8-Model!B494)</f>
        <v>0</v>
      </c>
      <c r="E494" s="33">
        <f>IO!$B$5*C494-IO!$B$6*D494</f>
        <v>4080</v>
      </c>
      <c r="G494" s="47">
        <v>493</v>
      </c>
      <c r="H494" s="38" t="s">
        <v>7</v>
      </c>
      <c r="I494" s="38">
        <v>7</v>
      </c>
      <c r="J494" s="39">
        <v>0.65560226726846593</v>
      </c>
      <c r="K494" s="40">
        <f>ROUND(NORMINV(J494,IO!$B$10,IO!$B$11),0)</f>
        <v>105</v>
      </c>
      <c r="L494" s="40">
        <f>MIN(K494,IO!$B$4+IO!$B$8)</f>
        <v>102</v>
      </c>
      <c r="M494" s="40">
        <f>IF(L494-I494&gt;IO!$B$4,Model!L494-Model!I494-IO!$B$4,0)</f>
        <v>0</v>
      </c>
      <c r="N494" s="41">
        <f>IO!$B$5*Model!L494-IO!$B$6*Model!M494</f>
        <v>4080</v>
      </c>
    </row>
    <row r="495" spans="1:14" x14ac:dyDescent="0.35">
      <c r="A495" s="30">
        <v>494</v>
      </c>
      <c r="B495" s="31">
        <v>2</v>
      </c>
      <c r="C495" s="32">
        <f>(IO!$B$4+IO!$B$8)</f>
        <v>102</v>
      </c>
      <c r="D495" s="32">
        <f>IF(B495&gt;IO!$B$8,0,IO!$B$8-Model!B495)</f>
        <v>0</v>
      </c>
      <c r="E495" s="33">
        <f>IO!$B$5*C495-IO!$B$6*D495</f>
        <v>4080</v>
      </c>
      <c r="G495" s="47">
        <v>494</v>
      </c>
      <c r="H495" s="38" t="s">
        <v>8</v>
      </c>
      <c r="I495" s="38">
        <v>2</v>
      </c>
      <c r="J495" s="39">
        <v>0.22999728752270854</v>
      </c>
      <c r="K495" s="40">
        <f>ROUND(NORMINV(J495,IO!$B$10,IO!$B$11),0)</f>
        <v>99</v>
      </c>
      <c r="L495" s="40">
        <f>MIN(K495,IO!$B$4+IO!$B$8)</f>
        <v>99</v>
      </c>
      <c r="M495" s="40">
        <f>IF(L495-I495&gt;IO!$B$4,Model!L495-Model!I495-IO!$B$4,0)</f>
        <v>0</v>
      </c>
      <c r="N495" s="41">
        <f>IO!$B$5*Model!L495-IO!$B$6*Model!M495</f>
        <v>3960</v>
      </c>
    </row>
    <row r="496" spans="1:14" x14ac:dyDescent="0.35">
      <c r="A496" s="30">
        <v>495</v>
      </c>
      <c r="B496" s="31">
        <v>1</v>
      </c>
      <c r="C496" s="32">
        <f>(IO!$B$4+IO!$B$8)</f>
        <v>102</v>
      </c>
      <c r="D496" s="32">
        <f>IF(B496&gt;IO!$B$8,0,IO!$B$8-Model!B496)</f>
        <v>1</v>
      </c>
      <c r="E496" s="33">
        <f>IO!$B$5*C496-IO!$B$6*D496</f>
        <v>3980</v>
      </c>
      <c r="G496" s="47">
        <v>495</v>
      </c>
      <c r="H496" s="38" t="s">
        <v>9</v>
      </c>
      <c r="I496" s="38">
        <v>1</v>
      </c>
      <c r="J496" s="39">
        <v>7.6685420706210317E-2</v>
      </c>
      <c r="K496" s="40">
        <f>ROUND(NORMINV(J496,IO!$B$10,IO!$B$11),0)</f>
        <v>96</v>
      </c>
      <c r="L496" s="40">
        <f>MIN(K496,IO!$B$4+IO!$B$8)</f>
        <v>96</v>
      </c>
      <c r="M496" s="40">
        <f>IF(L496-I496&gt;IO!$B$4,Model!L496-Model!I496-IO!$B$4,0)</f>
        <v>0</v>
      </c>
      <c r="N496" s="41">
        <f>IO!$B$5*Model!L496-IO!$B$6*Model!M496</f>
        <v>3840</v>
      </c>
    </row>
    <row r="497" spans="1:14" x14ac:dyDescent="0.35">
      <c r="A497" s="30">
        <v>496</v>
      </c>
      <c r="B497" s="31">
        <v>1</v>
      </c>
      <c r="C497" s="32">
        <f>(IO!$B$4+IO!$B$8)</f>
        <v>102</v>
      </c>
      <c r="D497" s="32">
        <f>IF(B497&gt;IO!$B$8,0,IO!$B$8-Model!B497)</f>
        <v>1</v>
      </c>
      <c r="E497" s="33">
        <f>IO!$B$5*C497-IO!$B$6*D497</f>
        <v>3980</v>
      </c>
      <c r="G497" s="47">
        <v>496</v>
      </c>
      <c r="H497" s="38" t="s">
        <v>7</v>
      </c>
      <c r="I497" s="38">
        <v>1</v>
      </c>
      <c r="J497" s="39">
        <v>0.75520347827337098</v>
      </c>
      <c r="K497" s="40">
        <f>ROUND(NORMINV(J497,IO!$B$10,IO!$B$11),0)</f>
        <v>106</v>
      </c>
      <c r="L497" s="40">
        <f>MIN(K497,IO!$B$4+IO!$B$8)</f>
        <v>102</v>
      </c>
      <c r="M497" s="40">
        <f>IF(L497-I497&gt;IO!$B$4,Model!L497-Model!I497-IO!$B$4,0)</f>
        <v>1</v>
      </c>
      <c r="N497" s="41">
        <f>IO!$B$5*Model!L497-IO!$B$6*Model!M497</f>
        <v>3980</v>
      </c>
    </row>
    <row r="498" spans="1:14" x14ac:dyDescent="0.35">
      <c r="A498" s="30">
        <v>497</v>
      </c>
      <c r="B498" s="31">
        <v>1</v>
      </c>
      <c r="C498" s="32">
        <f>(IO!$B$4+IO!$B$8)</f>
        <v>102</v>
      </c>
      <c r="D498" s="32">
        <f>IF(B498&gt;IO!$B$8,0,IO!$B$8-Model!B498)</f>
        <v>1</v>
      </c>
      <c r="E498" s="33">
        <f>IO!$B$5*C498-IO!$B$6*D498</f>
        <v>3980</v>
      </c>
      <c r="G498" s="47">
        <v>497</v>
      </c>
      <c r="H498" s="38" t="s">
        <v>8</v>
      </c>
      <c r="I498" s="38">
        <v>1</v>
      </c>
      <c r="J498" s="39">
        <v>0.25483918725853449</v>
      </c>
      <c r="K498" s="40">
        <f>ROUND(NORMINV(J498,IO!$B$10,IO!$B$11),0)</f>
        <v>100</v>
      </c>
      <c r="L498" s="40">
        <f>MIN(K498,IO!$B$4+IO!$B$8)</f>
        <v>100</v>
      </c>
      <c r="M498" s="40">
        <f>IF(L498-I498&gt;IO!$B$4,Model!L498-Model!I498-IO!$B$4,0)</f>
        <v>0</v>
      </c>
      <c r="N498" s="41">
        <f>IO!$B$5*Model!L498-IO!$B$6*Model!M498</f>
        <v>4000</v>
      </c>
    </row>
    <row r="499" spans="1:14" x14ac:dyDescent="0.35">
      <c r="A499" s="30">
        <v>498</v>
      </c>
      <c r="B499" s="31">
        <v>1</v>
      </c>
      <c r="C499" s="32">
        <f>(IO!$B$4+IO!$B$8)</f>
        <v>102</v>
      </c>
      <c r="D499" s="32">
        <f>IF(B499&gt;IO!$B$8,0,IO!$B$8-Model!B499)</f>
        <v>1</v>
      </c>
      <c r="E499" s="33">
        <f>IO!$B$5*C499-IO!$B$6*D499</f>
        <v>3980</v>
      </c>
      <c r="G499" s="47">
        <v>498</v>
      </c>
      <c r="H499" s="38" t="s">
        <v>9</v>
      </c>
      <c r="I499" s="38">
        <v>1</v>
      </c>
      <c r="J499" s="39">
        <v>0.83242368056826699</v>
      </c>
      <c r="K499" s="40">
        <f>ROUND(NORMINV(J499,IO!$B$10,IO!$B$11),0)</f>
        <v>108</v>
      </c>
      <c r="L499" s="40">
        <f>MIN(K499,IO!$B$4+IO!$B$8)</f>
        <v>102</v>
      </c>
      <c r="M499" s="40">
        <f>IF(L499-I499&gt;IO!$B$4,Model!L499-Model!I499-IO!$B$4,0)</f>
        <v>1</v>
      </c>
      <c r="N499" s="41">
        <f>IO!$B$5*Model!L499-IO!$B$6*Model!M499</f>
        <v>3980</v>
      </c>
    </row>
    <row r="500" spans="1:14" x14ac:dyDescent="0.35">
      <c r="A500" s="30">
        <v>499</v>
      </c>
      <c r="B500" s="31">
        <v>3</v>
      </c>
      <c r="C500" s="32">
        <f>(IO!$B$4+IO!$B$8)</f>
        <v>102</v>
      </c>
      <c r="D500" s="32">
        <f>IF(B500&gt;IO!$B$8,0,IO!$B$8-Model!B500)</f>
        <v>0</v>
      </c>
      <c r="E500" s="33">
        <f>IO!$B$5*C500-IO!$B$6*D500</f>
        <v>4080</v>
      </c>
      <c r="G500" s="47">
        <v>499</v>
      </c>
      <c r="H500" s="38" t="s">
        <v>7</v>
      </c>
      <c r="I500" s="38">
        <v>3</v>
      </c>
      <c r="J500" s="39">
        <v>1.4927725789689927E-2</v>
      </c>
      <c r="K500" s="40">
        <f>ROUND(NORMINV(J500,IO!$B$10,IO!$B$11),0)</f>
        <v>92</v>
      </c>
      <c r="L500" s="40">
        <f>MIN(K500,IO!$B$4+IO!$B$8)</f>
        <v>92</v>
      </c>
      <c r="M500" s="40">
        <f>IF(L500-I500&gt;IO!$B$4,Model!L500-Model!I500-IO!$B$4,0)</f>
        <v>0</v>
      </c>
      <c r="N500" s="41">
        <f>IO!$B$5*Model!L500-IO!$B$6*Model!M500</f>
        <v>3680</v>
      </c>
    </row>
    <row r="501" spans="1:14" x14ac:dyDescent="0.35">
      <c r="A501" s="30">
        <v>500</v>
      </c>
      <c r="B501" s="31">
        <v>4</v>
      </c>
      <c r="C501" s="32">
        <f>(IO!$B$4+IO!$B$8)</f>
        <v>102</v>
      </c>
      <c r="D501" s="32">
        <f>IF(B501&gt;IO!$B$8,0,IO!$B$8-Model!B501)</f>
        <v>0</v>
      </c>
      <c r="E501" s="33">
        <f>IO!$B$5*C501-IO!$B$6*D501</f>
        <v>4080</v>
      </c>
      <c r="G501" s="47">
        <v>500</v>
      </c>
      <c r="H501" s="38" t="s">
        <v>8</v>
      </c>
      <c r="I501" s="38">
        <v>4</v>
      </c>
      <c r="J501" s="39">
        <v>0.34234016788649191</v>
      </c>
      <c r="K501" s="40">
        <f>ROUND(NORMINV(J501,IO!$B$10,IO!$B$11),0)</f>
        <v>101</v>
      </c>
      <c r="L501" s="40">
        <f>MIN(K501,IO!$B$4+IO!$B$8)</f>
        <v>101</v>
      </c>
      <c r="M501" s="40">
        <f>IF(L501-I501&gt;IO!$B$4,Model!L501-Model!I501-IO!$B$4,0)</f>
        <v>0</v>
      </c>
      <c r="N501" s="41">
        <f>IO!$B$5*Model!L501-IO!$B$6*Model!M501</f>
        <v>4040</v>
      </c>
    </row>
    <row r="502" spans="1:14" x14ac:dyDescent="0.35">
      <c r="A502" s="30">
        <v>501</v>
      </c>
      <c r="B502" s="31">
        <v>1</v>
      </c>
      <c r="C502" s="32">
        <f>(IO!$B$4+IO!$B$8)</f>
        <v>102</v>
      </c>
      <c r="D502" s="32">
        <f>IF(B502&gt;IO!$B$8,0,IO!$B$8-Model!B502)</f>
        <v>1</v>
      </c>
      <c r="E502" s="33">
        <f>IO!$B$5*C502-IO!$B$6*D502</f>
        <v>3980</v>
      </c>
      <c r="G502" s="47">
        <v>501</v>
      </c>
      <c r="H502" s="38" t="s">
        <v>9</v>
      </c>
      <c r="I502" s="38">
        <v>1</v>
      </c>
      <c r="J502" s="39">
        <v>0.99499621026008489</v>
      </c>
      <c r="K502" s="40">
        <f>ROUND(NORMINV(J502,IO!$B$10,IO!$B$11),0)</f>
        <v>116</v>
      </c>
      <c r="L502" s="40">
        <f>MIN(K502,IO!$B$4+IO!$B$8)</f>
        <v>102</v>
      </c>
      <c r="M502" s="40">
        <f>IF(L502-I502&gt;IO!$B$4,Model!L502-Model!I502-IO!$B$4,0)</f>
        <v>1</v>
      </c>
      <c r="N502" s="41">
        <f>IO!$B$5*Model!L502-IO!$B$6*Model!M502</f>
        <v>3980</v>
      </c>
    </row>
    <row r="503" spans="1:14" x14ac:dyDescent="0.35">
      <c r="A503" s="30">
        <v>502</v>
      </c>
      <c r="B503" s="31">
        <v>6</v>
      </c>
      <c r="C503" s="32">
        <f>(IO!$B$4+IO!$B$8)</f>
        <v>102</v>
      </c>
      <c r="D503" s="32">
        <f>IF(B503&gt;IO!$B$8,0,IO!$B$8-Model!B503)</f>
        <v>0</v>
      </c>
      <c r="E503" s="33">
        <f>IO!$B$5*C503-IO!$B$6*D503</f>
        <v>4080</v>
      </c>
      <c r="G503" s="47">
        <v>502</v>
      </c>
      <c r="H503" s="38" t="s">
        <v>7</v>
      </c>
      <c r="I503" s="38">
        <v>6</v>
      </c>
      <c r="J503" s="39">
        <v>0.48467508743852594</v>
      </c>
      <c r="K503" s="40">
        <f>ROUND(NORMINV(J503,IO!$B$10,IO!$B$11),0)</f>
        <v>103</v>
      </c>
      <c r="L503" s="40">
        <f>MIN(K503,IO!$B$4+IO!$B$8)</f>
        <v>102</v>
      </c>
      <c r="M503" s="40">
        <f>IF(L503-I503&gt;IO!$B$4,Model!L503-Model!I503-IO!$B$4,0)</f>
        <v>0</v>
      </c>
      <c r="N503" s="41">
        <f>IO!$B$5*Model!L503-IO!$B$6*Model!M503</f>
        <v>4080</v>
      </c>
    </row>
    <row r="504" spans="1:14" x14ac:dyDescent="0.35">
      <c r="A504" s="30">
        <v>503</v>
      </c>
      <c r="B504" s="31">
        <v>1</v>
      </c>
      <c r="C504" s="32">
        <f>(IO!$B$4+IO!$B$8)</f>
        <v>102</v>
      </c>
      <c r="D504" s="32">
        <f>IF(B504&gt;IO!$B$8,0,IO!$B$8-Model!B504)</f>
        <v>1</v>
      </c>
      <c r="E504" s="33">
        <f>IO!$B$5*C504-IO!$B$6*D504</f>
        <v>3980</v>
      </c>
      <c r="G504" s="47">
        <v>503</v>
      </c>
      <c r="H504" s="38" t="s">
        <v>8</v>
      </c>
      <c r="I504" s="38">
        <v>1</v>
      </c>
      <c r="J504" s="39">
        <v>0.47686067395351006</v>
      </c>
      <c r="K504" s="40">
        <f>ROUND(NORMINV(J504,IO!$B$10,IO!$B$11),0)</f>
        <v>103</v>
      </c>
      <c r="L504" s="40">
        <f>MIN(K504,IO!$B$4+IO!$B$8)</f>
        <v>102</v>
      </c>
      <c r="M504" s="40">
        <f>IF(L504-I504&gt;IO!$B$4,Model!L504-Model!I504-IO!$B$4,0)</f>
        <v>1</v>
      </c>
      <c r="N504" s="41">
        <f>IO!$B$5*Model!L504-IO!$B$6*Model!M504</f>
        <v>3980</v>
      </c>
    </row>
    <row r="505" spans="1:14" x14ac:dyDescent="0.35">
      <c r="A505" s="30">
        <v>504</v>
      </c>
      <c r="B505" s="31">
        <v>0</v>
      </c>
      <c r="C505" s="32">
        <f>(IO!$B$4+IO!$B$8)</f>
        <v>102</v>
      </c>
      <c r="D505" s="32">
        <f>IF(B505&gt;IO!$B$8,0,IO!$B$8-Model!B505)</f>
        <v>2</v>
      </c>
      <c r="E505" s="33">
        <f>IO!$B$5*C505-IO!$B$6*D505</f>
        <v>3880</v>
      </c>
      <c r="G505" s="47">
        <v>504</v>
      </c>
      <c r="H505" s="38" t="s">
        <v>9</v>
      </c>
      <c r="I505" s="38">
        <v>0</v>
      </c>
      <c r="J505" s="39">
        <v>0.5326010424572365</v>
      </c>
      <c r="K505" s="40">
        <f>ROUND(NORMINV(J505,IO!$B$10,IO!$B$11),0)</f>
        <v>103</v>
      </c>
      <c r="L505" s="40">
        <f>MIN(K505,IO!$B$4+IO!$B$8)</f>
        <v>102</v>
      </c>
      <c r="M505" s="40">
        <f>IF(L505-I505&gt;IO!$B$4,Model!L505-Model!I505-IO!$B$4,0)</f>
        <v>2</v>
      </c>
      <c r="N505" s="41">
        <f>IO!$B$5*Model!L505-IO!$B$6*Model!M505</f>
        <v>3880</v>
      </c>
    </row>
    <row r="506" spans="1:14" x14ac:dyDescent="0.35">
      <c r="A506" s="30">
        <v>505</v>
      </c>
      <c r="B506" s="31">
        <v>3</v>
      </c>
      <c r="C506" s="32">
        <f>(IO!$B$4+IO!$B$8)</f>
        <v>102</v>
      </c>
      <c r="D506" s="32">
        <f>IF(B506&gt;IO!$B$8,0,IO!$B$8-Model!B506)</f>
        <v>0</v>
      </c>
      <c r="E506" s="33">
        <f>IO!$B$5*C506-IO!$B$6*D506</f>
        <v>4080</v>
      </c>
      <c r="G506" s="47">
        <v>505</v>
      </c>
      <c r="H506" s="38" t="s">
        <v>7</v>
      </c>
      <c r="I506" s="38">
        <v>3</v>
      </c>
      <c r="J506" s="39">
        <v>0.78000843639482298</v>
      </c>
      <c r="K506" s="40">
        <f>ROUND(NORMINV(J506,IO!$B$10,IO!$B$11),0)</f>
        <v>107</v>
      </c>
      <c r="L506" s="40">
        <f>MIN(K506,IO!$B$4+IO!$B$8)</f>
        <v>102</v>
      </c>
      <c r="M506" s="40">
        <f>IF(L506-I506&gt;IO!$B$4,Model!L506-Model!I506-IO!$B$4,0)</f>
        <v>0</v>
      </c>
      <c r="N506" s="41">
        <f>IO!$B$5*Model!L506-IO!$B$6*Model!M506</f>
        <v>4080</v>
      </c>
    </row>
    <row r="507" spans="1:14" x14ac:dyDescent="0.35">
      <c r="A507" s="30">
        <v>506</v>
      </c>
      <c r="B507" s="31">
        <v>2</v>
      </c>
      <c r="C507" s="32">
        <f>(IO!$B$4+IO!$B$8)</f>
        <v>102</v>
      </c>
      <c r="D507" s="32">
        <f>IF(B507&gt;IO!$B$8,0,IO!$B$8-Model!B507)</f>
        <v>0</v>
      </c>
      <c r="E507" s="33">
        <f>IO!$B$5*C507-IO!$B$6*D507</f>
        <v>4080</v>
      </c>
      <c r="G507" s="47">
        <v>506</v>
      </c>
      <c r="H507" s="38" t="s">
        <v>8</v>
      </c>
      <c r="I507" s="38">
        <v>2</v>
      </c>
      <c r="J507" s="39">
        <v>0.9507660258316345</v>
      </c>
      <c r="K507" s="40">
        <f>ROUND(NORMINV(J507,IO!$B$10,IO!$B$11),0)</f>
        <v>111</v>
      </c>
      <c r="L507" s="40">
        <f>MIN(K507,IO!$B$4+IO!$B$8)</f>
        <v>102</v>
      </c>
      <c r="M507" s="40">
        <f>IF(L507-I507&gt;IO!$B$4,Model!L507-Model!I507-IO!$B$4,0)</f>
        <v>0</v>
      </c>
      <c r="N507" s="41">
        <f>IO!$B$5*Model!L507-IO!$B$6*Model!M507</f>
        <v>4080</v>
      </c>
    </row>
    <row r="508" spans="1:14" x14ac:dyDescent="0.35">
      <c r="A508" s="30">
        <v>507</v>
      </c>
      <c r="B508" s="31">
        <v>2</v>
      </c>
      <c r="C508" s="32">
        <f>(IO!$B$4+IO!$B$8)</f>
        <v>102</v>
      </c>
      <c r="D508" s="32">
        <f>IF(B508&gt;IO!$B$8,0,IO!$B$8-Model!B508)</f>
        <v>0</v>
      </c>
      <c r="E508" s="33">
        <f>IO!$B$5*C508-IO!$B$6*D508</f>
        <v>4080</v>
      </c>
      <c r="G508" s="47">
        <v>507</v>
      </c>
      <c r="H508" s="38" t="s">
        <v>9</v>
      </c>
      <c r="I508" s="38">
        <v>2</v>
      </c>
      <c r="J508" s="39">
        <v>0.83114462319316307</v>
      </c>
      <c r="K508" s="40">
        <f>ROUND(NORMINV(J508,IO!$B$10,IO!$B$11),0)</f>
        <v>108</v>
      </c>
      <c r="L508" s="40">
        <f>MIN(K508,IO!$B$4+IO!$B$8)</f>
        <v>102</v>
      </c>
      <c r="M508" s="40">
        <f>IF(L508-I508&gt;IO!$B$4,Model!L508-Model!I508-IO!$B$4,0)</f>
        <v>0</v>
      </c>
      <c r="N508" s="41">
        <f>IO!$B$5*Model!L508-IO!$B$6*Model!M508</f>
        <v>4080</v>
      </c>
    </row>
    <row r="509" spans="1:14" x14ac:dyDescent="0.35">
      <c r="A509" s="30">
        <v>508</v>
      </c>
      <c r="B509" s="31">
        <v>1</v>
      </c>
      <c r="C509" s="32">
        <f>(IO!$B$4+IO!$B$8)</f>
        <v>102</v>
      </c>
      <c r="D509" s="32">
        <f>IF(B509&gt;IO!$B$8,0,IO!$B$8-Model!B509)</f>
        <v>1</v>
      </c>
      <c r="E509" s="33">
        <f>IO!$B$5*C509-IO!$B$6*D509</f>
        <v>3980</v>
      </c>
      <c r="G509" s="47">
        <v>508</v>
      </c>
      <c r="H509" s="38" t="s">
        <v>7</v>
      </c>
      <c r="I509" s="38">
        <v>1</v>
      </c>
      <c r="J509" s="39">
        <v>0.34173060712816805</v>
      </c>
      <c r="K509" s="40">
        <f>ROUND(NORMINV(J509,IO!$B$10,IO!$B$11),0)</f>
        <v>101</v>
      </c>
      <c r="L509" s="40">
        <f>MIN(K509,IO!$B$4+IO!$B$8)</f>
        <v>101</v>
      </c>
      <c r="M509" s="40">
        <f>IF(L509-I509&gt;IO!$B$4,Model!L509-Model!I509-IO!$B$4,0)</f>
        <v>0</v>
      </c>
      <c r="N509" s="41">
        <f>IO!$B$5*Model!L509-IO!$B$6*Model!M509</f>
        <v>4040</v>
      </c>
    </row>
    <row r="510" spans="1:14" x14ac:dyDescent="0.35">
      <c r="A510" s="30">
        <v>509</v>
      </c>
      <c r="B510" s="31">
        <v>2</v>
      </c>
      <c r="C510" s="32">
        <f>(IO!$B$4+IO!$B$8)</f>
        <v>102</v>
      </c>
      <c r="D510" s="32">
        <f>IF(B510&gt;IO!$B$8,0,IO!$B$8-Model!B510)</f>
        <v>0</v>
      </c>
      <c r="E510" s="33">
        <f>IO!$B$5*C510-IO!$B$6*D510</f>
        <v>4080</v>
      </c>
      <c r="G510" s="47">
        <v>509</v>
      </c>
      <c r="H510" s="38" t="s">
        <v>8</v>
      </c>
      <c r="I510" s="38">
        <v>2</v>
      </c>
      <c r="J510" s="39">
        <v>0.14055782813776674</v>
      </c>
      <c r="K510" s="40">
        <f>ROUND(NORMINV(J510,IO!$B$10,IO!$B$11),0)</f>
        <v>98</v>
      </c>
      <c r="L510" s="40">
        <f>MIN(K510,IO!$B$4+IO!$B$8)</f>
        <v>98</v>
      </c>
      <c r="M510" s="40">
        <f>IF(L510-I510&gt;IO!$B$4,Model!L510-Model!I510-IO!$B$4,0)</f>
        <v>0</v>
      </c>
      <c r="N510" s="41">
        <f>IO!$B$5*Model!L510-IO!$B$6*Model!M510</f>
        <v>3920</v>
      </c>
    </row>
    <row r="511" spans="1:14" x14ac:dyDescent="0.35">
      <c r="A511" s="30">
        <v>510</v>
      </c>
      <c r="B511" s="31">
        <v>1</v>
      </c>
      <c r="C511" s="32">
        <f>(IO!$B$4+IO!$B$8)</f>
        <v>102</v>
      </c>
      <c r="D511" s="32">
        <f>IF(B511&gt;IO!$B$8,0,IO!$B$8-Model!B511)</f>
        <v>1</v>
      </c>
      <c r="E511" s="33">
        <f>IO!$B$5*C511-IO!$B$6*D511</f>
        <v>3980</v>
      </c>
      <c r="G511" s="47">
        <v>510</v>
      </c>
      <c r="H511" s="38" t="s">
        <v>9</v>
      </c>
      <c r="I511" s="38">
        <v>1</v>
      </c>
      <c r="J511" s="39">
        <v>0.78983194585674144</v>
      </c>
      <c r="K511" s="40">
        <f>ROUND(NORMINV(J511,IO!$B$10,IO!$B$11),0)</f>
        <v>107</v>
      </c>
      <c r="L511" s="40">
        <f>MIN(K511,IO!$B$4+IO!$B$8)</f>
        <v>102</v>
      </c>
      <c r="M511" s="40">
        <f>IF(L511-I511&gt;IO!$B$4,Model!L511-Model!I511-IO!$B$4,0)</f>
        <v>1</v>
      </c>
      <c r="N511" s="41">
        <f>IO!$B$5*Model!L511-IO!$B$6*Model!M511</f>
        <v>3980</v>
      </c>
    </row>
    <row r="512" spans="1:14" x14ac:dyDescent="0.35">
      <c r="A512" s="30">
        <v>511</v>
      </c>
      <c r="B512" s="31">
        <v>1</v>
      </c>
      <c r="C512" s="32">
        <f>(IO!$B$4+IO!$B$8)</f>
        <v>102</v>
      </c>
      <c r="D512" s="32">
        <f>IF(B512&gt;IO!$B$8,0,IO!$B$8-Model!B512)</f>
        <v>1</v>
      </c>
      <c r="E512" s="33">
        <f>IO!$B$5*C512-IO!$B$6*D512</f>
        <v>3980</v>
      </c>
      <c r="G512" s="47">
        <v>511</v>
      </c>
      <c r="H512" s="38" t="s">
        <v>7</v>
      </c>
      <c r="I512" s="38">
        <v>1</v>
      </c>
      <c r="J512" s="39">
        <v>0.12590732111189951</v>
      </c>
      <c r="K512" s="40">
        <f>ROUND(NORMINV(J512,IO!$B$10,IO!$B$11),0)</f>
        <v>97</v>
      </c>
      <c r="L512" s="40">
        <f>MIN(K512,IO!$B$4+IO!$B$8)</f>
        <v>97</v>
      </c>
      <c r="M512" s="40">
        <f>IF(L512-I512&gt;IO!$B$4,Model!L512-Model!I512-IO!$B$4,0)</f>
        <v>0</v>
      </c>
      <c r="N512" s="41">
        <f>IO!$B$5*Model!L512-IO!$B$6*Model!M512</f>
        <v>3880</v>
      </c>
    </row>
    <row r="513" spans="1:14" x14ac:dyDescent="0.35">
      <c r="A513" s="30">
        <v>512</v>
      </c>
      <c r="B513" s="31">
        <v>3</v>
      </c>
      <c r="C513" s="32">
        <f>(IO!$B$4+IO!$B$8)</f>
        <v>102</v>
      </c>
      <c r="D513" s="32">
        <f>IF(B513&gt;IO!$B$8,0,IO!$B$8-Model!B513)</f>
        <v>0</v>
      </c>
      <c r="E513" s="33">
        <f>IO!$B$5*C513-IO!$B$6*D513</f>
        <v>4080</v>
      </c>
      <c r="G513" s="47">
        <v>512</v>
      </c>
      <c r="H513" s="38" t="s">
        <v>8</v>
      </c>
      <c r="I513" s="38">
        <v>3</v>
      </c>
      <c r="J513" s="39">
        <v>0.97764297786397436</v>
      </c>
      <c r="K513" s="40">
        <f>ROUND(NORMINV(J513,IO!$B$10,IO!$B$11),0)</f>
        <v>113</v>
      </c>
      <c r="L513" s="40">
        <f>MIN(K513,IO!$B$4+IO!$B$8)</f>
        <v>102</v>
      </c>
      <c r="M513" s="40">
        <f>IF(L513-I513&gt;IO!$B$4,Model!L513-Model!I513-IO!$B$4,0)</f>
        <v>0</v>
      </c>
      <c r="N513" s="41">
        <f>IO!$B$5*Model!L513-IO!$B$6*Model!M513</f>
        <v>4080</v>
      </c>
    </row>
    <row r="514" spans="1:14" x14ac:dyDescent="0.35">
      <c r="A514" s="30">
        <v>513</v>
      </c>
      <c r="B514" s="31">
        <v>0</v>
      </c>
      <c r="C514" s="32">
        <f>(IO!$B$4+IO!$B$8)</f>
        <v>102</v>
      </c>
      <c r="D514" s="32">
        <f>IF(B514&gt;IO!$B$8,0,IO!$B$8-Model!B514)</f>
        <v>2</v>
      </c>
      <c r="E514" s="33">
        <f>IO!$B$5*C514-IO!$B$6*D514</f>
        <v>3880</v>
      </c>
      <c r="G514" s="47">
        <v>513</v>
      </c>
      <c r="H514" s="38" t="s">
        <v>9</v>
      </c>
      <c r="I514" s="38">
        <v>0</v>
      </c>
      <c r="J514" s="39">
        <v>0.74080899859030069</v>
      </c>
      <c r="K514" s="40">
        <f>ROUND(NORMINV(J514,IO!$B$10,IO!$B$11),0)</f>
        <v>106</v>
      </c>
      <c r="L514" s="40">
        <f>MIN(K514,IO!$B$4+IO!$B$8)</f>
        <v>102</v>
      </c>
      <c r="M514" s="40">
        <f>IF(L514-I514&gt;IO!$B$4,Model!L514-Model!I514-IO!$B$4,0)</f>
        <v>2</v>
      </c>
      <c r="N514" s="41">
        <f>IO!$B$5*Model!L514-IO!$B$6*Model!M514</f>
        <v>3880</v>
      </c>
    </row>
    <row r="515" spans="1:14" x14ac:dyDescent="0.35">
      <c r="A515" s="30">
        <v>514</v>
      </c>
      <c r="B515" s="31">
        <v>5</v>
      </c>
      <c r="C515" s="32">
        <f>(IO!$B$4+IO!$B$8)</f>
        <v>102</v>
      </c>
      <c r="D515" s="32">
        <f>IF(B515&gt;IO!$B$8,0,IO!$B$8-Model!B515)</f>
        <v>0</v>
      </c>
      <c r="E515" s="33">
        <f>IO!$B$5*C515-IO!$B$6*D515</f>
        <v>4080</v>
      </c>
      <c r="G515" s="47">
        <v>514</v>
      </c>
      <c r="H515" s="38" t="s">
        <v>7</v>
      </c>
      <c r="I515" s="38">
        <v>5</v>
      </c>
      <c r="J515" s="39">
        <v>0.60552509063860127</v>
      </c>
      <c r="K515" s="40">
        <f>ROUND(NORMINV(J515,IO!$B$10,IO!$B$11),0)</f>
        <v>104</v>
      </c>
      <c r="L515" s="40">
        <f>MIN(K515,IO!$B$4+IO!$B$8)</f>
        <v>102</v>
      </c>
      <c r="M515" s="40">
        <f>IF(L515-I515&gt;IO!$B$4,Model!L515-Model!I515-IO!$B$4,0)</f>
        <v>0</v>
      </c>
      <c r="N515" s="41">
        <f>IO!$B$5*Model!L515-IO!$B$6*Model!M515</f>
        <v>4080</v>
      </c>
    </row>
    <row r="516" spans="1:14" x14ac:dyDescent="0.35">
      <c r="A516" s="30">
        <v>515</v>
      </c>
      <c r="B516" s="31">
        <v>1</v>
      </c>
      <c r="C516" s="32">
        <f>(IO!$B$4+IO!$B$8)</f>
        <v>102</v>
      </c>
      <c r="D516" s="32">
        <f>IF(B516&gt;IO!$B$8,0,IO!$B$8-Model!B516)</f>
        <v>1</v>
      </c>
      <c r="E516" s="33">
        <f>IO!$B$5*C516-IO!$B$6*D516</f>
        <v>3980</v>
      </c>
      <c r="G516" s="47">
        <v>515</v>
      </c>
      <c r="H516" s="38" t="s">
        <v>8</v>
      </c>
      <c r="I516" s="38">
        <v>1</v>
      </c>
      <c r="J516" s="39">
        <v>0.21464958887312169</v>
      </c>
      <c r="K516" s="40">
        <f>ROUND(NORMINV(J516,IO!$B$10,IO!$B$11),0)</f>
        <v>99</v>
      </c>
      <c r="L516" s="40">
        <f>MIN(K516,IO!$B$4+IO!$B$8)</f>
        <v>99</v>
      </c>
      <c r="M516" s="40">
        <f>IF(L516-I516&gt;IO!$B$4,Model!L516-Model!I516-IO!$B$4,0)</f>
        <v>0</v>
      </c>
      <c r="N516" s="41">
        <f>IO!$B$5*Model!L516-IO!$B$6*Model!M516</f>
        <v>3960</v>
      </c>
    </row>
    <row r="517" spans="1:14" x14ac:dyDescent="0.35">
      <c r="A517" s="30">
        <v>516</v>
      </c>
      <c r="B517" s="31">
        <v>2</v>
      </c>
      <c r="C517" s="32">
        <f>(IO!$B$4+IO!$B$8)</f>
        <v>102</v>
      </c>
      <c r="D517" s="32">
        <f>IF(B517&gt;IO!$B$8,0,IO!$B$8-Model!B517)</f>
        <v>0</v>
      </c>
      <c r="E517" s="33">
        <f>IO!$B$5*C517-IO!$B$6*D517</f>
        <v>4080</v>
      </c>
      <c r="G517" s="47">
        <v>516</v>
      </c>
      <c r="H517" s="38" t="s">
        <v>9</v>
      </c>
      <c r="I517" s="38">
        <v>2</v>
      </c>
      <c r="J517" s="39">
        <v>0.78603917882970575</v>
      </c>
      <c r="K517" s="40">
        <f>ROUND(NORMINV(J517,IO!$B$10,IO!$B$11),0)</f>
        <v>107</v>
      </c>
      <c r="L517" s="40">
        <f>MIN(K517,IO!$B$4+IO!$B$8)</f>
        <v>102</v>
      </c>
      <c r="M517" s="40">
        <f>IF(L517-I517&gt;IO!$B$4,Model!L517-Model!I517-IO!$B$4,0)</f>
        <v>0</v>
      </c>
      <c r="N517" s="41">
        <f>IO!$B$5*Model!L517-IO!$B$6*Model!M517</f>
        <v>4080</v>
      </c>
    </row>
    <row r="518" spans="1:14" x14ac:dyDescent="0.35">
      <c r="A518" s="30">
        <v>517</v>
      </c>
      <c r="B518" s="31">
        <v>1</v>
      </c>
      <c r="C518" s="32">
        <f>(IO!$B$4+IO!$B$8)</f>
        <v>102</v>
      </c>
      <c r="D518" s="32">
        <f>IF(B518&gt;IO!$B$8,0,IO!$B$8-Model!B518)</f>
        <v>1</v>
      </c>
      <c r="E518" s="33">
        <f>IO!$B$5*C518-IO!$B$6*D518</f>
        <v>3980</v>
      </c>
      <c r="G518" s="47">
        <v>517</v>
      </c>
      <c r="H518" s="38" t="s">
        <v>7</v>
      </c>
      <c r="I518" s="38">
        <v>1</v>
      </c>
      <c r="J518" s="39">
        <v>0.73666024311180012</v>
      </c>
      <c r="K518" s="40">
        <f>ROUND(NORMINV(J518,IO!$B$10,IO!$B$11),0)</f>
        <v>106</v>
      </c>
      <c r="L518" s="40">
        <f>MIN(K518,IO!$B$4+IO!$B$8)</f>
        <v>102</v>
      </c>
      <c r="M518" s="40">
        <f>IF(L518-I518&gt;IO!$B$4,Model!L518-Model!I518-IO!$B$4,0)</f>
        <v>1</v>
      </c>
      <c r="N518" s="41">
        <f>IO!$B$5*Model!L518-IO!$B$6*Model!M518</f>
        <v>3980</v>
      </c>
    </row>
    <row r="519" spans="1:14" x14ac:dyDescent="0.35">
      <c r="A519" s="30">
        <v>518</v>
      </c>
      <c r="B519" s="31">
        <v>0</v>
      </c>
      <c r="C519" s="32">
        <f>(IO!$B$4+IO!$B$8)</f>
        <v>102</v>
      </c>
      <c r="D519" s="32">
        <f>IF(B519&gt;IO!$B$8,0,IO!$B$8-Model!B519)</f>
        <v>2</v>
      </c>
      <c r="E519" s="33">
        <f>IO!$B$5*C519-IO!$B$6*D519</f>
        <v>3880</v>
      </c>
      <c r="G519" s="47">
        <v>518</v>
      </c>
      <c r="H519" s="38" t="s">
        <v>8</v>
      </c>
      <c r="I519" s="38">
        <v>0</v>
      </c>
      <c r="J519" s="39">
        <v>0.47661585493259651</v>
      </c>
      <c r="K519" s="40">
        <f>ROUND(NORMINV(J519,IO!$B$10,IO!$B$11),0)</f>
        <v>103</v>
      </c>
      <c r="L519" s="40">
        <f>MIN(K519,IO!$B$4+IO!$B$8)</f>
        <v>102</v>
      </c>
      <c r="M519" s="40">
        <f>IF(L519-I519&gt;IO!$B$4,Model!L519-Model!I519-IO!$B$4,0)</f>
        <v>2</v>
      </c>
      <c r="N519" s="41">
        <f>IO!$B$5*Model!L519-IO!$B$6*Model!M519</f>
        <v>3880</v>
      </c>
    </row>
    <row r="520" spans="1:14" x14ac:dyDescent="0.35">
      <c r="A520" s="30">
        <v>519</v>
      </c>
      <c r="B520" s="31">
        <v>2</v>
      </c>
      <c r="C520" s="32">
        <f>(IO!$B$4+IO!$B$8)</f>
        <v>102</v>
      </c>
      <c r="D520" s="32">
        <f>IF(B520&gt;IO!$B$8,0,IO!$B$8-Model!B520)</f>
        <v>0</v>
      </c>
      <c r="E520" s="33">
        <f>IO!$B$5*C520-IO!$B$6*D520</f>
        <v>4080</v>
      </c>
      <c r="G520" s="47">
        <v>519</v>
      </c>
      <c r="H520" s="38" t="s">
        <v>9</v>
      </c>
      <c r="I520" s="38">
        <v>2</v>
      </c>
      <c r="J520" s="39">
        <v>0.14638434855920002</v>
      </c>
      <c r="K520" s="40">
        <f>ROUND(NORMINV(J520,IO!$B$10,IO!$B$11),0)</f>
        <v>98</v>
      </c>
      <c r="L520" s="40">
        <f>MIN(K520,IO!$B$4+IO!$B$8)</f>
        <v>98</v>
      </c>
      <c r="M520" s="40">
        <f>IF(L520-I520&gt;IO!$B$4,Model!L520-Model!I520-IO!$B$4,0)</f>
        <v>0</v>
      </c>
      <c r="N520" s="41">
        <f>IO!$B$5*Model!L520-IO!$B$6*Model!M520</f>
        <v>3920</v>
      </c>
    </row>
    <row r="521" spans="1:14" x14ac:dyDescent="0.35">
      <c r="A521" s="30">
        <v>520</v>
      </c>
      <c r="B521" s="31">
        <v>3</v>
      </c>
      <c r="C521" s="32">
        <f>(IO!$B$4+IO!$B$8)</f>
        <v>102</v>
      </c>
      <c r="D521" s="32">
        <f>IF(B521&gt;IO!$B$8,0,IO!$B$8-Model!B521)</f>
        <v>0</v>
      </c>
      <c r="E521" s="33">
        <f>IO!$B$5*C521-IO!$B$6*D521</f>
        <v>4080</v>
      </c>
      <c r="G521" s="47">
        <v>520</v>
      </c>
      <c r="H521" s="38" t="s">
        <v>7</v>
      </c>
      <c r="I521" s="38">
        <v>3</v>
      </c>
      <c r="J521" s="39">
        <v>0.89595765804837979</v>
      </c>
      <c r="K521" s="40">
        <f>ROUND(NORMINV(J521,IO!$B$10,IO!$B$11),0)</f>
        <v>109</v>
      </c>
      <c r="L521" s="40">
        <f>MIN(K521,IO!$B$4+IO!$B$8)</f>
        <v>102</v>
      </c>
      <c r="M521" s="40">
        <f>IF(L521-I521&gt;IO!$B$4,Model!L521-Model!I521-IO!$B$4,0)</f>
        <v>0</v>
      </c>
      <c r="N521" s="41">
        <f>IO!$B$5*Model!L521-IO!$B$6*Model!M521</f>
        <v>4080</v>
      </c>
    </row>
    <row r="522" spans="1:14" x14ac:dyDescent="0.35">
      <c r="A522" s="30">
        <v>521</v>
      </c>
      <c r="B522" s="31">
        <v>3</v>
      </c>
      <c r="C522" s="32">
        <f>(IO!$B$4+IO!$B$8)</f>
        <v>102</v>
      </c>
      <c r="D522" s="32">
        <f>IF(B522&gt;IO!$B$8,0,IO!$B$8-Model!B522)</f>
        <v>0</v>
      </c>
      <c r="E522" s="33">
        <f>IO!$B$5*C522-IO!$B$6*D522</f>
        <v>4080</v>
      </c>
      <c r="G522" s="47">
        <v>521</v>
      </c>
      <c r="H522" s="38" t="s">
        <v>8</v>
      </c>
      <c r="I522" s="38">
        <v>3</v>
      </c>
      <c r="J522" s="39">
        <v>0.66705908518917367</v>
      </c>
      <c r="K522" s="40">
        <f>ROUND(NORMINV(J522,IO!$B$10,IO!$B$11),0)</f>
        <v>105</v>
      </c>
      <c r="L522" s="40">
        <f>MIN(K522,IO!$B$4+IO!$B$8)</f>
        <v>102</v>
      </c>
      <c r="M522" s="40">
        <f>IF(L522-I522&gt;IO!$B$4,Model!L522-Model!I522-IO!$B$4,0)</f>
        <v>0</v>
      </c>
      <c r="N522" s="41">
        <f>IO!$B$5*Model!L522-IO!$B$6*Model!M522</f>
        <v>4080</v>
      </c>
    </row>
    <row r="523" spans="1:14" x14ac:dyDescent="0.35">
      <c r="A523" s="30">
        <v>522</v>
      </c>
      <c r="B523" s="31">
        <v>2</v>
      </c>
      <c r="C523" s="32">
        <f>(IO!$B$4+IO!$B$8)</f>
        <v>102</v>
      </c>
      <c r="D523" s="32">
        <f>IF(B523&gt;IO!$B$8,0,IO!$B$8-Model!B523)</f>
        <v>0</v>
      </c>
      <c r="E523" s="33">
        <f>IO!$B$5*C523-IO!$B$6*D523</f>
        <v>4080</v>
      </c>
      <c r="G523" s="47">
        <v>522</v>
      </c>
      <c r="H523" s="38" t="s">
        <v>9</v>
      </c>
      <c r="I523" s="38">
        <v>2</v>
      </c>
      <c r="J523" s="39">
        <v>0.72605024798089068</v>
      </c>
      <c r="K523" s="40">
        <f>ROUND(NORMINV(J523,IO!$B$10,IO!$B$11),0)</f>
        <v>106</v>
      </c>
      <c r="L523" s="40">
        <f>MIN(K523,IO!$B$4+IO!$B$8)</f>
        <v>102</v>
      </c>
      <c r="M523" s="40">
        <f>IF(L523-I523&gt;IO!$B$4,Model!L523-Model!I523-IO!$B$4,0)</f>
        <v>0</v>
      </c>
      <c r="N523" s="41">
        <f>IO!$B$5*Model!L523-IO!$B$6*Model!M523</f>
        <v>4080</v>
      </c>
    </row>
    <row r="524" spans="1:14" x14ac:dyDescent="0.35">
      <c r="A524" s="30">
        <v>523</v>
      </c>
      <c r="B524" s="31">
        <v>8</v>
      </c>
      <c r="C524" s="32">
        <f>(IO!$B$4+IO!$B$8)</f>
        <v>102</v>
      </c>
      <c r="D524" s="32">
        <f>IF(B524&gt;IO!$B$8,0,IO!$B$8-Model!B524)</f>
        <v>0</v>
      </c>
      <c r="E524" s="33">
        <f>IO!$B$5*C524-IO!$B$6*D524</f>
        <v>4080</v>
      </c>
      <c r="G524" s="47">
        <v>523</v>
      </c>
      <c r="H524" s="38" t="s">
        <v>7</v>
      </c>
      <c r="I524" s="38">
        <v>8</v>
      </c>
      <c r="J524" s="39">
        <v>9.3842777650229414E-2</v>
      </c>
      <c r="K524" s="40">
        <f>ROUND(NORMINV(J524,IO!$B$10,IO!$B$11),0)</f>
        <v>96</v>
      </c>
      <c r="L524" s="40">
        <f>MIN(K524,IO!$B$4+IO!$B$8)</f>
        <v>96</v>
      </c>
      <c r="M524" s="40">
        <f>IF(L524-I524&gt;IO!$B$4,Model!L524-Model!I524-IO!$B$4,0)</f>
        <v>0</v>
      </c>
      <c r="N524" s="41">
        <f>IO!$B$5*Model!L524-IO!$B$6*Model!M524</f>
        <v>3840</v>
      </c>
    </row>
    <row r="525" spans="1:14" x14ac:dyDescent="0.35">
      <c r="A525" s="30">
        <v>524</v>
      </c>
      <c r="B525" s="31">
        <v>5</v>
      </c>
      <c r="C525" s="32">
        <f>(IO!$B$4+IO!$B$8)</f>
        <v>102</v>
      </c>
      <c r="D525" s="32">
        <f>IF(B525&gt;IO!$B$8,0,IO!$B$8-Model!B525)</f>
        <v>0</v>
      </c>
      <c r="E525" s="33">
        <f>IO!$B$5*C525-IO!$B$6*D525</f>
        <v>4080</v>
      </c>
      <c r="G525" s="47">
        <v>524</v>
      </c>
      <c r="H525" s="38" t="s">
        <v>8</v>
      </c>
      <c r="I525" s="38">
        <v>5</v>
      </c>
      <c r="J525" s="39">
        <v>0.68110170729332442</v>
      </c>
      <c r="K525" s="40">
        <f>ROUND(NORMINV(J525,IO!$B$10,IO!$B$11),0)</f>
        <v>105</v>
      </c>
      <c r="L525" s="40">
        <f>MIN(K525,IO!$B$4+IO!$B$8)</f>
        <v>102</v>
      </c>
      <c r="M525" s="40">
        <f>IF(L525-I525&gt;IO!$B$4,Model!L525-Model!I525-IO!$B$4,0)</f>
        <v>0</v>
      </c>
      <c r="N525" s="41">
        <f>IO!$B$5*Model!L525-IO!$B$6*Model!M525</f>
        <v>4080</v>
      </c>
    </row>
    <row r="526" spans="1:14" x14ac:dyDescent="0.35">
      <c r="A526" s="30">
        <v>525</v>
      </c>
      <c r="B526" s="31">
        <v>1</v>
      </c>
      <c r="C526" s="32">
        <f>(IO!$B$4+IO!$B$8)</f>
        <v>102</v>
      </c>
      <c r="D526" s="32">
        <f>IF(B526&gt;IO!$B$8,0,IO!$B$8-Model!B526)</f>
        <v>1</v>
      </c>
      <c r="E526" s="33">
        <f>IO!$B$5*C526-IO!$B$6*D526</f>
        <v>3980</v>
      </c>
      <c r="G526" s="47">
        <v>525</v>
      </c>
      <c r="H526" s="38" t="s">
        <v>9</v>
      </c>
      <c r="I526" s="38">
        <v>1</v>
      </c>
      <c r="J526" s="39">
        <v>0.87356058317425367</v>
      </c>
      <c r="K526" s="40">
        <f>ROUND(NORMINV(J526,IO!$B$10,IO!$B$11),0)</f>
        <v>109</v>
      </c>
      <c r="L526" s="40">
        <f>MIN(K526,IO!$B$4+IO!$B$8)</f>
        <v>102</v>
      </c>
      <c r="M526" s="40">
        <f>IF(L526-I526&gt;IO!$B$4,Model!L526-Model!I526-IO!$B$4,0)</f>
        <v>1</v>
      </c>
      <c r="N526" s="41">
        <f>IO!$B$5*Model!L526-IO!$B$6*Model!M526</f>
        <v>3980</v>
      </c>
    </row>
    <row r="527" spans="1:14" x14ac:dyDescent="0.35">
      <c r="A527" s="30">
        <v>526</v>
      </c>
      <c r="B527" s="31">
        <v>5</v>
      </c>
      <c r="C527" s="32">
        <f>(IO!$B$4+IO!$B$8)</f>
        <v>102</v>
      </c>
      <c r="D527" s="32">
        <f>IF(B527&gt;IO!$B$8,0,IO!$B$8-Model!B527)</f>
        <v>0</v>
      </c>
      <c r="E527" s="33">
        <f>IO!$B$5*C527-IO!$B$6*D527</f>
        <v>4080</v>
      </c>
      <c r="G527" s="47">
        <v>526</v>
      </c>
      <c r="H527" s="38" t="s">
        <v>7</v>
      </c>
      <c r="I527" s="38">
        <v>5</v>
      </c>
      <c r="J527" s="39">
        <v>0.66867120930153034</v>
      </c>
      <c r="K527" s="40">
        <f>ROUND(NORMINV(J527,IO!$B$10,IO!$B$11),0)</f>
        <v>105</v>
      </c>
      <c r="L527" s="40">
        <f>MIN(K527,IO!$B$4+IO!$B$8)</f>
        <v>102</v>
      </c>
      <c r="M527" s="40">
        <f>IF(L527-I527&gt;IO!$B$4,Model!L527-Model!I527-IO!$B$4,0)</f>
        <v>0</v>
      </c>
      <c r="N527" s="41">
        <f>IO!$B$5*Model!L527-IO!$B$6*Model!M527</f>
        <v>4080</v>
      </c>
    </row>
    <row r="528" spans="1:14" x14ac:dyDescent="0.35">
      <c r="A528" s="30">
        <v>527</v>
      </c>
      <c r="B528" s="31">
        <v>3</v>
      </c>
      <c r="C528" s="32">
        <f>(IO!$B$4+IO!$B$8)</f>
        <v>102</v>
      </c>
      <c r="D528" s="32">
        <f>IF(B528&gt;IO!$B$8,0,IO!$B$8-Model!B528)</f>
        <v>0</v>
      </c>
      <c r="E528" s="33">
        <f>IO!$B$5*C528-IO!$B$6*D528</f>
        <v>4080</v>
      </c>
      <c r="G528" s="47">
        <v>527</v>
      </c>
      <c r="H528" s="38" t="s">
        <v>8</v>
      </c>
      <c r="I528" s="38">
        <v>3</v>
      </c>
      <c r="J528" s="39">
        <v>0.426276848251815</v>
      </c>
      <c r="K528" s="40">
        <f>ROUND(NORMINV(J528,IO!$B$10,IO!$B$11),0)</f>
        <v>102</v>
      </c>
      <c r="L528" s="40">
        <f>MIN(K528,IO!$B$4+IO!$B$8)</f>
        <v>102</v>
      </c>
      <c r="M528" s="40">
        <f>IF(L528-I528&gt;IO!$B$4,Model!L528-Model!I528-IO!$B$4,0)</f>
        <v>0</v>
      </c>
      <c r="N528" s="41">
        <f>IO!$B$5*Model!L528-IO!$B$6*Model!M528</f>
        <v>4080</v>
      </c>
    </row>
    <row r="529" spans="1:14" x14ac:dyDescent="0.35">
      <c r="A529" s="30">
        <v>528</v>
      </c>
      <c r="B529" s="31">
        <v>0</v>
      </c>
      <c r="C529" s="32">
        <f>(IO!$B$4+IO!$B$8)</f>
        <v>102</v>
      </c>
      <c r="D529" s="32">
        <f>IF(B529&gt;IO!$B$8,0,IO!$B$8-Model!B529)</f>
        <v>2</v>
      </c>
      <c r="E529" s="33">
        <f>IO!$B$5*C529-IO!$B$6*D529</f>
        <v>3880</v>
      </c>
      <c r="G529" s="47">
        <v>528</v>
      </c>
      <c r="H529" s="38" t="s">
        <v>9</v>
      </c>
      <c r="I529" s="38">
        <v>0</v>
      </c>
      <c r="J529" s="39">
        <v>0.68618364257955766</v>
      </c>
      <c r="K529" s="40">
        <f>ROUND(NORMINV(J529,IO!$B$10,IO!$B$11),0)</f>
        <v>105</v>
      </c>
      <c r="L529" s="40">
        <f>MIN(K529,IO!$B$4+IO!$B$8)</f>
        <v>102</v>
      </c>
      <c r="M529" s="40">
        <f>IF(L529-I529&gt;IO!$B$4,Model!L529-Model!I529-IO!$B$4,0)</f>
        <v>2</v>
      </c>
      <c r="N529" s="41">
        <f>IO!$B$5*Model!L529-IO!$B$6*Model!M529</f>
        <v>3880</v>
      </c>
    </row>
    <row r="530" spans="1:14" x14ac:dyDescent="0.35">
      <c r="A530" s="30">
        <v>529</v>
      </c>
      <c r="B530" s="31">
        <v>5</v>
      </c>
      <c r="C530" s="32">
        <f>(IO!$B$4+IO!$B$8)</f>
        <v>102</v>
      </c>
      <c r="D530" s="32">
        <f>IF(B530&gt;IO!$B$8,0,IO!$B$8-Model!B530)</f>
        <v>0</v>
      </c>
      <c r="E530" s="33">
        <f>IO!$B$5*C530-IO!$B$6*D530</f>
        <v>4080</v>
      </c>
      <c r="G530" s="47">
        <v>529</v>
      </c>
      <c r="H530" s="38" t="s">
        <v>7</v>
      </c>
      <c r="I530" s="38">
        <v>5</v>
      </c>
      <c r="J530" s="39">
        <v>0.28919780945493856</v>
      </c>
      <c r="K530" s="40">
        <f>ROUND(NORMINV(J530,IO!$B$10,IO!$B$11),0)</f>
        <v>100</v>
      </c>
      <c r="L530" s="40">
        <f>MIN(K530,IO!$B$4+IO!$B$8)</f>
        <v>100</v>
      </c>
      <c r="M530" s="40">
        <f>IF(L530-I530&gt;IO!$B$4,Model!L530-Model!I530-IO!$B$4,0)</f>
        <v>0</v>
      </c>
      <c r="N530" s="41">
        <f>IO!$B$5*Model!L530-IO!$B$6*Model!M530</f>
        <v>4000</v>
      </c>
    </row>
    <row r="531" spans="1:14" x14ac:dyDescent="0.35">
      <c r="A531" s="30">
        <v>530</v>
      </c>
      <c r="B531" s="31">
        <v>4</v>
      </c>
      <c r="C531" s="32">
        <f>(IO!$B$4+IO!$B$8)</f>
        <v>102</v>
      </c>
      <c r="D531" s="32">
        <f>IF(B531&gt;IO!$B$8,0,IO!$B$8-Model!B531)</f>
        <v>0</v>
      </c>
      <c r="E531" s="33">
        <f>IO!$B$5*C531-IO!$B$6*D531</f>
        <v>4080</v>
      </c>
      <c r="G531" s="47">
        <v>530</v>
      </c>
      <c r="H531" s="38" t="s">
        <v>8</v>
      </c>
      <c r="I531" s="38">
        <v>4</v>
      </c>
      <c r="J531" s="39">
        <v>0.6774550081915911</v>
      </c>
      <c r="K531" s="40">
        <f>ROUND(NORMINV(J531,IO!$B$10,IO!$B$11),0)</f>
        <v>105</v>
      </c>
      <c r="L531" s="40">
        <f>MIN(K531,IO!$B$4+IO!$B$8)</f>
        <v>102</v>
      </c>
      <c r="M531" s="40">
        <f>IF(L531-I531&gt;IO!$B$4,Model!L531-Model!I531-IO!$B$4,0)</f>
        <v>0</v>
      </c>
      <c r="N531" s="41">
        <f>IO!$B$5*Model!L531-IO!$B$6*Model!M531</f>
        <v>4080</v>
      </c>
    </row>
    <row r="532" spans="1:14" x14ac:dyDescent="0.35">
      <c r="A532" s="30">
        <v>531</v>
      </c>
      <c r="B532" s="31">
        <v>0</v>
      </c>
      <c r="C532" s="32">
        <f>(IO!$B$4+IO!$B$8)</f>
        <v>102</v>
      </c>
      <c r="D532" s="32">
        <f>IF(B532&gt;IO!$B$8,0,IO!$B$8-Model!B532)</f>
        <v>2</v>
      </c>
      <c r="E532" s="33">
        <f>IO!$B$5*C532-IO!$B$6*D532</f>
        <v>3880</v>
      </c>
      <c r="G532" s="47">
        <v>531</v>
      </c>
      <c r="H532" s="38" t="s">
        <v>9</v>
      </c>
      <c r="I532" s="38">
        <v>0</v>
      </c>
      <c r="J532" s="39">
        <v>0.56909777756930269</v>
      </c>
      <c r="K532" s="40">
        <f>ROUND(NORMINV(J532,IO!$B$10,IO!$B$11),0)</f>
        <v>104</v>
      </c>
      <c r="L532" s="40">
        <f>MIN(K532,IO!$B$4+IO!$B$8)</f>
        <v>102</v>
      </c>
      <c r="M532" s="40">
        <f>IF(L532-I532&gt;IO!$B$4,Model!L532-Model!I532-IO!$B$4,0)</f>
        <v>2</v>
      </c>
      <c r="N532" s="41">
        <f>IO!$B$5*Model!L532-IO!$B$6*Model!M532</f>
        <v>3880</v>
      </c>
    </row>
    <row r="533" spans="1:14" x14ac:dyDescent="0.35">
      <c r="A533" s="30">
        <v>532</v>
      </c>
      <c r="B533" s="31">
        <v>8</v>
      </c>
      <c r="C533" s="32">
        <f>(IO!$B$4+IO!$B$8)</f>
        <v>102</v>
      </c>
      <c r="D533" s="32">
        <f>IF(B533&gt;IO!$B$8,0,IO!$B$8-Model!B533)</f>
        <v>0</v>
      </c>
      <c r="E533" s="33">
        <f>IO!$B$5*C533-IO!$B$6*D533</f>
        <v>4080</v>
      </c>
      <c r="G533" s="47">
        <v>532</v>
      </c>
      <c r="H533" s="38" t="s">
        <v>7</v>
      </c>
      <c r="I533" s="38">
        <v>8</v>
      </c>
      <c r="J533" s="39">
        <v>0.4725874855719262</v>
      </c>
      <c r="K533" s="40">
        <f>ROUND(NORMINV(J533,IO!$B$10,IO!$B$11),0)</f>
        <v>103</v>
      </c>
      <c r="L533" s="40">
        <f>MIN(K533,IO!$B$4+IO!$B$8)</f>
        <v>102</v>
      </c>
      <c r="M533" s="40">
        <f>IF(L533-I533&gt;IO!$B$4,Model!L533-Model!I533-IO!$B$4,0)</f>
        <v>0</v>
      </c>
      <c r="N533" s="41">
        <f>IO!$B$5*Model!L533-IO!$B$6*Model!M533</f>
        <v>4080</v>
      </c>
    </row>
    <row r="534" spans="1:14" x14ac:dyDescent="0.35">
      <c r="A534" s="30">
        <v>533</v>
      </c>
      <c r="B534" s="31">
        <v>0</v>
      </c>
      <c r="C534" s="32">
        <f>(IO!$B$4+IO!$B$8)</f>
        <v>102</v>
      </c>
      <c r="D534" s="32">
        <f>IF(B534&gt;IO!$B$8,0,IO!$B$8-Model!B534)</f>
        <v>2</v>
      </c>
      <c r="E534" s="33">
        <f>IO!$B$5*C534-IO!$B$6*D534</f>
        <v>3880</v>
      </c>
      <c r="G534" s="47">
        <v>533</v>
      </c>
      <c r="H534" s="38" t="s">
        <v>8</v>
      </c>
      <c r="I534" s="38">
        <v>0</v>
      </c>
      <c r="J534" s="39">
        <v>0.47249177232774098</v>
      </c>
      <c r="K534" s="40">
        <f>ROUND(NORMINV(J534,IO!$B$10,IO!$B$11),0)</f>
        <v>103</v>
      </c>
      <c r="L534" s="40">
        <f>MIN(K534,IO!$B$4+IO!$B$8)</f>
        <v>102</v>
      </c>
      <c r="M534" s="40">
        <f>IF(L534-I534&gt;IO!$B$4,Model!L534-Model!I534-IO!$B$4,0)</f>
        <v>2</v>
      </c>
      <c r="N534" s="41">
        <f>IO!$B$5*Model!L534-IO!$B$6*Model!M534</f>
        <v>3880</v>
      </c>
    </row>
    <row r="535" spans="1:14" x14ac:dyDescent="0.35">
      <c r="A535" s="30">
        <v>534</v>
      </c>
      <c r="B535" s="31">
        <v>3</v>
      </c>
      <c r="C535" s="32">
        <f>(IO!$B$4+IO!$B$8)</f>
        <v>102</v>
      </c>
      <c r="D535" s="32">
        <f>IF(B535&gt;IO!$B$8,0,IO!$B$8-Model!B535)</f>
        <v>0</v>
      </c>
      <c r="E535" s="33">
        <f>IO!$B$5*C535-IO!$B$6*D535</f>
        <v>4080</v>
      </c>
      <c r="G535" s="47">
        <v>534</v>
      </c>
      <c r="H535" s="38" t="s">
        <v>9</v>
      </c>
      <c r="I535" s="38">
        <v>3</v>
      </c>
      <c r="J535" s="39">
        <v>0.74567125423377967</v>
      </c>
      <c r="K535" s="40">
        <f>ROUND(NORMINV(J535,IO!$B$10,IO!$B$11),0)</f>
        <v>106</v>
      </c>
      <c r="L535" s="40">
        <f>MIN(K535,IO!$B$4+IO!$B$8)</f>
        <v>102</v>
      </c>
      <c r="M535" s="40">
        <f>IF(L535-I535&gt;IO!$B$4,Model!L535-Model!I535-IO!$B$4,0)</f>
        <v>0</v>
      </c>
      <c r="N535" s="41">
        <f>IO!$B$5*Model!L535-IO!$B$6*Model!M535</f>
        <v>4080</v>
      </c>
    </row>
    <row r="536" spans="1:14" x14ac:dyDescent="0.35">
      <c r="A536" s="30">
        <v>535</v>
      </c>
      <c r="B536" s="31">
        <v>2</v>
      </c>
      <c r="C536" s="32">
        <f>(IO!$B$4+IO!$B$8)</f>
        <v>102</v>
      </c>
      <c r="D536" s="32">
        <f>IF(B536&gt;IO!$B$8,0,IO!$B$8-Model!B536)</f>
        <v>0</v>
      </c>
      <c r="E536" s="33">
        <f>IO!$B$5*C536-IO!$B$6*D536</f>
        <v>4080</v>
      </c>
      <c r="G536" s="47">
        <v>535</v>
      </c>
      <c r="H536" s="38" t="s">
        <v>7</v>
      </c>
      <c r="I536" s="38">
        <v>2</v>
      </c>
      <c r="J536" s="39">
        <v>0.69977589664720097</v>
      </c>
      <c r="K536" s="40">
        <f>ROUND(NORMINV(J536,IO!$B$10,IO!$B$11),0)</f>
        <v>106</v>
      </c>
      <c r="L536" s="40">
        <f>MIN(K536,IO!$B$4+IO!$B$8)</f>
        <v>102</v>
      </c>
      <c r="M536" s="40">
        <f>IF(L536-I536&gt;IO!$B$4,Model!L536-Model!I536-IO!$B$4,0)</f>
        <v>0</v>
      </c>
      <c r="N536" s="41">
        <f>IO!$B$5*Model!L536-IO!$B$6*Model!M536</f>
        <v>4080</v>
      </c>
    </row>
    <row r="537" spans="1:14" x14ac:dyDescent="0.35">
      <c r="A537" s="30">
        <v>536</v>
      </c>
      <c r="B537" s="31">
        <v>2</v>
      </c>
      <c r="C537" s="32">
        <f>(IO!$B$4+IO!$B$8)</f>
        <v>102</v>
      </c>
      <c r="D537" s="32">
        <f>IF(B537&gt;IO!$B$8,0,IO!$B$8-Model!B537)</f>
        <v>0</v>
      </c>
      <c r="E537" s="33">
        <f>IO!$B$5*C537-IO!$B$6*D537</f>
        <v>4080</v>
      </c>
      <c r="G537" s="47">
        <v>536</v>
      </c>
      <c r="H537" s="38" t="s">
        <v>8</v>
      </c>
      <c r="I537" s="38">
        <v>2</v>
      </c>
      <c r="J537" s="39">
        <v>0.2715466764276081</v>
      </c>
      <c r="K537" s="40">
        <f>ROUND(NORMINV(J537,IO!$B$10,IO!$B$11),0)</f>
        <v>100</v>
      </c>
      <c r="L537" s="40">
        <f>MIN(K537,IO!$B$4+IO!$B$8)</f>
        <v>100</v>
      </c>
      <c r="M537" s="40">
        <f>IF(L537-I537&gt;IO!$B$4,Model!L537-Model!I537-IO!$B$4,0)</f>
        <v>0</v>
      </c>
      <c r="N537" s="41">
        <f>IO!$B$5*Model!L537-IO!$B$6*Model!M537</f>
        <v>4000</v>
      </c>
    </row>
    <row r="538" spans="1:14" x14ac:dyDescent="0.35">
      <c r="A538" s="30">
        <v>537</v>
      </c>
      <c r="B538" s="31">
        <v>2</v>
      </c>
      <c r="C538" s="32">
        <f>(IO!$B$4+IO!$B$8)</f>
        <v>102</v>
      </c>
      <c r="D538" s="32">
        <f>IF(B538&gt;IO!$B$8,0,IO!$B$8-Model!B538)</f>
        <v>0</v>
      </c>
      <c r="E538" s="33">
        <f>IO!$B$5*C538-IO!$B$6*D538</f>
        <v>4080</v>
      </c>
      <c r="G538" s="47">
        <v>537</v>
      </c>
      <c r="H538" s="38" t="s">
        <v>9</v>
      </c>
      <c r="I538" s="38">
        <v>2</v>
      </c>
      <c r="J538" s="39">
        <v>7.1626524883999565E-2</v>
      </c>
      <c r="K538" s="40">
        <f>ROUND(NORMINV(J538,IO!$B$10,IO!$B$11),0)</f>
        <v>96</v>
      </c>
      <c r="L538" s="40">
        <f>MIN(K538,IO!$B$4+IO!$B$8)</f>
        <v>96</v>
      </c>
      <c r="M538" s="40">
        <f>IF(L538-I538&gt;IO!$B$4,Model!L538-Model!I538-IO!$B$4,0)</f>
        <v>0</v>
      </c>
      <c r="N538" s="41">
        <f>IO!$B$5*Model!L538-IO!$B$6*Model!M538</f>
        <v>3840</v>
      </c>
    </row>
    <row r="539" spans="1:14" x14ac:dyDescent="0.35">
      <c r="A539" s="30">
        <v>538</v>
      </c>
      <c r="B539" s="31">
        <v>4</v>
      </c>
      <c r="C539" s="32">
        <f>(IO!$B$4+IO!$B$8)</f>
        <v>102</v>
      </c>
      <c r="D539" s="32">
        <f>IF(B539&gt;IO!$B$8,0,IO!$B$8-Model!B539)</f>
        <v>0</v>
      </c>
      <c r="E539" s="33">
        <f>IO!$B$5*C539-IO!$B$6*D539</f>
        <v>4080</v>
      </c>
      <c r="G539" s="47">
        <v>538</v>
      </c>
      <c r="H539" s="38" t="s">
        <v>7</v>
      </c>
      <c r="I539" s="38">
        <v>4</v>
      </c>
      <c r="J539" s="39">
        <v>0.71400961115409012</v>
      </c>
      <c r="K539" s="40">
        <f>ROUND(NORMINV(J539,IO!$B$10,IO!$B$11),0)</f>
        <v>106</v>
      </c>
      <c r="L539" s="40">
        <f>MIN(K539,IO!$B$4+IO!$B$8)</f>
        <v>102</v>
      </c>
      <c r="M539" s="40">
        <f>IF(L539-I539&gt;IO!$B$4,Model!L539-Model!I539-IO!$B$4,0)</f>
        <v>0</v>
      </c>
      <c r="N539" s="41">
        <f>IO!$B$5*Model!L539-IO!$B$6*Model!M539</f>
        <v>4080</v>
      </c>
    </row>
    <row r="540" spans="1:14" x14ac:dyDescent="0.35">
      <c r="A540" s="30">
        <v>539</v>
      </c>
      <c r="B540" s="31">
        <v>5</v>
      </c>
      <c r="C540" s="32">
        <f>(IO!$B$4+IO!$B$8)</f>
        <v>102</v>
      </c>
      <c r="D540" s="32">
        <f>IF(B540&gt;IO!$B$8,0,IO!$B$8-Model!B540)</f>
        <v>0</v>
      </c>
      <c r="E540" s="33">
        <f>IO!$B$5*C540-IO!$B$6*D540</f>
        <v>4080</v>
      </c>
      <c r="G540" s="47">
        <v>539</v>
      </c>
      <c r="H540" s="38" t="s">
        <v>8</v>
      </c>
      <c r="I540" s="38">
        <v>5</v>
      </c>
      <c r="J540" s="39">
        <v>0.35398316393194407</v>
      </c>
      <c r="K540" s="40">
        <f>ROUND(NORMINV(J540,IO!$B$10,IO!$B$11),0)</f>
        <v>101</v>
      </c>
      <c r="L540" s="40">
        <f>MIN(K540,IO!$B$4+IO!$B$8)</f>
        <v>101</v>
      </c>
      <c r="M540" s="40">
        <f>IF(L540-I540&gt;IO!$B$4,Model!L540-Model!I540-IO!$B$4,0)</f>
        <v>0</v>
      </c>
      <c r="N540" s="41">
        <f>IO!$B$5*Model!L540-IO!$B$6*Model!M540</f>
        <v>4040</v>
      </c>
    </row>
    <row r="541" spans="1:14" x14ac:dyDescent="0.35">
      <c r="A541" s="30">
        <v>540</v>
      </c>
      <c r="B541" s="31">
        <v>1</v>
      </c>
      <c r="C541" s="32">
        <f>(IO!$B$4+IO!$B$8)</f>
        <v>102</v>
      </c>
      <c r="D541" s="32">
        <f>IF(B541&gt;IO!$B$8,0,IO!$B$8-Model!B541)</f>
        <v>1</v>
      </c>
      <c r="E541" s="33">
        <f>IO!$B$5*C541-IO!$B$6*D541</f>
        <v>3980</v>
      </c>
      <c r="G541" s="47">
        <v>540</v>
      </c>
      <c r="H541" s="38" t="s">
        <v>9</v>
      </c>
      <c r="I541" s="38">
        <v>1</v>
      </c>
      <c r="J541" s="39">
        <v>0.47169812883774542</v>
      </c>
      <c r="K541" s="40">
        <f>ROUND(NORMINV(J541,IO!$B$10,IO!$B$11),0)</f>
        <v>103</v>
      </c>
      <c r="L541" s="40">
        <f>MIN(K541,IO!$B$4+IO!$B$8)</f>
        <v>102</v>
      </c>
      <c r="M541" s="40">
        <f>IF(L541-I541&gt;IO!$B$4,Model!L541-Model!I541-IO!$B$4,0)</f>
        <v>1</v>
      </c>
      <c r="N541" s="41">
        <f>IO!$B$5*Model!L541-IO!$B$6*Model!M541</f>
        <v>3980</v>
      </c>
    </row>
    <row r="542" spans="1:14" x14ac:dyDescent="0.35">
      <c r="A542" s="30">
        <v>541</v>
      </c>
      <c r="B542" s="31">
        <v>1</v>
      </c>
      <c r="C542" s="32">
        <f>(IO!$B$4+IO!$B$8)</f>
        <v>102</v>
      </c>
      <c r="D542" s="32">
        <f>IF(B542&gt;IO!$B$8,0,IO!$B$8-Model!B542)</f>
        <v>1</v>
      </c>
      <c r="E542" s="33">
        <f>IO!$B$5*C542-IO!$B$6*D542</f>
        <v>3980</v>
      </c>
      <c r="G542" s="47">
        <v>541</v>
      </c>
      <c r="H542" s="38" t="s">
        <v>7</v>
      </c>
      <c r="I542" s="38">
        <v>1</v>
      </c>
      <c r="J542" s="39">
        <v>0.78129050448746451</v>
      </c>
      <c r="K542" s="40">
        <f>ROUND(NORMINV(J542,IO!$B$10,IO!$B$11),0)</f>
        <v>107</v>
      </c>
      <c r="L542" s="40">
        <f>MIN(K542,IO!$B$4+IO!$B$8)</f>
        <v>102</v>
      </c>
      <c r="M542" s="40">
        <f>IF(L542-I542&gt;IO!$B$4,Model!L542-Model!I542-IO!$B$4,0)</f>
        <v>1</v>
      </c>
      <c r="N542" s="41">
        <f>IO!$B$5*Model!L542-IO!$B$6*Model!M542</f>
        <v>3980</v>
      </c>
    </row>
    <row r="543" spans="1:14" x14ac:dyDescent="0.35">
      <c r="A543" s="30">
        <v>542</v>
      </c>
      <c r="B543" s="31">
        <v>1</v>
      </c>
      <c r="C543" s="32">
        <f>(IO!$B$4+IO!$B$8)</f>
        <v>102</v>
      </c>
      <c r="D543" s="32">
        <f>IF(B543&gt;IO!$B$8,0,IO!$B$8-Model!B543)</f>
        <v>1</v>
      </c>
      <c r="E543" s="33">
        <f>IO!$B$5*C543-IO!$B$6*D543</f>
        <v>3980</v>
      </c>
      <c r="G543" s="47">
        <v>542</v>
      </c>
      <c r="H543" s="38" t="s">
        <v>8</v>
      </c>
      <c r="I543" s="38">
        <v>1</v>
      </c>
      <c r="J543" s="39">
        <v>0.70268129555052028</v>
      </c>
      <c r="K543" s="40">
        <f>ROUND(NORMINV(J543,IO!$B$10,IO!$B$11),0)</f>
        <v>106</v>
      </c>
      <c r="L543" s="40">
        <f>MIN(K543,IO!$B$4+IO!$B$8)</f>
        <v>102</v>
      </c>
      <c r="M543" s="40">
        <f>IF(L543-I543&gt;IO!$B$4,Model!L543-Model!I543-IO!$B$4,0)</f>
        <v>1</v>
      </c>
      <c r="N543" s="41">
        <f>IO!$B$5*Model!L543-IO!$B$6*Model!M543</f>
        <v>3980</v>
      </c>
    </row>
    <row r="544" spans="1:14" x14ac:dyDescent="0.35">
      <c r="A544" s="30">
        <v>543</v>
      </c>
      <c r="B544" s="31">
        <v>0</v>
      </c>
      <c r="C544" s="32">
        <f>(IO!$B$4+IO!$B$8)</f>
        <v>102</v>
      </c>
      <c r="D544" s="32">
        <f>IF(B544&gt;IO!$B$8,0,IO!$B$8-Model!B544)</f>
        <v>2</v>
      </c>
      <c r="E544" s="33">
        <f>IO!$B$5*C544-IO!$B$6*D544</f>
        <v>3880</v>
      </c>
      <c r="G544" s="47">
        <v>543</v>
      </c>
      <c r="H544" s="38" t="s">
        <v>9</v>
      </c>
      <c r="I544" s="38">
        <v>0</v>
      </c>
      <c r="J544" s="39">
        <v>0.66568858127133557</v>
      </c>
      <c r="K544" s="40">
        <f>ROUND(NORMINV(J544,IO!$B$10,IO!$B$11),0)</f>
        <v>105</v>
      </c>
      <c r="L544" s="40">
        <f>MIN(K544,IO!$B$4+IO!$B$8)</f>
        <v>102</v>
      </c>
      <c r="M544" s="40">
        <f>IF(L544-I544&gt;IO!$B$4,Model!L544-Model!I544-IO!$B$4,0)</f>
        <v>2</v>
      </c>
      <c r="N544" s="41">
        <f>IO!$B$5*Model!L544-IO!$B$6*Model!M544</f>
        <v>3880</v>
      </c>
    </row>
    <row r="545" spans="1:14" x14ac:dyDescent="0.35">
      <c r="A545" s="30">
        <v>544</v>
      </c>
      <c r="B545" s="31">
        <v>3</v>
      </c>
      <c r="C545" s="32">
        <f>(IO!$B$4+IO!$B$8)</f>
        <v>102</v>
      </c>
      <c r="D545" s="32">
        <f>IF(B545&gt;IO!$B$8,0,IO!$B$8-Model!B545)</f>
        <v>0</v>
      </c>
      <c r="E545" s="33">
        <f>IO!$B$5*C545-IO!$B$6*D545</f>
        <v>4080</v>
      </c>
      <c r="G545" s="47">
        <v>544</v>
      </c>
      <c r="H545" s="38" t="s">
        <v>7</v>
      </c>
      <c r="I545" s="38">
        <v>3</v>
      </c>
      <c r="J545" s="39">
        <v>0.39114277383946194</v>
      </c>
      <c r="K545" s="40">
        <f>ROUND(NORMINV(J545,IO!$B$10,IO!$B$11),0)</f>
        <v>102</v>
      </c>
      <c r="L545" s="40">
        <f>MIN(K545,IO!$B$4+IO!$B$8)</f>
        <v>102</v>
      </c>
      <c r="M545" s="40">
        <f>IF(L545-I545&gt;IO!$B$4,Model!L545-Model!I545-IO!$B$4,0)</f>
        <v>0</v>
      </c>
      <c r="N545" s="41">
        <f>IO!$B$5*Model!L545-IO!$B$6*Model!M545</f>
        <v>4080</v>
      </c>
    </row>
    <row r="546" spans="1:14" x14ac:dyDescent="0.35">
      <c r="A546" s="30">
        <v>545</v>
      </c>
      <c r="B546" s="31">
        <v>1</v>
      </c>
      <c r="C546" s="32">
        <f>(IO!$B$4+IO!$B$8)</f>
        <v>102</v>
      </c>
      <c r="D546" s="32">
        <f>IF(B546&gt;IO!$B$8,0,IO!$B$8-Model!B546)</f>
        <v>1</v>
      </c>
      <c r="E546" s="33">
        <f>IO!$B$5*C546-IO!$B$6*D546</f>
        <v>3980</v>
      </c>
      <c r="G546" s="47">
        <v>545</v>
      </c>
      <c r="H546" s="38" t="s">
        <v>8</v>
      </c>
      <c r="I546" s="38">
        <v>1</v>
      </c>
      <c r="J546" s="39">
        <v>0.34855842326778197</v>
      </c>
      <c r="K546" s="40">
        <f>ROUND(NORMINV(J546,IO!$B$10,IO!$B$11),0)</f>
        <v>101</v>
      </c>
      <c r="L546" s="40">
        <f>MIN(K546,IO!$B$4+IO!$B$8)</f>
        <v>101</v>
      </c>
      <c r="M546" s="40">
        <f>IF(L546-I546&gt;IO!$B$4,Model!L546-Model!I546-IO!$B$4,0)</f>
        <v>0</v>
      </c>
      <c r="N546" s="41">
        <f>IO!$B$5*Model!L546-IO!$B$6*Model!M546</f>
        <v>4040</v>
      </c>
    </row>
    <row r="547" spans="1:14" x14ac:dyDescent="0.35">
      <c r="A547" s="30">
        <v>546</v>
      </c>
      <c r="B547" s="31">
        <v>0</v>
      </c>
      <c r="C547" s="32">
        <f>(IO!$B$4+IO!$B$8)</f>
        <v>102</v>
      </c>
      <c r="D547" s="32">
        <f>IF(B547&gt;IO!$B$8,0,IO!$B$8-Model!B547)</f>
        <v>2</v>
      </c>
      <c r="E547" s="33">
        <f>IO!$B$5*C547-IO!$B$6*D547</f>
        <v>3880</v>
      </c>
      <c r="G547" s="47">
        <v>546</v>
      </c>
      <c r="H547" s="38" t="s">
        <v>9</v>
      </c>
      <c r="I547" s="38">
        <v>0</v>
      </c>
      <c r="J547" s="39">
        <v>0.46843509262925465</v>
      </c>
      <c r="K547" s="40">
        <f>ROUND(NORMINV(J547,IO!$B$10,IO!$B$11),0)</f>
        <v>103</v>
      </c>
      <c r="L547" s="40">
        <f>MIN(K547,IO!$B$4+IO!$B$8)</f>
        <v>102</v>
      </c>
      <c r="M547" s="40">
        <f>IF(L547-I547&gt;IO!$B$4,Model!L547-Model!I547-IO!$B$4,0)</f>
        <v>2</v>
      </c>
      <c r="N547" s="41">
        <f>IO!$B$5*Model!L547-IO!$B$6*Model!M547</f>
        <v>3880</v>
      </c>
    </row>
    <row r="548" spans="1:14" x14ac:dyDescent="0.35">
      <c r="A548" s="30">
        <v>547</v>
      </c>
      <c r="B548" s="31">
        <v>3</v>
      </c>
      <c r="C548" s="32">
        <f>(IO!$B$4+IO!$B$8)</f>
        <v>102</v>
      </c>
      <c r="D548" s="32">
        <f>IF(B548&gt;IO!$B$8,0,IO!$B$8-Model!B548)</f>
        <v>0</v>
      </c>
      <c r="E548" s="33">
        <f>IO!$B$5*C548-IO!$B$6*D548</f>
        <v>4080</v>
      </c>
      <c r="G548" s="47">
        <v>547</v>
      </c>
      <c r="H548" s="38" t="s">
        <v>7</v>
      </c>
      <c r="I548" s="38">
        <v>3</v>
      </c>
      <c r="J548" s="39">
        <v>0.24812845501822534</v>
      </c>
      <c r="K548" s="40">
        <f>ROUND(NORMINV(J548,IO!$B$10,IO!$B$11),0)</f>
        <v>100</v>
      </c>
      <c r="L548" s="40">
        <f>MIN(K548,IO!$B$4+IO!$B$8)</f>
        <v>100</v>
      </c>
      <c r="M548" s="40">
        <f>IF(L548-I548&gt;IO!$B$4,Model!L548-Model!I548-IO!$B$4,0)</f>
        <v>0</v>
      </c>
      <c r="N548" s="41">
        <f>IO!$B$5*Model!L548-IO!$B$6*Model!M548</f>
        <v>4000</v>
      </c>
    </row>
    <row r="549" spans="1:14" x14ac:dyDescent="0.35">
      <c r="A549" s="30">
        <v>548</v>
      </c>
      <c r="B549" s="31">
        <v>1</v>
      </c>
      <c r="C549" s="32">
        <f>(IO!$B$4+IO!$B$8)</f>
        <v>102</v>
      </c>
      <c r="D549" s="32">
        <f>IF(B549&gt;IO!$B$8,0,IO!$B$8-Model!B549)</f>
        <v>1</v>
      </c>
      <c r="E549" s="33">
        <f>IO!$B$5*C549-IO!$B$6*D549</f>
        <v>3980</v>
      </c>
      <c r="G549" s="47">
        <v>548</v>
      </c>
      <c r="H549" s="38" t="s">
        <v>8</v>
      </c>
      <c r="I549" s="38">
        <v>1</v>
      </c>
      <c r="J549" s="39">
        <v>0.37124029551589599</v>
      </c>
      <c r="K549" s="40">
        <f>ROUND(NORMINV(J549,IO!$B$10,IO!$B$11),0)</f>
        <v>101</v>
      </c>
      <c r="L549" s="40">
        <f>MIN(K549,IO!$B$4+IO!$B$8)</f>
        <v>101</v>
      </c>
      <c r="M549" s="40">
        <f>IF(L549-I549&gt;IO!$B$4,Model!L549-Model!I549-IO!$B$4,0)</f>
        <v>0</v>
      </c>
      <c r="N549" s="41">
        <f>IO!$B$5*Model!L549-IO!$B$6*Model!M549</f>
        <v>4040</v>
      </c>
    </row>
    <row r="550" spans="1:14" x14ac:dyDescent="0.35">
      <c r="A550" s="30">
        <v>549</v>
      </c>
      <c r="B550" s="31">
        <v>1</v>
      </c>
      <c r="C550" s="32">
        <f>(IO!$B$4+IO!$B$8)</f>
        <v>102</v>
      </c>
      <c r="D550" s="32">
        <f>IF(B550&gt;IO!$B$8,0,IO!$B$8-Model!B550)</f>
        <v>1</v>
      </c>
      <c r="E550" s="33">
        <f>IO!$B$5*C550-IO!$B$6*D550</f>
        <v>3980</v>
      </c>
      <c r="G550" s="47">
        <v>549</v>
      </c>
      <c r="H550" s="38" t="s">
        <v>9</v>
      </c>
      <c r="I550" s="38">
        <v>1</v>
      </c>
      <c r="J550" s="39">
        <v>3.9241063144213939E-2</v>
      </c>
      <c r="K550" s="40">
        <f>ROUND(NORMINV(J550,IO!$B$10,IO!$B$11),0)</f>
        <v>94</v>
      </c>
      <c r="L550" s="40">
        <f>MIN(K550,IO!$B$4+IO!$B$8)</f>
        <v>94</v>
      </c>
      <c r="M550" s="40">
        <f>IF(L550-I550&gt;IO!$B$4,Model!L550-Model!I550-IO!$B$4,0)</f>
        <v>0</v>
      </c>
      <c r="N550" s="41">
        <f>IO!$B$5*Model!L550-IO!$B$6*Model!M550</f>
        <v>3760</v>
      </c>
    </row>
    <row r="551" spans="1:14" x14ac:dyDescent="0.35">
      <c r="A551" s="30">
        <v>550</v>
      </c>
      <c r="B551" s="31">
        <v>5</v>
      </c>
      <c r="C551" s="32">
        <f>(IO!$B$4+IO!$B$8)</f>
        <v>102</v>
      </c>
      <c r="D551" s="32">
        <f>IF(B551&gt;IO!$B$8,0,IO!$B$8-Model!B551)</f>
        <v>0</v>
      </c>
      <c r="E551" s="33">
        <f>IO!$B$5*C551-IO!$B$6*D551</f>
        <v>4080</v>
      </c>
      <c r="G551" s="47">
        <v>550</v>
      </c>
      <c r="H551" s="38" t="s">
        <v>7</v>
      </c>
      <c r="I551" s="38">
        <v>5</v>
      </c>
      <c r="J551" s="39">
        <v>0.57421430777297122</v>
      </c>
      <c r="K551" s="40">
        <f>ROUND(NORMINV(J551,IO!$B$10,IO!$B$11),0)</f>
        <v>104</v>
      </c>
      <c r="L551" s="40">
        <f>MIN(K551,IO!$B$4+IO!$B$8)</f>
        <v>102</v>
      </c>
      <c r="M551" s="40">
        <f>IF(L551-I551&gt;IO!$B$4,Model!L551-Model!I551-IO!$B$4,0)</f>
        <v>0</v>
      </c>
      <c r="N551" s="41">
        <f>IO!$B$5*Model!L551-IO!$B$6*Model!M551</f>
        <v>4080</v>
      </c>
    </row>
    <row r="552" spans="1:14" x14ac:dyDescent="0.35">
      <c r="A552" s="30">
        <v>551</v>
      </c>
      <c r="B552" s="31">
        <v>4</v>
      </c>
      <c r="C552" s="32">
        <f>(IO!$B$4+IO!$B$8)</f>
        <v>102</v>
      </c>
      <c r="D552" s="32">
        <f>IF(B552&gt;IO!$B$8,0,IO!$B$8-Model!B552)</f>
        <v>0</v>
      </c>
      <c r="E552" s="33">
        <f>IO!$B$5*C552-IO!$B$6*D552</f>
        <v>4080</v>
      </c>
      <c r="G552" s="47">
        <v>551</v>
      </c>
      <c r="H552" s="38" t="s">
        <v>8</v>
      </c>
      <c r="I552" s="38">
        <v>4</v>
      </c>
      <c r="J552" s="39">
        <v>0.15075742237077017</v>
      </c>
      <c r="K552" s="40">
        <f>ROUND(NORMINV(J552,IO!$B$10,IO!$B$11),0)</f>
        <v>98</v>
      </c>
      <c r="L552" s="40">
        <f>MIN(K552,IO!$B$4+IO!$B$8)</f>
        <v>98</v>
      </c>
      <c r="M552" s="40">
        <f>IF(L552-I552&gt;IO!$B$4,Model!L552-Model!I552-IO!$B$4,0)</f>
        <v>0</v>
      </c>
      <c r="N552" s="41">
        <f>IO!$B$5*Model!L552-IO!$B$6*Model!M552</f>
        <v>3920</v>
      </c>
    </row>
    <row r="553" spans="1:14" x14ac:dyDescent="0.35">
      <c r="A553" s="30">
        <v>552</v>
      </c>
      <c r="B553" s="31">
        <v>0</v>
      </c>
      <c r="C553" s="32">
        <f>(IO!$B$4+IO!$B$8)</f>
        <v>102</v>
      </c>
      <c r="D553" s="32">
        <f>IF(B553&gt;IO!$B$8,0,IO!$B$8-Model!B553)</f>
        <v>2</v>
      </c>
      <c r="E553" s="33">
        <f>IO!$B$5*C553-IO!$B$6*D553</f>
        <v>3880</v>
      </c>
      <c r="G553" s="47">
        <v>552</v>
      </c>
      <c r="H553" s="38" t="s">
        <v>9</v>
      </c>
      <c r="I553" s="38">
        <v>0</v>
      </c>
      <c r="J553" s="39">
        <v>3.7451152629162432E-2</v>
      </c>
      <c r="K553" s="40">
        <f>ROUND(NORMINV(J553,IO!$B$10,IO!$B$11),0)</f>
        <v>94</v>
      </c>
      <c r="L553" s="40">
        <f>MIN(K553,IO!$B$4+IO!$B$8)</f>
        <v>94</v>
      </c>
      <c r="M553" s="40">
        <f>IF(L553-I553&gt;IO!$B$4,Model!L553-Model!I553-IO!$B$4,0)</f>
        <v>0</v>
      </c>
      <c r="N553" s="41">
        <f>IO!$B$5*Model!L553-IO!$B$6*Model!M553</f>
        <v>3760</v>
      </c>
    </row>
    <row r="554" spans="1:14" x14ac:dyDescent="0.35">
      <c r="A554" s="30">
        <v>553</v>
      </c>
      <c r="B554" s="31">
        <v>5</v>
      </c>
      <c r="C554" s="32">
        <f>(IO!$B$4+IO!$B$8)</f>
        <v>102</v>
      </c>
      <c r="D554" s="32">
        <f>IF(B554&gt;IO!$B$8,0,IO!$B$8-Model!B554)</f>
        <v>0</v>
      </c>
      <c r="E554" s="33">
        <f>IO!$B$5*C554-IO!$B$6*D554</f>
        <v>4080</v>
      </c>
      <c r="G554" s="47">
        <v>553</v>
      </c>
      <c r="H554" s="38" t="s">
        <v>7</v>
      </c>
      <c r="I554" s="38">
        <v>5</v>
      </c>
      <c r="J554" s="39">
        <v>0.44389824314430082</v>
      </c>
      <c r="K554" s="40">
        <f>ROUND(NORMINV(J554,IO!$B$10,IO!$B$11),0)</f>
        <v>102</v>
      </c>
      <c r="L554" s="40">
        <f>MIN(K554,IO!$B$4+IO!$B$8)</f>
        <v>102</v>
      </c>
      <c r="M554" s="40">
        <f>IF(L554-I554&gt;IO!$B$4,Model!L554-Model!I554-IO!$B$4,0)</f>
        <v>0</v>
      </c>
      <c r="N554" s="41">
        <f>IO!$B$5*Model!L554-IO!$B$6*Model!M554</f>
        <v>4080</v>
      </c>
    </row>
    <row r="555" spans="1:14" x14ac:dyDescent="0.35">
      <c r="A555" s="30">
        <v>554</v>
      </c>
      <c r="B555" s="31">
        <v>2</v>
      </c>
      <c r="C555" s="32">
        <f>(IO!$B$4+IO!$B$8)</f>
        <v>102</v>
      </c>
      <c r="D555" s="32">
        <f>IF(B555&gt;IO!$B$8,0,IO!$B$8-Model!B555)</f>
        <v>0</v>
      </c>
      <c r="E555" s="33">
        <f>IO!$B$5*C555-IO!$B$6*D555</f>
        <v>4080</v>
      </c>
      <c r="G555" s="47">
        <v>554</v>
      </c>
      <c r="H555" s="38" t="s">
        <v>8</v>
      </c>
      <c r="I555" s="38">
        <v>2</v>
      </c>
      <c r="J555" s="39">
        <v>0.46236013088175254</v>
      </c>
      <c r="K555" s="40">
        <f>ROUND(NORMINV(J555,IO!$B$10,IO!$B$11),0)</f>
        <v>103</v>
      </c>
      <c r="L555" s="40">
        <f>MIN(K555,IO!$B$4+IO!$B$8)</f>
        <v>102</v>
      </c>
      <c r="M555" s="40">
        <f>IF(L555-I555&gt;IO!$B$4,Model!L555-Model!I555-IO!$B$4,0)</f>
        <v>0</v>
      </c>
      <c r="N555" s="41">
        <f>IO!$B$5*Model!L555-IO!$B$6*Model!M555</f>
        <v>4080</v>
      </c>
    </row>
    <row r="556" spans="1:14" x14ac:dyDescent="0.35">
      <c r="A556" s="30">
        <v>555</v>
      </c>
      <c r="B556" s="31">
        <v>1</v>
      </c>
      <c r="C556" s="32">
        <f>(IO!$B$4+IO!$B$8)</f>
        <v>102</v>
      </c>
      <c r="D556" s="32">
        <f>IF(B556&gt;IO!$B$8,0,IO!$B$8-Model!B556)</f>
        <v>1</v>
      </c>
      <c r="E556" s="33">
        <f>IO!$B$5*C556-IO!$B$6*D556</f>
        <v>3980</v>
      </c>
      <c r="G556" s="47">
        <v>555</v>
      </c>
      <c r="H556" s="38" t="s">
        <v>9</v>
      </c>
      <c r="I556" s="38">
        <v>1</v>
      </c>
      <c r="J556" s="39">
        <v>0.10732484459108915</v>
      </c>
      <c r="K556" s="40">
        <f>ROUND(NORMINV(J556,IO!$B$10,IO!$B$11),0)</f>
        <v>97</v>
      </c>
      <c r="L556" s="40">
        <f>MIN(K556,IO!$B$4+IO!$B$8)</f>
        <v>97</v>
      </c>
      <c r="M556" s="40">
        <f>IF(L556-I556&gt;IO!$B$4,Model!L556-Model!I556-IO!$B$4,0)</f>
        <v>0</v>
      </c>
      <c r="N556" s="41">
        <f>IO!$B$5*Model!L556-IO!$B$6*Model!M556</f>
        <v>3880</v>
      </c>
    </row>
    <row r="557" spans="1:14" x14ac:dyDescent="0.35">
      <c r="A557" s="30">
        <v>556</v>
      </c>
      <c r="B557" s="31">
        <v>6</v>
      </c>
      <c r="C557" s="32">
        <f>(IO!$B$4+IO!$B$8)</f>
        <v>102</v>
      </c>
      <c r="D557" s="32">
        <f>IF(B557&gt;IO!$B$8,0,IO!$B$8-Model!B557)</f>
        <v>0</v>
      </c>
      <c r="E557" s="33">
        <f>IO!$B$5*C557-IO!$B$6*D557</f>
        <v>4080</v>
      </c>
      <c r="G557" s="47">
        <v>556</v>
      </c>
      <c r="H557" s="38" t="s">
        <v>7</v>
      </c>
      <c r="I557" s="38">
        <v>6</v>
      </c>
      <c r="J557" s="39">
        <v>0.95609714925648925</v>
      </c>
      <c r="K557" s="40">
        <f>ROUND(NORMINV(J557,IO!$B$10,IO!$B$11),0)</f>
        <v>112</v>
      </c>
      <c r="L557" s="40">
        <f>MIN(K557,IO!$B$4+IO!$B$8)</f>
        <v>102</v>
      </c>
      <c r="M557" s="40">
        <f>IF(L557-I557&gt;IO!$B$4,Model!L557-Model!I557-IO!$B$4,0)</f>
        <v>0</v>
      </c>
      <c r="N557" s="41">
        <f>IO!$B$5*Model!L557-IO!$B$6*Model!M557</f>
        <v>4080</v>
      </c>
    </row>
    <row r="558" spans="1:14" x14ac:dyDescent="0.35">
      <c r="A558" s="30">
        <v>557</v>
      </c>
      <c r="B558" s="31">
        <v>2</v>
      </c>
      <c r="C558" s="32">
        <f>(IO!$B$4+IO!$B$8)</f>
        <v>102</v>
      </c>
      <c r="D558" s="32">
        <f>IF(B558&gt;IO!$B$8,0,IO!$B$8-Model!B558)</f>
        <v>0</v>
      </c>
      <c r="E558" s="33">
        <f>IO!$B$5*C558-IO!$B$6*D558</f>
        <v>4080</v>
      </c>
      <c r="G558" s="47">
        <v>557</v>
      </c>
      <c r="H558" s="38" t="s">
        <v>8</v>
      </c>
      <c r="I558" s="38">
        <v>2</v>
      </c>
      <c r="J558" s="39">
        <v>0.91785737555232572</v>
      </c>
      <c r="K558" s="40">
        <f>ROUND(NORMINV(J558,IO!$B$10,IO!$B$11),0)</f>
        <v>110</v>
      </c>
      <c r="L558" s="40">
        <f>MIN(K558,IO!$B$4+IO!$B$8)</f>
        <v>102</v>
      </c>
      <c r="M558" s="40">
        <f>IF(L558-I558&gt;IO!$B$4,Model!L558-Model!I558-IO!$B$4,0)</f>
        <v>0</v>
      </c>
      <c r="N558" s="41">
        <f>IO!$B$5*Model!L558-IO!$B$6*Model!M558</f>
        <v>4080</v>
      </c>
    </row>
    <row r="559" spans="1:14" x14ac:dyDescent="0.35">
      <c r="A559" s="30">
        <v>558</v>
      </c>
      <c r="B559" s="31">
        <v>0</v>
      </c>
      <c r="C559" s="32">
        <f>(IO!$B$4+IO!$B$8)</f>
        <v>102</v>
      </c>
      <c r="D559" s="32">
        <f>IF(B559&gt;IO!$B$8,0,IO!$B$8-Model!B559)</f>
        <v>2</v>
      </c>
      <c r="E559" s="33">
        <f>IO!$B$5*C559-IO!$B$6*D559</f>
        <v>3880</v>
      </c>
      <c r="G559" s="47">
        <v>558</v>
      </c>
      <c r="H559" s="38" t="s">
        <v>9</v>
      </c>
      <c r="I559" s="38">
        <v>0</v>
      </c>
      <c r="J559" s="39">
        <v>0.23348709996336303</v>
      </c>
      <c r="K559" s="40">
        <f>ROUND(NORMINV(J559,IO!$B$10,IO!$B$11),0)</f>
        <v>99</v>
      </c>
      <c r="L559" s="40">
        <f>MIN(K559,IO!$B$4+IO!$B$8)</f>
        <v>99</v>
      </c>
      <c r="M559" s="40">
        <f>IF(L559-I559&gt;IO!$B$4,Model!L559-Model!I559-IO!$B$4,0)</f>
        <v>0</v>
      </c>
      <c r="N559" s="41">
        <f>IO!$B$5*Model!L559-IO!$B$6*Model!M559</f>
        <v>3960</v>
      </c>
    </row>
    <row r="560" spans="1:14" x14ac:dyDescent="0.35">
      <c r="A560" s="30">
        <v>559</v>
      </c>
      <c r="B560" s="31">
        <v>3</v>
      </c>
      <c r="C560" s="32">
        <f>(IO!$B$4+IO!$B$8)</f>
        <v>102</v>
      </c>
      <c r="D560" s="32">
        <f>IF(B560&gt;IO!$B$8,0,IO!$B$8-Model!B560)</f>
        <v>0</v>
      </c>
      <c r="E560" s="33">
        <f>IO!$B$5*C560-IO!$B$6*D560</f>
        <v>4080</v>
      </c>
      <c r="G560" s="47">
        <v>559</v>
      </c>
      <c r="H560" s="38" t="s">
        <v>7</v>
      </c>
      <c r="I560" s="38">
        <v>3</v>
      </c>
      <c r="J560" s="39">
        <v>0.26831402872425814</v>
      </c>
      <c r="K560" s="40">
        <f>ROUND(NORMINV(J560,IO!$B$10,IO!$B$11),0)</f>
        <v>100</v>
      </c>
      <c r="L560" s="40">
        <f>MIN(K560,IO!$B$4+IO!$B$8)</f>
        <v>100</v>
      </c>
      <c r="M560" s="40">
        <f>IF(L560-I560&gt;IO!$B$4,Model!L560-Model!I560-IO!$B$4,0)</f>
        <v>0</v>
      </c>
      <c r="N560" s="41">
        <f>IO!$B$5*Model!L560-IO!$B$6*Model!M560</f>
        <v>4000</v>
      </c>
    </row>
    <row r="561" spans="1:14" x14ac:dyDescent="0.35">
      <c r="A561" s="30">
        <v>560</v>
      </c>
      <c r="B561" s="31">
        <v>2</v>
      </c>
      <c r="C561" s="32">
        <f>(IO!$B$4+IO!$B$8)</f>
        <v>102</v>
      </c>
      <c r="D561" s="32">
        <f>IF(B561&gt;IO!$B$8,0,IO!$B$8-Model!B561)</f>
        <v>0</v>
      </c>
      <c r="E561" s="33">
        <f>IO!$B$5*C561-IO!$B$6*D561</f>
        <v>4080</v>
      </c>
      <c r="G561" s="47">
        <v>560</v>
      </c>
      <c r="H561" s="38" t="s">
        <v>8</v>
      </c>
      <c r="I561" s="38">
        <v>2</v>
      </c>
      <c r="J561" s="39">
        <v>0.99013888724395516</v>
      </c>
      <c r="K561" s="40">
        <f>ROUND(NORMINV(J561,IO!$B$10,IO!$B$11),0)</f>
        <v>115</v>
      </c>
      <c r="L561" s="40">
        <f>MIN(K561,IO!$B$4+IO!$B$8)</f>
        <v>102</v>
      </c>
      <c r="M561" s="40">
        <f>IF(L561-I561&gt;IO!$B$4,Model!L561-Model!I561-IO!$B$4,0)</f>
        <v>0</v>
      </c>
      <c r="N561" s="41">
        <f>IO!$B$5*Model!L561-IO!$B$6*Model!M561</f>
        <v>4080</v>
      </c>
    </row>
    <row r="562" spans="1:14" x14ac:dyDescent="0.35">
      <c r="A562" s="30">
        <v>561</v>
      </c>
      <c r="B562" s="31">
        <v>2</v>
      </c>
      <c r="C562" s="32">
        <f>(IO!$B$4+IO!$B$8)</f>
        <v>102</v>
      </c>
      <c r="D562" s="32">
        <f>IF(B562&gt;IO!$B$8,0,IO!$B$8-Model!B562)</f>
        <v>0</v>
      </c>
      <c r="E562" s="33">
        <f>IO!$B$5*C562-IO!$B$6*D562</f>
        <v>4080</v>
      </c>
      <c r="G562" s="47">
        <v>561</v>
      </c>
      <c r="H562" s="38" t="s">
        <v>9</v>
      </c>
      <c r="I562" s="38">
        <v>2</v>
      </c>
      <c r="J562" s="39">
        <v>0.67722189514141684</v>
      </c>
      <c r="K562" s="40">
        <f>ROUND(NORMINV(J562,IO!$B$10,IO!$B$11),0)</f>
        <v>105</v>
      </c>
      <c r="L562" s="40">
        <f>MIN(K562,IO!$B$4+IO!$B$8)</f>
        <v>102</v>
      </c>
      <c r="M562" s="40">
        <f>IF(L562-I562&gt;IO!$B$4,Model!L562-Model!I562-IO!$B$4,0)</f>
        <v>0</v>
      </c>
      <c r="N562" s="41">
        <f>IO!$B$5*Model!L562-IO!$B$6*Model!M562</f>
        <v>4080</v>
      </c>
    </row>
    <row r="563" spans="1:14" x14ac:dyDescent="0.35">
      <c r="A563" s="30">
        <v>562</v>
      </c>
      <c r="B563" s="31">
        <v>0</v>
      </c>
      <c r="C563" s="32">
        <f>(IO!$B$4+IO!$B$8)</f>
        <v>102</v>
      </c>
      <c r="D563" s="32">
        <f>IF(B563&gt;IO!$B$8,0,IO!$B$8-Model!B563)</f>
        <v>2</v>
      </c>
      <c r="E563" s="33">
        <f>IO!$B$5*C563-IO!$B$6*D563</f>
        <v>3880</v>
      </c>
      <c r="G563" s="47">
        <v>562</v>
      </c>
      <c r="H563" s="38" t="s">
        <v>7</v>
      </c>
      <c r="I563" s="38">
        <v>0</v>
      </c>
      <c r="J563" s="39">
        <v>0.72976166730573799</v>
      </c>
      <c r="K563" s="40">
        <f>ROUND(NORMINV(J563,IO!$B$10,IO!$B$11),0)</f>
        <v>106</v>
      </c>
      <c r="L563" s="40">
        <f>MIN(K563,IO!$B$4+IO!$B$8)</f>
        <v>102</v>
      </c>
      <c r="M563" s="40">
        <f>IF(L563-I563&gt;IO!$B$4,Model!L563-Model!I563-IO!$B$4,0)</f>
        <v>2</v>
      </c>
      <c r="N563" s="41">
        <f>IO!$B$5*Model!L563-IO!$B$6*Model!M563</f>
        <v>3880</v>
      </c>
    </row>
    <row r="564" spans="1:14" x14ac:dyDescent="0.35">
      <c r="A564" s="30">
        <v>563</v>
      </c>
      <c r="B564" s="31">
        <v>5</v>
      </c>
      <c r="C564" s="32">
        <f>(IO!$B$4+IO!$B$8)</f>
        <v>102</v>
      </c>
      <c r="D564" s="32">
        <f>IF(B564&gt;IO!$B$8,0,IO!$B$8-Model!B564)</f>
        <v>0</v>
      </c>
      <c r="E564" s="33">
        <f>IO!$B$5*C564-IO!$B$6*D564</f>
        <v>4080</v>
      </c>
      <c r="G564" s="47">
        <v>563</v>
      </c>
      <c r="H564" s="38" t="s">
        <v>8</v>
      </c>
      <c r="I564" s="38">
        <v>5</v>
      </c>
      <c r="J564" s="39">
        <v>0.62822174172894596</v>
      </c>
      <c r="K564" s="40">
        <f>ROUND(NORMINV(J564,IO!$B$10,IO!$B$11),0)</f>
        <v>105</v>
      </c>
      <c r="L564" s="40">
        <f>MIN(K564,IO!$B$4+IO!$B$8)</f>
        <v>102</v>
      </c>
      <c r="M564" s="40">
        <f>IF(L564-I564&gt;IO!$B$4,Model!L564-Model!I564-IO!$B$4,0)</f>
        <v>0</v>
      </c>
      <c r="N564" s="41">
        <f>IO!$B$5*Model!L564-IO!$B$6*Model!M564</f>
        <v>4080</v>
      </c>
    </row>
    <row r="565" spans="1:14" x14ac:dyDescent="0.35">
      <c r="A565" s="30">
        <v>564</v>
      </c>
      <c r="B565" s="31">
        <v>0</v>
      </c>
      <c r="C565" s="32">
        <f>(IO!$B$4+IO!$B$8)</f>
        <v>102</v>
      </c>
      <c r="D565" s="32">
        <f>IF(B565&gt;IO!$B$8,0,IO!$B$8-Model!B565)</f>
        <v>2</v>
      </c>
      <c r="E565" s="33">
        <f>IO!$B$5*C565-IO!$B$6*D565</f>
        <v>3880</v>
      </c>
      <c r="G565" s="47">
        <v>564</v>
      </c>
      <c r="H565" s="38" t="s">
        <v>9</v>
      </c>
      <c r="I565" s="38">
        <v>0</v>
      </c>
      <c r="J565" s="39">
        <v>0.96554302685847559</v>
      </c>
      <c r="K565" s="40">
        <f>ROUND(NORMINV(J565,IO!$B$10,IO!$B$11),0)</f>
        <v>112</v>
      </c>
      <c r="L565" s="40">
        <f>MIN(K565,IO!$B$4+IO!$B$8)</f>
        <v>102</v>
      </c>
      <c r="M565" s="40">
        <f>IF(L565-I565&gt;IO!$B$4,Model!L565-Model!I565-IO!$B$4,0)</f>
        <v>2</v>
      </c>
      <c r="N565" s="41">
        <f>IO!$B$5*Model!L565-IO!$B$6*Model!M565</f>
        <v>3880</v>
      </c>
    </row>
    <row r="566" spans="1:14" x14ac:dyDescent="0.35">
      <c r="A566" s="30">
        <v>565</v>
      </c>
      <c r="B566" s="31">
        <v>3</v>
      </c>
      <c r="C566" s="32">
        <f>(IO!$B$4+IO!$B$8)</f>
        <v>102</v>
      </c>
      <c r="D566" s="32">
        <f>IF(B566&gt;IO!$B$8,0,IO!$B$8-Model!B566)</f>
        <v>0</v>
      </c>
      <c r="E566" s="33">
        <f>IO!$B$5*C566-IO!$B$6*D566</f>
        <v>4080</v>
      </c>
      <c r="G566" s="47">
        <v>565</v>
      </c>
      <c r="H566" s="38" t="s">
        <v>7</v>
      </c>
      <c r="I566" s="38">
        <v>3</v>
      </c>
      <c r="J566" s="39">
        <v>0.24546519513937781</v>
      </c>
      <c r="K566" s="40">
        <f>ROUND(NORMINV(J566,IO!$B$10,IO!$B$11),0)</f>
        <v>100</v>
      </c>
      <c r="L566" s="40">
        <f>MIN(K566,IO!$B$4+IO!$B$8)</f>
        <v>100</v>
      </c>
      <c r="M566" s="40">
        <f>IF(L566-I566&gt;IO!$B$4,Model!L566-Model!I566-IO!$B$4,0)</f>
        <v>0</v>
      </c>
      <c r="N566" s="41">
        <f>IO!$B$5*Model!L566-IO!$B$6*Model!M566</f>
        <v>4000</v>
      </c>
    </row>
    <row r="567" spans="1:14" x14ac:dyDescent="0.35">
      <c r="A567" s="30">
        <v>566</v>
      </c>
      <c r="B567" s="31">
        <v>2</v>
      </c>
      <c r="C567" s="32">
        <f>(IO!$B$4+IO!$B$8)</f>
        <v>102</v>
      </c>
      <c r="D567" s="32">
        <f>IF(B567&gt;IO!$B$8,0,IO!$B$8-Model!B567)</f>
        <v>0</v>
      </c>
      <c r="E567" s="33">
        <f>IO!$B$5*C567-IO!$B$6*D567</f>
        <v>4080</v>
      </c>
      <c r="G567" s="47">
        <v>566</v>
      </c>
      <c r="H567" s="38" t="s">
        <v>8</v>
      </c>
      <c r="I567" s="38">
        <v>2</v>
      </c>
      <c r="J567" s="39">
        <v>0.86987227466218053</v>
      </c>
      <c r="K567" s="40">
        <f>ROUND(NORMINV(J567,IO!$B$10,IO!$B$11),0)</f>
        <v>109</v>
      </c>
      <c r="L567" s="40">
        <f>MIN(K567,IO!$B$4+IO!$B$8)</f>
        <v>102</v>
      </c>
      <c r="M567" s="40">
        <f>IF(L567-I567&gt;IO!$B$4,Model!L567-Model!I567-IO!$B$4,0)</f>
        <v>0</v>
      </c>
      <c r="N567" s="41">
        <f>IO!$B$5*Model!L567-IO!$B$6*Model!M567</f>
        <v>4080</v>
      </c>
    </row>
    <row r="568" spans="1:14" x14ac:dyDescent="0.35">
      <c r="A568" s="30">
        <v>567</v>
      </c>
      <c r="B568" s="31">
        <v>0</v>
      </c>
      <c r="C568" s="32">
        <f>(IO!$B$4+IO!$B$8)</f>
        <v>102</v>
      </c>
      <c r="D568" s="32">
        <f>IF(B568&gt;IO!$B$8,0,IO!$B$8-Model!B568)</f>
        <v>2</v>
      </c>
      <c r="E568" s="33">
        <f>IO!$B$5*C568-IO!$B$6*D568</f>
        <v>3880</v>
      </c>
      <c r="G568" s="47">
        <v>567</v>
      </c>
      <c r="H568" s="38" t="s">
        <v>9</v>
      </c>
      <c r="I568" s="38">
        <v>0</v>
      </c>
      <c r="J568" s="39">
        <v>0.50646308845495536</v>
      </c>
      <c r="K568" s="40">
        <f>ROUND(NORMINV(J568,IO!$B$10,IO!$B$11),0)</f>
        <v>103</v>
      </c>
      <c r="L568" s="40">
        <f>MIN(K568,IO!$B$4+IO!$B$8)</f>
        <v>102</v>
      </c>
      <c r="M568" s="40">
        <f>IF(L568-I568&gt;IO!$B$4,Model!L568-Model!I568-IO!$B$4,0)</f>
        <v>2</v>
      </c>
      <c r="N568" s="41">
        <f>IO!$B$5*Model!L568-IO!$B$6*Model!M568</f>
        <v>3880</v>
      </c>
    </row>
    <row r="569" spans="1:14" x14ac:dyDescent="0.35">
      <c r="A569" s="30">
        <v>568</v>
      </c>
      <c r="B569" s="31">
        <v>4</v>
      </c>
      <c r="C569" s="32">
        <f>(IO!$B$4+IO!$B$8)</f>
        <v>102</v>
      </c>
      <c r="D569" s="32">
        <f>IF(B569&gt;IO!$B$8,0,IO!$B$8-Model!B569)</f>
        <v>0</v>
      </c>
      <c r="E569" s="33">
        <f>IO!$B$5*C569-IO!$B$6*D569</f>
        <v>4080</v>
      </c>
      <c r="G569" s="47">
        <v>568</v>
      </c>
      <c r="H569" s="38" t="s">
        <v>7</v>
      </c>
      <c r="I569" s="38">
        <v>4</v>
      </c>
      <c r="J569" s="39">
        <v>0.67819463537672253</v>
      </c>
      <c r="K569" s="40">
        <f>ROUND(NORMINV(J569,IO!$B$10,IO!$B$11),0)</f>
        <v>105</v>
      </c>
      <c r="L569" s="40">
        <f>MIN(K569,IO!$B$4+IO!$B$8)</f>
        <v>102</v>
      </c>
      <c r="M569" s="40">
        <f>IF(L569-I569&gt;IO!$B$4,Model!L569-Model!I569-IO!$B$4,0)</f>
        <v>0</v>
      </c>
      <c r="N569" s="41">
        <f>IO!$B$5*Model!L569-IO!$B$6*Model!M569</f>
        <v>4080</v>
      </c>
    </row>
    <row r="570" spans="1:14" x14ac:dyDescent="0.35">
      <c r="A570" s="30">
        <v>569</v>
      </c>
      <c r="B570" s="31">
        <v>3</v>
      </c>
      <c r="C570" s="32">
        <f>(IO!$B$4+IO!$B$8)</f>
        <v>102</v>
      </c>
      <c r="D570" s="32">
        <f>IF(B570&gt;IO!$B$8,0,IO!$B$8-Model!B570)</f>
        <v>0</v>
      </c>
      <c r="E570" s="33">
        <f>IO!$B$5*C570-IO!$B$6*D570</f>
        <v>4080</v>
      </c>
      <c r="G570" s="47">
        <v>569</v>
      </c>
      <c r="H570" s="38" t="s">
        <v>8</v>
      </c>
      <c r="I570" s="38">
        <v>3</v>
      </c>
      <c r="J570" s="39">
        <v>0.3824676511994981</v>
      </c>
      <c r="K570" s="40">
        <f>ROUND(NORMINV(J570,IO!$B$10,IO!$B$11),0)</f>
        <v>102</v>
      </c>
      <c r="L570" s="40">
        <f>MIN(K570,IO!$B$4+IO!$B$8)</f>
        <v>102</v>
      </c>
      <c r="M570" s="40">
        <f>IF(L570-I570&gt;IO!$B$4,Model!L570-Model!I570-IO!$B$4,0)</f>
        <v>0</v>
      </c>
      <c r="N570" s="41">
        <f>IO!$B$5*Model!L570-IO!$B$6*Model!M570</f>
        <v>4080</v>
      </c>
    </row>
    <row r="571" spans="1:14" x14ac:dyDescent="0.35">
      <c r="A571" s="30">
        <v>570</v>
      </c>
      <c r="B571" s="31">
        <v>0</v>
      </c>
      <c r="C571" s="32">
        <f>(IO!$B$4+IO!$B$8)</f>
        <v>102</v>
      </c>
      <c r="D571" s="32">
        <f>IF(B571&gt;IO!$B$8,0,IO!$B$8-Model!B571)</f>
        <v>2</v>
      </c>
      <c r="E571" s="33">
        <f>IO!$B$5*C571-IO!$B$6*D571</f>
        <v>3880</v>
      </c>
      <c r="G571" s="47">
        <v>570</v>
      </c>
      <c r="H571" s="38" t="s">
        <v>9</v>
      </c>
      <c r="I571" s="38">
        <v>0</v>
      </c>
      <c r="J571" s="39">
        <v>4.5125848903620924E-2</v>
      </c>
      <c r="K571" s="40">
        <f>ROUND(NORMINV(J571,IO!$B$10,IO!$B$11),0)</f>
        <v>95</v>
      </c>
      <c r="L571" s="40">
        <f>MIN(K571,IO!$B$4+IO!$B$8)</f>
        <v>95</v>
      </c>
      <c r="M571" s="40">
        <f>IF(L571-I571&gt;IO!$B$4,Model!L571-Model!I571-IO!$B$4,0)</f>
        <v>0</v>
      </c>
      <c r="N571" s="41">
        <f>IO!$B$5*Model!L571-IO!$B$6*Model!M571</f>
        <v>3800</v>
      </c>
    </row>
    <row r="572" spans="1:14" x14ac:dyDescent="0.35">
      <c r="A572" s="30">
        <v>571</v>
      </c>
      <c r="B572" s="31">
        <v>6</v>
      </c>
      <c r="C572" s="32">
        <f>(IO!$B$4+IO!$B$8)</f>
        <v>102</v>
      </c>
      <c r="D572" s="32">
        <f>IF(B572&gt;IO!$B$8,0,IO!$B$8-Model!B572)</f>
        <v>0</v>
      </c>
      <c r="E572" s="33">
        <f>IO!$B$5*C572-IO!$B$6*D572</f>
        <v>4080</v>
      </c>
      <c r="G572" s="47">
        <v>571</v>
      </c>
      <c r="H572" s="38" t="s">
        <v>7</v>
      </c>
      <c r="I572" s="38">
        <v>6</v>
      </c>
      <c r="J572" s="39">
        <v>0.71299454659920714</v>
      </c>
      <c r="K572" s="40">
        <f>ROUND(NORMINV(J572,IO!$B$10,IO!$B$11),0)</f>
        <v>106</v>
      </c>
      <c r="L572" s="40">
        <f>MIN(K572,IO!$B$4+IO!$B$8)</f>
        <v>102</v>
      </c>
      <c r="M572" s="40">
        <f>IF(L572-I572&gt;IO!$B$4,Model!L572-Model!I572-IO!$B$4,0)</f>
        <v>0</v>
      </c>
      <c r="N572" s="41">
        <f>IO!$B$5*Model!L572-IO!$B$6*Model!M572</f>
        <v>4080</v>
      </c>
    </row>
    <row r="573" spans="1:14" x14ac:dyDescent="0.35">
      <c r="A573" s="30">
        <v>572</v>
      </c>
      <c r="B573" s="31">
        <v>3</v>
      </c>
      <c r="C573" s="32">
        <f>(IO!$B$4+IO!$B$8)</f>
        <v>102</v>
      </c>
      <c r="D573" s="32">
        <f>IF(B573&gt;IO!$B$8,0,IO!$B$8-Model!B573)</f>
        <v>0</v>
      </c>
      <c r="E573" s="33">
        <f>IO!$B$5*C573-IO!$B$6*D573</f>
        <v>4080</v>
      </c>
      <c r="G573" s="47">
        <v>572</v>
      </c>
      <c r="H573" s="38" t="s">
        <v>8</v>
      </c>
      <c r="I573" s="38">
        <v>3</v>
      </c>
      <c r="J573" s="39">
        <v>0.5941668488174513</v>
      </c>
      <c r="K573" s="40">
        <f>ROUND(NORMINV(J573,IO!$B$10,IO!$B$11),0)</f>
        <v>104</v>
      </c>
      <c r="L573" s="40">
        <f>MIN(K573,IO!$B$4+IO!$B$8)</f>
        <v>102</v>
      </c>
      <c r="M573" s="40">
        <f>IF(L573-I573&gt;IO!$B$4,Model!L573-Model!I573-IO!$B$4,0)</f>
        <v>0</v>
      </c>
      <c r="N573" s="41">
        <f>IO!$B$5*Model!L573-IO!$B$6*Model!M573</f>
        <v>4080</v>
      </c>
    </row>
    <row r="574" spans="1:14" x14ac:dyDescent="0.35">
      <c r="A574" s="30">
        <v>573</v>
      </c>
      <c r="B574" s="31">
        <v>1</v>
      </c>
      <c r="C574" s="32">
        <f>(IO!$B$4+IO!$B$8)</f>
        <v>102</v>
      </c>
      <c r="D574" s="32">
        <f>IF(B574&gt;IO!$B$8,0,IO!$B$8-Model!B574)</f>
        <v>1</v>
      </c>
      <c r="E574" s="33">
        <f>IO!$B$5*C574-IO!$B$6*D574</f>
        <v>3980</v>
      </c>
      <c r="G574" s="47">
        <v>573</v>
      </c>
      <c r="H574" s="38" t="s">
        <v>9</v>
      </c>
      <c r="I574" s="38">
        <v>1</v>
      </c>
      <c r="J574" s="39">
        <v>0.18945148424074676</v>
      </c>
      <c r="K574" s="40">
        <f>ROUND(NORMINV(J574,IO!$B$10,IO!$B$11),0)</f>
        <v>99</v>
      </c>
      <c r="L574" s="40">
        <f>MIN(K574,IO!$B$4+IO!$B$8)</f>
        <v>99</v>
      </c>
      <c r="M574" s="40">
        <f>IF(L574-I574&gt;IO!$B$4,Model!L574-Model!I574-IO!$B$4,0)</f>
        <v>0</v>
      </c>
      <c r="N574" s="41">
        <f>IO!$B$5*Model!L574-IO!$B$6*Model!M574</f>
        <v>3960</v>
      </c>
    </row>
    <row r="575" spans="1:14" x14ac:dyDescent="0.35">
      <c r="A575" s="30">
        <v>574</v>
      </c>
      <c r="B575" s="31">
        <v>6</v>
      </c>
      <c r="C575" s="32">
        <f>(IO!$B$4+IO!$B$8)</f>
        <v>102</v>
      </c>
      <c r="D575" s="32">
        <f>IF(B575&gt;IO!$B$8,0,IO!$B$8-Model!B575)</f>
        <v>0</v>
      </c>
      <c r="E575" s="33">
        <f>IO!$B$5*C575-IO!$B$6*D575</f>
        <v>4080</v>
      </c>
      <c r="G575" s="47">
        <v>574</v>
      </c>
      <c r="H575" s="38" t="s">
        <v>7</v>
      </c>
      <c r="I575" s="38">
        <v>6</v>
      </c>
      <c r="J575" s="39">
        <v>0.31756607109571944</v>
      </c>
      <c r="K575" s="40">
        <f>ROUND(NORMINV(J575,IO!$B$10,IO!$B$11),0)</f>
        <v>101</v>
      </c>
      <c r="L575" s="40">
        <f>MIN(K575,IO!$B$4+IO!$B$8)</f>
        <v>101</v>
      </c>
      <c r="M575" s="40">
        <f>IF(L575-I575&gt;IO!$B$4,Model!L575-Model!I575-IO!$B$4,0)</f>
        <v>0</v>
      </c>
      <c r="N575" s="41">
        <f>IO!$B$5*Model!L575-IO!$B$6*Model!M575</f>
        <v>4040</v>
      </c>
    </row>
    <row r="576" spans="1:14" x14ac:dyDescent="0.35">
      <c r="A576" s="30">
        <v>575</v>
      </c>
      <c r="B576" s="31">
        <v>2</v>
      </c>
      <c r="C576" s="32">
        <f>(IO!$B$4+IO!$B$8)</f>
        <v>102</v>
      </c>
      <c r="D576" s="32">
        <f>IF(B576&gt;IO!$B$8,0,IO!$B$8-Model!B576)</f>
        <v>0</v>
      </c>
      <c r="E576" s="33">
        <f>IO!$B$5*C576-IO!$B$6*D576</f>
        <v>4080</v>
      </c>
      <c r="G576" s="47">
        <v>575</v>
      </c>
      <c r="H576" s="38" t="s">
        <v>8</v>
      </c>
      <c r="I576" s="38">
        <v>2</v>
      </c>
      <c r="J576" s="39">
        <v>0.53006481605705602</v>
      </c>
      <c r="K576" s="40">
        <f>ROUND(NORMINV(J576,IO!$B$10,IO!$B$11),0)</f>
        <v>103</v>
      </c>
      <c r="L576" s="40">
        <f>MIN(K576,IO!$B$4+IO!$B$8)</f>
        <v>102</v>
      </c>
      <c r="M576" s="40">
        <f>IF(L576-I576&gt;IO!$B$4,Model!L576-Model!I576-IO!$B$4,0)</f>
        <v>0</v>
      </c>
      <c r="N576" s="41">
        <f>IO!$B$5*Model!L576-IO!$B$6*Model!M576</f>
        <v>4080</v>
      </c>
    </row>
    <row r="577" spans="1:14" x14ac:dyDescent="0.35">
      <c r="A577" s="30">
        <v>576</v>
      </c>
      <c r="B577" s="31">
        <v>0</v>
      </c>
      <c r="C577" s="32">
        <f>(IO!$B$4+IO!$B$8)</f>
        <v>102</v>
      </c>
      <c r="D577" s="32">
        <f>IF(B577&gt;IO!$B$8,0,IO!$B$8-Model!B577)</f>
        <v>2</v>
      </c>
      <c r="E577" s="33">
        <f>IO!$B$5*C577-IO!$B$6*D577</f>
        <v>3880</v>
      </c>
      <c r="G577" s="47">
        <v>576</v>
      </c>
      <c r="H577" s="38" t="s">
        <v>9</v>
      </c>
      <c r="I577" s="38">
        <v>0</v>
      </c>
      <c r="J577" s="39">
        <v>7.6051495967112248E-2</v>
      </c>
      <c r="K577" s="40">
        <f>ROUND(NORMINV(J577,IO!$B$10,IO!$B$11),0)</f>
        <v>96</v>
      </c>
      <c r="L577" s="40">
        <f>MIN(K577,IO!$B$4+IO!$B$8)</f>
        <v>96</v>
      </c>
      <c r="M577" s="40">
        <f>IF(L577-I577&gt;IO!$B$4,Model!L577-Model!I577-IO!$B$4,0)</f>
        <v>0</v>
      </c>
      <c r="N577" s="41">
        <f>IO!$B$5*Model!L577-IO!$B$6*Model!M577</f>
        <v>3840</v>
      </c>
    </row>
    <row r="578" spans="1:14" x14ac:dyDescent="0.35">
      <c r="A578" s="30">
        <v>577</v>
      </c>
      <c r="B578" s="31">
        <v>1</v>
      </c>
      <c r="C578" s="32">
        <f>(IO!$B$4+IO!$B$8)</f>
        <v>102</v>
      </c>
      <c r="D578" s="32">
        <f>IF(B578&gt;IO!$B$8,0,IO!$B$8-Model!B578)</f>
        <v>1</v>
      </c>
      <c r="E578" s="33">
        <f>IO!$B$5*C578-IO!$B$6*D578</f>
        <v>3980</v>
      </c>
      <c r="G578" s="47">
        <v>577</v>
      </c>
      <c r="H578" s="38" t="s">
        <v>7</v>
      </c>
      <c r="I578" s="38">
        <v>1</v>
      </c>
      <c r="J578" s="39">
        <v>0.72545941985199491</v>
      </c>
      <c r="K578" s="40">
        <f>ROUND(NORMINV(J578,IO!$B$10,IO!$B$11),0)</f>
        <v>106</v>
      </c>
      <c r="L578" s="40">
        <f>MIN(K578,IO!$B$4+IO!$B$8)</f>
        <v>102</v>
      </c>
      <c r="M578" s="40">
        <f>IF(L578-I578&gt;IO!$B$4,Model!L578-Model!I578-IO!$B$4,0)</f>
        <v>1</v>
      </c>
      <c r="N578" s="41">
        <f>IO!$B$5*Model!L578-IO!$B$6*Model!M578</f>
        <v>3980</v>
      </c>
    </row>
    <row r="579" spans="1:14" x14ac:dyDescent="0.35">
      <c r="A579" s="30">
        <v>578</v>
      </c>
      <c r="B579" s="31">
        <v>3</v>
      </c>
      <c r="C579" s="32">
        <f>(IO!$B$4+IO!$B$8)</f>
        <v>102</v>
      </c>
      <c r="D579" s="32">
        <f>IF(B579&gt;IO!$B$8,0,IO!$B$8-Model!B579)</f>
        <v>0</v>
      </c>
      <c r="E579" s="33">
        <f>IO!$B$5*C579-IO!$B$6*D579</f>
        <v>4080</v>
      </c>
      <c r="G579" s="47">
        <v>578</v>
      </c>
      <c r="H579" s="38" t="s">
        <v>8</v>
      </c>
      <c r="I579" s="38">
        <v>3</v>
      </c>
      <c r="J579" s="39">
        <v>0.34608244156825441</v>
      </c>
      <c r="K579" s="40">
        <f>ROUND(NORMINV(J579,IO!$B$10,IO!$B$11),0)</f>
        <v>101</v>
      </c>
      <c r="L579" s="40">
        <f>MIN(K579,IO!$B$4+IO!$B$8)</f>
        <v>101</v>
      </c>
      <c r="M579" s="40">
        <f>IF(L579-I579&gt;IO!$B$4,Model!L579-Model!I579-IO!$B$4,0)</f>
        <v>0</v>
      </c>
      <c r="N579" s="41">
        <f>IO!$B$5*Model!L579-IO!$B$6*Model!M579</f>
        <v>4040</v>
      </c>
    </row>
    <row r="580" spans="1:14" x14ac:dyDescent="0.35">
      <c r="A580" s="30">
        <v>579</v>
      </c>
      <c r="B580" s="31">
        <v>2</v>
      </c>
      <c r="C580" s="32">
        <f>(IO!$B$4+IO!$B$8)</f>
        <v>102</v>
      </c>
      <c r="D580" s="32">
        <f>IF(B580&gt;IO!$B$8,0,IO!$B$8-Model!B580)</f>
        <v>0</v>
      </c>
      <c r="E580" s="33">
        <f>IO!$B$5*C580-IO!$B$6*D580</f>
        <v>4080</v>
      </c>
      <c r="G580" s="47">
        <v>579</v>
      </c>
      <c r="H580" s="38" t="s">
        <v>9</v>
      </c>
      <c r="I580" s="38">
        <v>2</v>
      </c>
      <c r="J580" s="39">
        <v>0.8813272240506701</v>
      </c>
      <c r="K580" s="40">
        <f>ROUND(NORMINV(J580,IO!$B$10,IO!$B$11),0)</f>
        <v>109</v>
      </c>
      <c r="L580" s="40">
        <f>MIN(K580,IO!$B$4+IO!$B$8)</f>
        <v>102</v>
      </c>
      <c r="M580" s="40">
        <f>IF(L580-I580&gt;IO!$B$4,Model!L580-Model!I580-IO!$B$4,0)</f>
        <v>0</v>
      </c>
      <c r="N580" s="41">
        <f>IO!$B$5*Model!L580-IO!$B$6*Model!M580</f>
        <v>4080</v>
      </c>
    </row>
    <row r="581" spans="1:14" x14ac:dyDescent="0.35">
      <c r="A581" s="30">
        <v>580</v>
      </c>
      <c r="B581" s="31">
        <v>1</v>
      </c>
      <c r="C581" s="32">
        <f>(IO!$B$4+IO!$B$8)</f>
        <v>102</v>
      </c>
      <c r="D581" s="32">
        <f>IF(B581&gt;IO!$B$8,0,IO!$B$8-Model!B581)</f>
        <v>1</v>
      </c>
      <c r="E581" s="33">
        <f>IO!$B$5*C581-IO!$B$6*D581</f>
        <v>3980</v>
      </c>
      <c r="G581" s="47">
        <v>580</v>
      </c>
      <c r="H581" s="38" t="s">
        <v>7</v>
      </c>
      <c r="I581" s="38">
        <v>1</v>
      </c>
      <c r="J581" s="39">
        <v>0.74502790727007773</v>
      </c>
      <c r="K581" s="40">
        <f>ROUND(NORMINV(J581,IO!$B$10,IO!$B$11),0)</f>
        <v>106</v>
      </c>
      <c r="L581" s="40">
        <f>MIN(K581,IO!$B$4+IO!$B$8)</f>
        <v>102</v>
      </c>
      <c r="M581" s="40">
        <f>IF(L581-I581&gt;IO!$B$4,Model!L581-Model!I581-IO!$B$4,0)</f>
        <v>1</v>
      </c>
      <c r="N581" s="41">
        <f>IO!$B$5*Model!L581-IO!$B$6*Model!M581</f>
        <v>3980</v>
      </c>
    </row>
    <row r="582" spans="1:14" x14ac:dyDescent="0.35">
      <c r="A582" s="30">
        <v>581</v>
      </c>
      <c r="B582" s="31">
        <v>3</v>
      </c>
      <c r="C582" s="32">
        <f>(IO!$B$4+IO!$B$8)</f>
        <v>102</v>
      </c>
      <c r="D582" s="32">
        <f>IF(B582&gt;IO!$B$8,0,IO!$B$8-Model!B582)</f>
        <v>0</v>
      </c>
      <c r="E582" s="33">
        <f>IO!$B$5*C582-IO!$B$6*D582</f>
        <v>4080</v>
      </c>
      <c r="G582" s="47">
        <v>581</v>
      </c>
      <c r="H582" s="38" t="s">
        <v>8</v>
      </c>
      <c r="I582" s="38">
        <v>3</v>
      </c>
      <c r="J582" s="39">
        <v>0.17252150090788243</v>
      </c>
      <c r="K582" s="40">
        <f>ROUND(NORMINV(J582,IO!$B$10,IO!$B$11),0)</f>
        <v>98</v>
      </c>
      <c r="L582" s="40">
        <f>MIN(K582,IO!$B$4+IO!$B$8)</f>
        <v>98</v>
      </c>
      <c r="M582" s="40">
        <f>IF(L582-I582&gt;IO!$B$4,Model!L582-Model!I582-IO!$B$4,0)</f>
        <v>0</v>
      </c>
      <c r="N582" s="41">
        <f>IO!$B$5*Model!L582-IO!$B$6*Model!M582</f>
        <v>3920</v>
      </c>
    </row>
    <row r="583" spans="1:14" x14ac:dyDescent="0.35">
      <c r="A583" s="30">
        <v>582</v>
      </c>
      <c r="B583" s="31">
        <v>0</v>
      </c>
      <c r="C583" s="32">
        <f>(IO!$B$4+IO!$B$8)</f>
        <v>102</v>
      </c>
      <c r="D583" s="32">
        <f>IF(B583&gt;IO!$B$8,0,IO!$B$8-Model!B583)</f>
        <v>2</v>
      </c>
      <c r="E583" s="33">
        <f>IO!$B$5*C583-IO!$B$6*D583</f>
        <v>3880</v>
      </c>
      <c r="G583" s="47">
        <v>582</v>
      </c>
      <c r="H583" s="38" t="s">
        <v>9</v>
      </c>
      <c r="I583" s="38">
        <v>0</v>
      </c>
      <c r="J583" s="39">
        <v>0.46514726468340828</v>
      </c>
      <c r="K583" s="40">
        <f>ROUND(NORMINV(J583,IO!$B$10,IO!$B$11),0)</f>
        <v>103</v>
      </c>
      <c r="L583" s="40">
        <f>MIN(K583,IO!$B$4+IO!$B$8)</f>
        <v>102</v>
      </c>
      <c r="M583" s="40">
        <f>IF(L583-I583&gt;IO!$B$4,Model!L583-Model!I583-IO!$B$4,0)</f>
        <v>2</v>
      </c>
      <c r="N583" s="41">
        <f>IO!$B$5*Model!L583-IO!$B$6*Model!M583</f>
        <v>3880</v>
      </c>
    </row>
    <row r="584" spans="1:14" x14ac:dyDescent="0.35">
      <c r="A584" s="30">
        <v>583</v>
      </c>
      <c r="B584" s="31">
        <v>3</v>
      </c>
      <c r="C584" s="32">
        <f>(IO!$B$4+IO!$B$8)</f>
        <v>102</v>
      </c>
      <c r="D584" s="32">
        <f>IF(B584&gt;IO!$B$8,0,IO!$B$8-Model!B584)</f>
        <v>0</v>
      </c>
      <c r="E584" s="33">
        <f>IO!$B$5*C584-IO!$B$6*D584</f>
        <v>4080</v>
      </c>
      <c r="G584" s="47">
        <v>583</v>
      </c>
      <c r="H584" s="38" t="s">
        <v>7</v>
      </c>
      <c r="I584" s="38">
        <v>3</v>
      </c>
      <c r="J584" s="39">
        <v>4.017082092057489E-2</v>
      </c>
      <c r="K584" s="40">
        <f>ROUND(NORMINV(J584,IO!$B$10,IO!$B$11),0)</f>
        <v>94</v>
      </c>
      <c r="L584" s="40">
        <f>MIN(K584,IO!$B$4+IO!$B$8)</f>
        <v>94</v>
      </c>
      <c r="M584" s="40">
        <f>IF(L584-I584&gt;IO!$B$4,Model!L584-Model!I584-IO!$B$4,0)</f>
        <v>0</v>
      </c>
      <c r="N584" s="41">
        <f>IO!$B$5*Model!L584-IO!$B$6*Model!M584</f>
        <v>3760</v>
      </c>
    </row>
    <row r="585" spans="1:14" x14ac:dyDescent="0.35">
      <c r="A585" s="30">
        <v>584</v>
      </c>
      <c r="B585" s="31">
        <v>3</v>
      </c>
      <c r="C585" s="32">
        <f>(IO!$B$4+IO!$B$8)</f>
        <v>102</v>
      </c>
      <c r="D585" s="32">
        <f>IF(B585&gt;IO!$B$8,0,IO!$B$8-Model!B585)</f>
        <v>0</v>
      </c>
      <c r="E585" s="33">
        <f>IO!$B$5*C585-IO!$B$6*D585</f>
        <v>4080</v>
      </c>
      <c r="G585" s="47">
        <v>584</v>
      </c>
      <c r="H585" s="38" t="s">
        <v>8</v>
      </c>
      <c r="I585" s="38">
        <v>3</v>
      </c>
      <c r="J585" s="39">
        <v>0.51772267234469926</v>
      </c>
      <c r="K585" s="40">
        <f>ROUND(NORMINV(J585,IO!$B$10,IO!$B$11),0)</f>
        <v>103</v>
      </c>
      <c r="L585" s="40">
        <f>MIN(K585,IO!$B$4+IO!$B$8)</f>
        <v>102</v>
      </c>
      <c r="M585" s="40">
        <f>IF(L585-I585&gt;IO!$B$4,Model!L585-Model!I585-IO!$B$4,0)</f>
        <v>0</v>
      </c>
      <c r="N585" s="41">
        <f>IO!$B$5*Model!L585-IO!$B$6*Model!M585</f>
        <v>4080</v>
      </c>
    </row>
    <row r="586" spans="1:14" x14ac:dyDescent="0.35">
      <c r="A586" s="30">
        <v>585</v>
      </c>
      <c r="B586" s="31">
        <v>2</v>
      </c>
      <c r="C586" s="32">
        <f>(IO!$B$4+IO!$B$8)</f>
        <v>102</v>
      </c>
      <c r="D586" s="32">
        <f>IF(B586&gt;IO!$B$8,0,IO!$B$8-Model!B586)</f>
        <v>0</v>
      </c>
      <c r="E586" s="33">
        <f>IO!$B$5*C586-IO!$B$6*D586</f>
        <v>4080</v>
      </c>
      <c r="G586" s="47">
        <v>585</v>
      </c>
      <c r="H586" s="38" t="s">
        <v>9</v>
      </c>
      <c r="I586" s="38">
        <v>2</v>
      </c>
      <c r="J586" s="39">
        <v>0.8008234220931677</v>
      </c>
      <c r="K586" s="40">
        <f>ROUND(NORMINV(J586,IO!$B$10,IO!$B$11),0)</f>
        <v>107</v>
      </c>
      <c r="L586" s="40">
        <f>MIN(K586,IO!$B$4+IO!$B$8)</f>
        <v>102</v>
      </c>
      <c r="M586" s="40">
        <f>IF(L586-I586&gt;IO!$B$4,Model!L586-Model!I586-IO!$B$4,0)</f>
        <v>0</v>
      </c>
      <c r="N586" s="41">
        <f>IO!$B$5*Model!L586-IO!$B$6*Model!M586</f>
        <v>4080</v>
      </c>
    </row>
    <row r="587" spans="1:14" x14ac:dyDescent="0.35">
      <c r="A587" s="30">
        <v>586</v>
      </c>
      <c r="B587" s="31">
        <v>1</v>
      </c>
      <c r="C587" s="32">
        <f>(IO!$B$4+IO!$B$8)</f>
        <v>102</v>
      </c>
      <c r="D587" s="32">
        <f>IF(B587&gt;IO!$B$8,0,IO!$B$8-Model!B587)</f>
        <v>1</v>
      </c>
      <c r="E587" s="33">
        <f>IO!$B$5*C587-IO!$B$6*D587</f>
        <v>3980</v>
      </c>
      <c r="G587" s="47">
        <v>586</v>
      </c>
      <c r="H587" s="38" t="s">
        <v>7</v>
      </c>
      <c r="I587" s="38">
        <v>1</v>
      </c>
      <c r="J587" s="39">
        <v>0.67381673304901524</v>
      </c>
      <c r="K587" s="40">
        <f>ROUND(NORMINV(J587,IO!$B$10,IO!$B$11),0)</f>
        <v>105</v>
      </c>
      <c r="L587" s="40">
        <f>MIN(K587,IO!$B$4+IO!$B$8)</f>
        <v>102</v>
      </c>
      <c r="M587" s="40">
        <f>IF(L587-I587&gt;IO!$B$4,Model!L587-Model!I587-IO!$B$4,0)</f>
        <v>1</v>
      </c>
      <c r="N587" s="41">
        <f>IO!$B$5*Model!L587-IO!$B$6*Model!M587</f>
        <v>3980</v>
      </c>
    </row>
    <row r="588" spans="1:14" x14ac:dyDescent="0.35">
      <c r="A588" s="30">
        <v>587</v>
      </c>
      <c r="B588" s="31">
        <v>3</v>
      </c>
      <c r="C588" s="32">
        <f>(IO!$B$4+IO!$B$8)</f>
        <v>102</v>
      </c>
      <c r="D588" s="32">
        <f>IF(B588&gt;IO!$B$8,0,IO!$B$8-Model!B588)</f>
        <v>0</v>
      </c>
      <c r="E588" s="33">
        <f>IO!$B$5*C588-IO!$B$6*D588</f>
        <v>4080</v>
      </c>
      <c r="G588" s="47">
        <v>587</v>
      </c>
      <c r="H588" s="38" t="s">
        <v>8</v>
      </c>
      <c r="I588" s="38">
        <v>3</v>
      </c>
      <c r="J588" s="39">
        <v>1.7198349553161574E-2</v>
      </c>
      <c r="K588" s="40">
        <f>ROUND(NORMINV(J588,IO!$B$10,IO!$B$11),0)</f>
        <v>92</v>
      </c>
      <c r="L588" s="40">
        <f>MIN(K588,IO!$B$4+IO!$B$8)</f>
        <v>92</v>
      </c>
      <c r="M588" s="40">
        <f>IF(L588-I588&gt;IO!$B$4,Model!L588-Model!I588-IO!$B$4,0)</f>
        <v>0</v>
      </c>
      <c r="N588" s="41">
        <f>IO!$B$5*Model!L588-IO!$B$6*Model!M588</f>
        <v>3680</v>
      </c>
    </row>
    <row r="589" spans="1:14" x14ac:dyDescent="0.35">
      <c r="A589" s="30">
        <v>588</v>
      </c>
      <c r="B589" s="31">
        <v>1</v>
      </c>
      <c r="C589" s="32">
        <f>(IO!$B$4+IO!$B$8)</f>
        <v>102</v>
      </c>
      <c r="D589" s="32">
        <f>IF(B589&gt;IO!$B$8,0,IO!$B$8-Model!B589)</f>
        <v>1</v>
      </c>
      <c r="E589" s="33">
        <f>IO!$B$5*C589-IO!$B$6*D589</f>
        <v>3980</v>
      </c>
      <c r="G589" s="47">
        <v>588</v>
      </c>
      <c r="H589" s="38" t="s">
        <v>9</v>
      </c>
      <c r="I589" s="38">
        <v>1</v>
      </c>
      <c r="J589" s="39">
        <v>0.45700330515121157</v>
      </c>
      <c r="K589" s="40">
        <f>ROUND(NORMINV(J589,IO!$B$10,IO!$B$11),0)</f>
        <v>102</v>
      </c>
      <c r="L589" s="40">
        <f>MIN(K589,IO!$B$4+IO!$B$8)</f>
        <v>102</v>
      </c>
      <c r="M589" s="40">
        <f>IF(L589-I589&gt;IO!$B$4,Model!L589-Model!I589-IO!$B$4,0)</f>
        <v>1</v>
      </c>
      <c r="N589" s="41">
        <f>IO!$B$5*Model!L589-IO!$B$6*Model!M589</f>
        <v>3980</v>
      </c>
    </row>
    <row r="590" spans="1:14" x14ac:dyDescent="0.35">
      <c r="A590" s="30">
        <v>589</v>
      </c>
      <c r="B590" s="31">
        <v>4</v>
      </c>
      <c r="C590" s="32">
        <f>(IO!$B$4+IO!$B$8)</f>
        <v>102</v>
      </c>
      <c r="D590" s="32">
        <f>IF(B590&gt;IO!$B$8,0,IO!$B$8-Model!B590)</f>
        <v>0</v>
      </c>
      <c r="E590" s="33">
        <f>IO!$B$5*C590-IO!$B$6*D590</f>
        <v>4080</v>
      </c>
      <c r="G590" s="47">
        <v>589</v>
      </c>
      <c r="H590" s="38" t="s">
        <v>7</v>
      </c>
      <c r="I590" s="38">
        <v>4</v>
      </c>
      <c r="J590" s="39">
        <v>0.23017987231593895</v>
      </c>
      <c r="K590" s="40">
        <f>ROUND(NORMINV(J590,IO!$B$10,IO!$B$11),0)</f>
        <v>99</v>
      </c>
      <c r="L590" s="40">
        <f>MIN(K590,IO!$B$4+IO!$B$8)</f>
        <v>99</v>
      </c>
      <c r="M590" s="40">
        <f>IF(L590-I590&gt;IO!$B$4,Model!L590-Model!I590-IO!$B$4,0)</f>
        <v>0</v>
      </c>
      <c r="N590" s="41">
        <f>IO!$B$5*Model!L590-IO!$B$6*Model!M590</f>
        <v>3960</v>
      </c>
    </row>
    <row r="591" spans="1:14" x14ac:dyDescent="0.35">
      <c r="A591" s="30">
        <v>590</v>
      </c>
      <c r="B591" s="31">
        <v>1</v>
      </c>
      <c r="C591" s="32">
        <f>(IO!$B$4+IO!$B$8)</f>
        <v>102</v>
      </c>
      <c r="D591" s="32">
        <f>IF(B591&gt;IO!$B$8,0,IO!$B$8-Model!B591)</f>
        <v>1</v>
      </c>
      <c r="E591" s="33">
        <f>IO!$B$5*C591-IO!$B$6*D591</f>
        <v>3980</v>
      </c>
      <c r="G591" s="47">
        <v>590</v>
      </c>
      <c r="H591" s="38" t="s">
        <v>8</v>
      </c>
      <c r="I591" s="38">
        <v>1</v>
      </c>
      <c r="J591" s="39">
        <v>0.35770345868421627</v>
      </c>
      <c r="K591" s="40">
        <f>ROUND(NORMINV(J591,IO!$B$10,IO!$B$11),0)</f>
        <v>101</v>
      </c>
      <c r="L591" s="40">
        <f>MIN(K591,IO!$B$4+IO!$B$8)</f>
        <v>101</v>
      </c>
      <c r="M591" s="40">
        <f>IF(L591-I591&gt;IO!$B$4,Model!L591-Model!I591-IO!$B$4,0)</f>
        <v>0</v>
      </c>
      <c r="N591" s="41">
        <f>IO!$B$5*Model!L591-IO!$B$6*Model!M591</f>
        <v>4040</v>
      </c>
    </row>
    <row r="592" spans="1:14" x14ac:dyDescent="0.35">
      <c r="A592" s="30">
        <v>591</v>
      </c>
      <c r="B592" s="31">
        <v>3</v>
      </c>
      <c r="C592" s="32">
        <f>(IO!$B$4+IO!$B$8)</f>
        <v>102</v>
      </c>
      <c r="D592" s="32">
        <f>IF(B592&gt;IO!$B$8,0,IO!$B$8-Model!B592)</f>
        <v>0</v>
      </c>
      <c r="E592" s="33">
        <f>IO!$B$5*C592-IO!$B$6*D592</f>
        <v>4080</v>
      </c>
      <c r="G592" s="47">
        <v>591</v>
      </c>
      <c r="H592" s="38" t="s">
        <v>9</v>
      </c>
      <c r="I592" s="38">
        <v>3</v>
      </c>
      <c r="J592" s="39">
        <v>0.34909244360724523</v>
      </c>
      <c r="K592" s="40">
        <f>ROUND(NORMINV(J592,IO!$B$10,IO!$B$11),0)</f>
        <v>101</v>
      </c>
      <c r="L592" s="40">
        <f>MIN(K592,IO!$B$4+IO!$B$8)</f>
        <v>101</v>
      </c>
      <c r="M592" s="40">
        <f>IF(L592-I592&gt;IO!$B$4,Model!L592-Model!I592-IO!$B$4,0)</f>
        <v>0</v>
      </c>
      <c r="N592" s="41">
        <f>IO!$B$5*Model!L592-IO!$B$6*Model!M592</f>
        <v>4040</v>
      </c>
    </row>
    <row r="593" spans="1:14" x14ac:dyDescent="0.35">
      <c r="A593" s="30">
        <v>592</v>
      </c>
      <c r="B593" s="31">
        <v>1</v>
      </c>
      <c r="C593" s="32">
        <f>(IO!$B$4+IO!$B$8)</f>
        <v>102</v>
      </c>
      <c r="D593" s="32">
        <f>IF(B593&gt;IO!$B$8,0,IO!$B$8-Model!B593)</f>
        <v>1</v>
      </c>
      <c r="E593" s="33">
        <f>IO!$B$5*C593-IO!$B$6*D593</f>
        <v>3980</v>
      </c>
      <c r="G593" s="47">
        <v>592</v>
      </c>
      <c r="H593" s="38" t="s">
        <v>7</v>
      </c>
      <c r="I593" s="38">
        <v>1</v>
      </c>
      <c r="J593" s="39">
        <v>0.33740343471799372</v>
      </c>
      <c r="K593" s="40">
        <f>ROUND(NORMINV(J593,IO!$B$10,IO!$B$11),0)</f>
        <v>101</v>
      </c>
      <c r="L593" s="40">
        <f>MIN(K593,IO!$B$4+IO!$B$8)</f>
        <v>101</v>
      </c>
      <c r="M593" s="40">
        <f>IF(L593-I593&gt;IO!$B$4,Model!L593-Model!I593-IO!$B$4,0)</f>
        <v>0</v>
      </c>
      <c r="N593" s="41">
        <f>IO!$B$5*Model!L593-IO!$B$6*Model!M593</f>
        <v>4040</v>
      </c>
    </row>
    <row r="594" spans="1:14" x14ac:dyDescent="0.35">
      <c r="A594" s="30">
        <v>593</v>
      </c>
      <c r="B594" s="31">
        <v>2</v>
      </c>
      <c r="C594" s="32">
        <f>(IO!$B$4+IO!$B$8)</f>
        <v>102</v>
      </c>
      <c r="D594" s="32">
        <f>IF(B594&gt;IO!$B$8,0,IO!$B$8-Model!B594)</f>
        <v>0</v>
      </c>
      <c r="E594" s="33">
        <f>IO!$B$5*C594-IO!$B$6*D594</f>
        <v>4080</v>
      </c>
      <c r="G594" s="47">
        <v>593</v>
      </c>
      <c r="H594" s="38" t="s">
        <v>8</v>
      </c>
      <c r="I594" s="38">
        <v>2</v>
      </c>
      <c r="J594" s="39">
        <v>0.45080908236314499</v>
      </c>
      <c r="K594" s="40">
        <f>ROUND(NORMINV(J594,IO!$B$10,IO!$B$11),0)</f>
        <v>102</v>
      </c>
      <c r="L594" s="40">
        <f>MIN(K594,IO!$B$4+IO!$B$8)</f>
        <v>102</v>
      </c>
      <c r="M594" s="40">
        <f>IF(L594-I594&gt;IO!$B$4,Model!L594-Model!I594-IO!$B$4,0)</f>
        <v>0</v>
      </c>
      <c r="N594" s="41">
        <f>IO!$B$5*Model!L594-IO!$B$6*Model!M594</f>
        <v>4080</v>
      </c>
    </row>
    <row r="595" spans="1:14" x14ac:dyDescent="0.35">
      <c r="A595" s="30">
        <v>594</v>
      </c>
      <c r="B595" s="31">
        <v>1</v>
      </c>
      <c r="C595" s="32">
        <f>(IO!$B$4+IO!$B$8)</f>
        <v>102</v>
      </c>
      <c r="D595" s="32">
        <f>IF(B595&gt;IO!$B$8,0,IO!$B$8-Model!B595)</f>
        <v>1</v>
      </c>
      <c r="E595" s="33">
        <f>IO!$B$5*C595-IO!$B$6*D595</f>
        <v>3980</v>
      </c>
      <c r="G595" s="47">
        <v>594</v>
      </c>
      <c r="H595" s="38" t="s">
        <v>9</v>
      </c>
      <c r="I595" s="38">
        <v>1</v>
      </c>
      <c r="J595" s="39">
        <v>0.11488195596777051</v>
      </c>
      <c r="K595" s="40">
        <f>ROUND(NORMINV(J595,IO!$B$10,IO!$B$11),0)</f>
        <v>97</v>
      </c>
      <c r="L595" s="40">
        <f>MIN(K595,IO!$B$4+IO!$B$8)</f>
        <v>97</v>
      </c>
      <c r="M595" s="40">
        <f>IF(L595-I595&gt;IO!$B$4,Model!L595-Model!I595-IO!$B$4,0)</f>
        <v>0</v>
      </c>
      <c r="N595" s="41">
        <f>IO!$B$5*Model!L595-IO!$B$6*Model!M595</f>
        <v>3880</v>
      </c>
    </row>
    <row r="596" spans="1:14" x14ac:dyDescent="0.35">
      <c r="A596" s="30">
        <v>595</v>
      </c>
      <c r="B596" s="31">
        <v>1</v>
      </c>
      <c r="C596" s="32">
        <f>(IO!$B$4+IO!$B$8)</f>
        <v>102</v>
      </c>
      <c r="D596" s="32">
        <f>IF(B596&gt;IO!$B$8,0,IO!$B$8-Model!B596)</f>
        <v>1</v>
      </c>
      <c r="E596" s="33">
        <f>IO!$B$5*C596-IO!$B$6*D596</f>
        <v>3980</v>
      </c>
      <c r="G596" s="47">
        <v>595</v>
      </c>
      <c r="H596" s="38" t="s">
        <v>7</v>
      </c>
      <c r="I596" s="38">
        <v>1</v>
      </c>
      <c r="J596" s="39">
        <v>0.25078763400379134</v>
      </c>
      <c r="K596" s="40">
        <f>ROUND(NORMINV(J596,IO!$B$10,IO!$B$11),0)</f>
        <v>100</v>
      </c>
      <c r="L596" s="40">
        <f>MIN(K596,IO!$B$4+IO!$B$8)</f>
        <v>100</v>
      </c>
      <c r="M596" s="40">
        <f>IF(L596-I596&gt;IO!$B$4,Model!L596-Model!I596-IO!$B$4,0)</f>
        <v>0</v>
      </c>
      <c r="N596" s="41">
        <f>IO!$B$5*Model!L596-IO!$B$6*Model!M596</f>
        <v>4000</v>
      </c>
    </row>
    <row r="597" spans="1:14" x14ac:dyDescent="0.35">
      <c r="A597" s="30">
        <v>596</v>
      </c>
      <c r="B597" s="31">
        <v>2</v>
      </c>
      <c r="C597" s="32">
        <f>(IO!$B$4+IO!$B$8)</f>
        <v>102</v>
      </c>
      <c r="D597" s="32">
        <f>IF(B597&gt;IO!$B$8,0,IO!$B$8-Model!B597)</f>
        <v>0</v>
      </c>
      <c r="E597" s="33">
        <f>IO!$B$5*C597-IO!$B$6*D597</f>
        <v>4080</v>
      </c>
      <c r="G597" s="47">
        <v>596</v>
      </c>
      <c r="H597" s="38" t="s">
        <v>8</v>
      </c>
      <c r="I597" s="38">
        <v>2</v>
      </c>
      <c r="J597" s="39">
        <v>0.5747132356216933</v>
      </c>
      <c r="K597" s="40">
        <f>ROUND(NORMINV(J597,IO!$B$10,IO!$B$11),0)</f>
        <v>104</v>
      </c>
      <c r="L597" s="40">
        <f>MIN(K597,IO!$B$4+IO!$B$8)</f>
        <v>102</v>
      </c>
      <c r="M597" s="40">
        <f>IF(L597-I597&gt;IO!$B$4,Model!L597-Model!I597-IO!$B$4,0)</f>
        <v>0</v>
      </c>
      <c r="N597" s="41">
        <f>IO!$B$5*Model!L597-IO!$B$6*Model!M597</f>
        <v>4080</v>
      </c>
    </row>
    <row r="598" spans="1:14" x14ac:dyDescent="0.35">
      <c r="A598" s="30">
        <v>597</v>
      </c>
      <c r="B598" s="31">
        <v>2</v>
      </c>
      <c r="C598" s="32">
        <f>(IO!$B$4+IO!$B$8)</f>
        <v>102</v>
      </c>
      <c r="D598" s="32">
        <f>IF(B598&gt;IO!$B$8,0,IO!$B$8-Model!B598)</f>
        <v>0</v>
      </c>
      <c r="E598" s="33">
        <f>IO!$B$5*C598-IO!$B$6*D598</f>
        <v>4080</v>
      </c>
      <c r="G598" s="47">
        <v>597</v>
      </c>
      <c r="H598" s="38" t="s">
        <v>9</v>
      </c>
      <c r="I598" s="38">
        <v>2</v>
      </c>
      <c r="J598" s="39">
        <v>0.57840759643466411</v>
      </c>
      <c r="K598" s="40">
        <f>ROUND(NORMINV(J598,IO!$B$10,IO!$B$11),0)</f>
        <v>104</v>
      </c>
      <c r="L598" s="40">
        <f>MIN(K598,IO!$B$4+IO!$B$8)</f>
        <v>102</v>
      </c>
      <c r="M598" s="40">
        <f>IF(L598-I598&gt;IO!$B$4,Model!L598-Model!I598-IO!$B$4,0)</f>
        <v>0</v>
      </c>
      <c r="N598" s="41">
        <f>IO!$B$5*Model!L598-IO!$B$6*Model!M598</f>
        <v>4080</v>
      </c>
    </row>
    <row r="599" spans="1:14" x14ac:dyDescent="0.35">
      <c r="A599" s="30">
        <v>598</v>
      </c>
      <c r="B599" s="31">
        <v>4</v>
      </c>
      <c r="C599" s="32">
        <f>(IO!$B$4+IO!$B$8)</f>
        <v>102</v>
      </c>
      <c r="D599" s="32">
        <f>IF(B599&gt;IO!$B$8,0,IO!$B$8-Model!B599)</f>
        <v>0</v>
      </c>
      <c r="E599" s="33">
        <f>IO!$B$5*C599-IO!$B$6*D599</f>
        <v>4080</v>
      </c>
      <c r="G599" s="47">
        <v>598</v>
      </c>
      <c r="H599" s="38" t="s">
        <v>7</v>
      </c>
      <c r="I599" s="38">
        <v>4</v>
      </c>
      <c r="J599" s="39">
        <v>0.12813381943267677</v>
      </c>
      <c r="K599" s="40">
        <f>ROUND(NORMINV(J599,IO!$B$10,IO!$B$11),0)</f>
        <v>97</v>
      </c>
      <c r="L599" s="40">
        <f>MIN(K599,IO!$B$4+IO!$B$8)</f>
        <v>97</v>
      </c>
      <c r="M599" s="40">
        <f>IF(L599-I599&gt;IO!$B$4,Model!L599-Model!I599-IO!$B$4,0)</f>
        <v>0</v>
      </c>
      <c r="N599" s="41">
        <f>IO!$B$5*Model!L599-IO!$B$6*Model!M599</f>
        <v>3880</v>
      </c>
    </row>
    <row r="600" spans="1:14" x14ac:dyDescent="0.35">
      <c r="A600" s="30">
        <v>599</v>
      </c>
      <c r="B600" s="31">
        <v>2</v>
      </c>
      <c r="C600" s="32">
        <f>(IO!$B$4+IO!$B$8)</f>
        <v>102</v>
      </c>
      <c r="D600" s="32">
        <f>IF(B600&gt;IO!$B$8,0,IO!$B$8-Model!B600)</f>
        <v>0</v>
      </c>
      <c r="E600" s="33">
        <f>IO!$B$5*C600-IO!$B$6*D600</f>
        <v>4080</v>
      </c>
      <c r="G600" s="47">
        <v>599</v>
      </c>
      <c r="H600" s="38" t="s">
        <v>8</v>
      </c>
      <c r="I600" s="38">
        <v>2</v>
      </c>
      <c r="J600" s="39">
        <v>7.3151211110237924E-2</v>
      </c>
      <c r="K600" s="40">
        <f>ROUND(NORMINV(J600,IO!$B$10,IO!$B$11),0)</f>
        <v>96</v>
      </c>
      <c r="L600" s="40">
        <f>MIN(K600,IO!$B$4+IO!$B$8)</f>
        <v>96</v>
      </c>
      <c r="M600" s="40">
        <f>IF(L600-I600&gt;IO!$B$4,Model!L600-Model!I600-IO!$B$4,0)</f>
        <v>0</v>
      </c>
      <c r="N600" s="41">
        <f>IO!$B$5*Model!L600-IO!$B$6*Model!M600</f>
        <v>3840</v>
      </c>
    </row>
    <row r="601" spans="1:14" x14ac:dyDescent="0.35">
      <c r="A601" s="30">
        <v>600</v>
      </c>
      <c r="B601" s="31">
        <v>0</v>
      </c>
      <c r="C601" s="32">
        <f>(IO!$B$4+IO!$B$8)</f>
        <v>102</v>
      </c>
      <c r="D601" s="32">
        <f>IF(B601&gt;IO!$B$8,0,IO!$B$8-Model!B601)</f>
        <v>2</v>
      </c>
      <c r="E601" s="33">
        <f>IO!$B$5*C601-IO!$B$6*D601</f>
        <v>3880</v>
      </c>
      <c r="G601" s="47">
        <v>600</v>
      </c>
      <c r="H601" s="38" t="s">
        <v>9</v>
      </c>
      <c r="I601" s="38">
        <v>0</v>
      </c>
      <c r="J601" s="39">
        <v>0.54854611936660402</v>
      </c>
      <c r="K601" s="40">
        <f>ROUND(NORMINV(J601,IO!$B$10,IO!$B$11),0)</f>
        <v>104</v>
      </c>
      <c r="L601" s="40">
        <f>MIN(K601,IO!$B$4+IO!$B$8)</f>
        <v>102</v>
      </c>
      <c r="M601" s="40">
        <f>IF(L601-I601&gt;IO!$B$4,Model!L601-Model!I601-IO!$B$4,0)</f>
        <v>2</v>
      </c>
      <c r="N601" s="41">
        <f>IO!$B$5*Model!L601-IO!$B$6*Model!M601</f>
        <v>3880</v>
      </c>
    </row>
    <row r="602" spans="1:14" x14ac:dyDescent="0.35">
      <c r="A602" s="30">
        <v>601</v>
      </c>
      <c r="B602" s="31">
        <v>4</v>
      </c>
      <c r="C602" s="32">
        <f>(IO!$B$4+IO!$B$8)</f>
        <v>102</v>
      </c>
      <c r="D602" s="32">
        <f>IF(B602&gt;IO!$B$8,0,IO!$B$8-Model!B602)</f>
        <v>0</v>
      </c>
      <c r="E602" s="33">
        <f>IO!$B$5*C602-IO!$B$6*D602</f>
        <v>4080</v>
      </c>
      <c r="G602" s="47">
        <v>601</v>
      </c>
      <c r="H602" s="38" t="s">
        <v>7</v>
      </c>
      <c r="I602" s="38">
        <v>4</v>
      </c>
      <c r="J602" s="39">
        <v>0.83140775490874075</v>
      </c>
      <c r="K602" s="40">
        <f>ROUND(NORMINV(J602,IO!$B$10,IO!$B$11),0)</f>
        <v>108</v>
      </c>
      <c r="L602" s="40">
        <f>MIN(K602,IO!$B$4+IO!$B$8)</f>
        <v>102</v>
      </c>
      <c r="M602" s="40">
        <f>IF(L602-I602&gt;IO!$B$4,Model!L602-Model!I602-IO!$B$4,0)</f>
        <v>0</v>
      </c>
      <c r="N602" s="41">
        <f>IO!$B$5*Model!L602-IO!$B$6*Model!M602</f>
        <v>4080</v>
      </c>
    </row>
    <row r="603" spans="1:14" x14ac:dyDescent="0.35">
      <c r="A603" s="30">
        <v>602</v>
      </c>
      <c r="B603" s="31">
        <v>3</v>
      </c>
      <c r="C603" s="32">
        <f>(IO!$B$4+IO!$B$8)</f>
        <v>102</v>
      </c>
      <c r="D603" s="32">
        <f>IF(B603&gt;IO!$B$8,0,IO!$B$8-Model!B603)</f>
        <v>0</v>
      </c>
      <c r="E603" s="33">
        <f>IO!$B$5*C603-IO!$B$6*D603</f>
        <v>4080</v>
      </c>
      <c r="G603" s="47">
        <v>602</v>
      </c>
      <c r="H603" s="38" t="s">
        <v>8</v>
      </c>
      <c r="I603" s="38">
        <v>3</v>
      </c>
      <c r="J603" s="39">
        <v>0.59591563027283989</v>
      </c>
      <c r="K603" s="40">
        <f>ROUND(NORMINV(J603,IO!$B$10,IO!$B$11),0)</f>
        <v>104</v>
      </c>
      <c r="L603" s="40">
        <f>MIN(K603,IO!$B$4+IO!$B$8)</f>
        <v>102</v>
      </c>
      <c r="M603" s="40">
        <f>IF(L603-I603&gt;IO!$B$4,Model!L603-Model!I603-IO!$B$4,0)</f>
        <v>0</v>
      </c>
      <c r="N603" s="41">
        <f>IO!$B$5*Model!L603-IO!$B$6*Model!M603</f>
        <v>4080</v>
      </c>
    </row>
    <row r="604" spans="1:14" x14ac:dyDescent="0.35">
      <c r="A604" s="30">
        <v>603</v>
      </c>
      <c r="B604" s="31">
        <v>1</v>
      </c>
      <c r="C604" s="32">
        <f>(IO!$B$4+IO!$B$8)</f>
        <v>102</v>
      </c>
      <c r="D604" s="32">
        <f>IF(B604&gt;IO!$B$8,0,IO!$B$8-Model!B604)</f>
        <v>1</v>
      </c>
      <c r="E604" s="33">
        <f>IO!$B$5*C604-IO!$B$6*D604</f>
        <v>3980</v>
      </c>
      <c r="G604" s="47">
        <v>603</v>
      </c>
      <c r="H604" s="38" t="s">
        <v>9</v>
      </c>
      <c r="I604" s="38">
        <v>1</v>
      </c>
      <c r="J604" s="39">
        <v>0.96749570360012127</v>
      </c>
      <c r="K604" s="40">
        <f>ROUND(NORMINV(J604,IO!$B$10,IO!$B$11),0)</f>
        <v>112</v>
      </c>
      <c r="L604" s="40">
        <f>MIN(K604,IO!$B$4+IO!$B$8)</f>
        <v>102</v>
      </c>
      <c r="M604" s="40">
        <f>IF(L604-I604&gt;IO!$B$4,Model!L604-Model!I604-IO!$B$4,0)</f>
        <v>1</v>
      </c>
      <c r="N604" s="41">
        <f>IO!$B$5*Model!L604-IO!$B$6*Model!M604</f>
        <v>3980</v>
      </c>
    </row>
    <row r="605" spans="1:14" x14ac:dyDescent="0.35">
      <c r="A605" s="30">
        <v>604</v>
      </c>
      <c r="B605" s="31">
        <v>7</v>
      </c>
      <c r="C605" s="32">
        <f>(IO!$B$4+IO!$B$8)</f>
        <v>102</v>
      </c>
      <c r="D605" s="32">
        <f>IF(B605&gt;IO!$B$8,0,IO!$B$8-Model!B605)</f>
        <v>0</v>
      </c>
      <c r="E605" s="33">
        <f>IO!$B$5*C605-IO!$B$6*D605</f>
        <v>4080</v>
      </c>
      <c r="G605" s="47">
        <v>604</v>
      </c>
      <c r="H605" s="38" t="s">
        <v>7</v>
      </c>
      <c r="I605" s="38">
        <v>7</v>
      </c>
      <c r="J605" s="39">
        <v>0.98350825618052695</v>
      </c>
      <c r="K605" s="40">
        <f>ROUND(NORMINV(J605,IO!$B$10,IO!$B$11),0)</f>
        <v>114</v>
      </c>
      <c r="L605" s="40">
        <f>MIN(K605,IO!$B$4+IO!$B$8)</f>
        <v>102</v>
      </c>
      <c r="M605" s="40">
        <f>IF(L605-I605&gt;IO!$B$4,Model!L605-Model!I605-IO!$B$4,0)</f>
        <v>0</v>
      </c>
      <c r="N605" s="41">
        <f>IO!$B$5*Model!L605-IO!$B$6*Model!M605</f>
        <v>4080</v>
      </c>
    </row>
    <row r="606" spans="1:14" x14ac:dyDescent="0.35">
      <c r="A606" s="30">
        <v>605</v>
      </c>
      <c r="B606" s="31">
        <v>3</v>
      </c>
      <c r="C606" s="32">
        <f>(IO!$B$4+IO!$B$8)</f>
        <v>102</v>
      </c>
      <c r="D606" s="32">
        <f>IF(B606&gt;IO!$B$8,0,IO!$B$8-Model!B606)</f>
        <v>0</v>
      </c>
      <c r="E606" s="33">
        <f>IO!$B$5*C606-IO!$B$6*D606</f>
        <v>4080</v>
      </c>
      <c r="G606" s="47">
        <v>605</v>
      </c>
      <c r="H606" s="38" t="s">
        <v>8</v>
      </c>
      <c r="I606" s="38">
        <v>3</v>
      </c>
      <c r="J606" s="39">
        <v>0.97075956474369218</v>
      </c>
      <c r="K606" s="40">
        <f>ROUND(NORMINV(J606,IO!$B$10,IO!$B$11),0)</f>
        <v>112</v>
      </c>
      <c r="L606" s="40">
        <f>MIN(K606,IO!$B$4+IO!$B$8)</f>
        <v>102</v>
      </c>
      <c r="M606" s="40">
        <f>IF(L606-I606&gt;IO!$B$4,Model!L606-Model!I606-IO!$B$4,0)</f>
        <v>0</v>
      </c>
      <c r="N606" s="41">
        <f>IO!$B$5*Model!L606-IO!$B$6*Model!M606</f>
        <v>4080</v>
      </c>
    </row>
    <row r="607" spans="1:14" x14ac:dyDescent="0.35">
      <c r="A607" s="30">
        <v>606</v>
      </c>
      <c r="B607" s="31">
        <v>1</v>
      </c>
      <c r="C607" s="32">
        <f>(IO!$B$4+IO!$B$8)</f>
        <v>102</v>
      </c>
      <c r="D607" s="32">
        <f>IF(B607&gt;IO!$B$8,0,IO!$B$8-Model!B607)</f>
        <v>1</v>
      </c>
      <c r="E607" s="33">
        <f>IO!$B$5*C607-IO!$B$6*D607</f>
        <v>3980</v>
      </c>
      <c r="G607" s="47">
        <v>606</v>
      </c>
      <c r="H607" s="38" t="s">
        <v>9</v>
      </c>
      <c r="I607" s="38">
        <v>1</v>
      </c>
      <c r="J607" s="39">
        <v>0.33601651649748931</v>
      </c>
      <c r="K607" s="40">
        <f>ROUND(NORMINV(J607,IO!$B$10,IO!$B$11),0)</f>
        <v>101</v>
      </c>
      <c r="L607" s="40">
        <f>MIN(K607,IO!$B$4+IO!$B$8)</f>
        <v>101</v>
      </c>
      <c r="M607" s="40">
        <f>IF(L607-I607&gt;IO!$B$4,Model!L607-Model!I607-IO!$B$4,0)</f>
        <v>0</v>
      </c>
      <c r="N607" s="41">
        <f>IO!$B$5*Model!L607-IO!$B$6*Model!M607</f>
        <v>4040</v>
      </c>
    </row>
    <row r="608" spans="1:14" x14ac:dyDescent="0.35">
      <c r="A608" s="30">
        <v>607</v>
      </c>
      <c r="B608" s="31">
        <v>3</v>
      </c>
      <c r="C608" s="32">
        <f>(IO!$B$4+IO!$B$8)</f>
        <v>102</v>
      </c>
      <c r="D608" s="32">
        <f>IF(B608&gt;IO!$B$8,0,IO!$B$8-Model!B608)</f>
        <v>0</v>
      </c>
      <c r="E608" s="33">
        <f>IO!$B$5*C608-IO!$B$6*D608</f>
        <v>4080</v>
      </c>
      <c r="G608" s="47">
        <v>607</v>
      </c>
      <c r="H608" s="38" t="s">
        <v>7</v>
      </c>
      <c r="I608" s="38">
        <v>3</v>
      </c>
      <c r="J608" s="39">
        <v>5.8807639674633205E-2</v>
      </c>
      <c r="K608" s="40">
        <f>ROUND(NORMINV(J608,IO!$B$10,IO!$B$11),0)</f>
        <v>95</v>
      </c>
      <c r="L608" s="40">
        <f>MIN(K608,IO!$B$4+IO!$B$8)</f>
        <v>95</v>
      </c>
      <c r="M608" s="40">
        <f>IF(L608-I608&gt;IO!$B$4,Model!L608-Model!I608-IO!$B$4,0)</f>
        <v>0</v>
      </c>
      <c r="N608" s="41">
        <f>IO!$B$5*Model!L608-IO!$B$6*Model!M608</f>
        <v>3800</v>
      </c>
    </row>
    <row r="609" spans="1:14" x14ac:dyDescent="0.35">
      <c r="A609" s="30">
        <v>608</v>
      </c>
      <c r="B609" s="31">
        <v>1</v>
      </c>
      <c r="C609" s="32">
        <f>(IO!$B$4+IO!$B$8)</f>
        <v>102</v>
      </c>
      <c r="D609" s="32">
        <f>IF(B609&gt;IO!$B$8,0,IO!$B$8-Model!B609)</f>
        <v>1</v>
      </c>
      <c r="E609" s="33">
        <f>IO!$B$5*C609-IO!$B$6*D609</f>
        <v>3980</v>
      </c>
      <c r="G609" s="47">
        <v>608</v>
      </c>
      <c r="H609" s="38" t="s">
        <v>8</v>
      </c>
      <c r="I609" s="38">
        <v>1</v>
      </c>
      <c r="J609" s="39">
        <v>0.24176054998831553</v>
      </c>
      <c r="K609" s="40">
        <f>ROUND(NORMINV(J609,IO!$B$10,IO!$B$11),0)</f>
        <v>99</v>
      </c>
      <c r="L609" s="40">
        <f>MIN(K609,IO!$B$4+IO!$B$8)</f>
        <v>99</v>
      </c>
      <c r="M609" s="40">
        <f>IF(L609-I609&gt;IO!$B$4,Model!L609-Model!I609-IO!$B$4,0)</f>
        <v>0</v>
      </c>
      <c r="N609" s="41">
        <f>IO!$B$5*Model!L609-IO!$B$6*Model!M609</f>
        <v>3960</v>
      </c>
    </row>
    <row r="610" spans="1:14" x14ac:dyDescent="0.35">
      <c r="A610" s="30">
        <v>609</v>
      </c>
      <c r="B610" s="31">
        <v>0</v>
      </c>
      <c r="C610" s="32">
        <f>(IO!$B$4+IO!$B$8)</f>
        <v>102</v>
      </c>
      <c r="D610" s="32">
        <f>IF(B610&gt;IO!$B$8,0,IO!$B$8-Model!B610)</f>
        <v>2</v>
      </c>
      <c r="E610" s="33">
        <f>IO!$B$5*C610-IO!$B$6*D610</f>
        <v>3880</v>
      </c>
      <c r="G610" s="47">
        <v>609</v>
      </c>
      <c r="H610" s="38" t="s">
        <v>9</v>
      </c>
      <c r="I610" s="38">
        <v>0</v>
      </c>
      <c r="J610" s="39">
        <v>3.0598460995032828E-2</v>
      </c>
      <c r="K610" s="40">
        <f>ROUND(NORMINV(J610,IO!$B$10,IO!$B$11),0)</f>
        <v>94</v>
      </c>
      <c r="L610" s="40">
        <f>MIN(K610,IO!$B$4+IO!$B$8)</f>
        <v>94</v>
      </c>
      <c r="M610" s="40">
        <f>IF(L610-I610&gt;IO!$B$4,Model!L610-Model!I610-IO!$B$4,0)</f>
        <v>0</v>
      </c>
      <c r="N610" s="41">
        <f>IO!$B$5*Model!L610-IO!$B$6*Model!M610</f>
        <v>3760</v>
      </c>
    </row>
    <row r="611" spans="1:14" x14ac:dyDescent="0.35">
      <c r="A611" s="30">
        <v>610</v>
      </c>
      <c r="B611" s="31">
        <v>3</v>
      </c>
      <c r="C611" s="32">
        <f>(IO!$B$4+IO!$B$8)</f>
        <v>102</v>
      </c>
      <c r="D611" s="32">
        <f>IF(B611&gt;IO!$B$8,0,IO!$B$8-Model!B611)</f>
        <v>0</v>
      </c>
      <c r="E611" s="33">
        <f>IO!$B$5*C611-IO!$B$6*D611</f>
        <v>4080</v>
      </c>
      <c r="G611" s="47">
        <v>610</v>
      </c>
      <c r="H611" s="38" t="s">
        <v>7</v>
      </c>
      <c r="I611" s="38">
        <v>3</v>
      </c>
      <c r="J611" s="39">
        <v>0.26857495981888224</v>
      </c>
      <c r="K611" s="40">
        <f>ROUND(NORMINV(J611,IO!$B$10,IO!$B$11),0)</f>
        <v>100</v>
      </c>
      <c r="L611" s="40">
        <f>MIN(K611,IO!$B$4+IO!$B$8)</f>
        <v>100</v>
      </c>
      <c r="M611" s="40">
        <f>IF(L611-I611&gt;IO!$B$4,Model!L611-Model!I611-IO!$B$4,0)</f>
        <v>0</v>
      </c>
      <c r="N611" s="41">
        <f>IO!$B$5*Model!L611-IO!$B$6*Model!M611</f>
        <v>4000</v>
      </c>
    </row>
    <row r="612" spans="1:14" x14ac:dyDescent="0.35">
      <c r="A612" s="30">
        <v>611</v>
      </c>
      <c r="B612" s="31">
        <v>0</v>
      </c>
      <c r="C612" s="32">
        <f>(IO!$B$4+IO!$B$8)</f>
        <v>102</v>
      </c>
      <c r="D612" s="32">
        <f>IF(B612&gt;IO!$B$8,0,IO!$B$8-Model!B612)</f>
        <v>2</v>
      </c>
      <c r="E612" s="33">
        <f>IO!$B$5*C612-IO!$B$6*D612</f>
        <v>3880</v>
      </c>
      <c r="G612" s="47">
        <v>611</v>
      </c>
      <c r="H612" s="38" t="s">
        <v>8</v>
      </c>
      <c r="I612" s="38">
        <v>0</v>
      </c>
      <c r="J612" s="39">
        <v>0.90234250020585172</v>
      </c>
      <c r="K612" s="40">
        <f>ROUND(NORMINV(J612,IO!$B$10,IO!$B$11),0)</f>
        <v>109</v>
      </c>
      <c r="L612" s="40">
        <f>MIN(K612,IO!$B$4+IO!$B$8)</f>
        <v>102</v>
      </c>
      <c r="M612" s="40">
        <f>IF(L612-I612&gt;IO!$B$4,Model!L612-Model!I612-IO!$B$4,0)</f>
        <v>2</v>
      </c>
      <c r="N612" s="41">
        <f>IO!$B$5*Model!L612-IO!$B$6*Model!M612</f>
        <v>3880</v>
      </c>
    </row>
    <row r="613" spans="1:14" x14ac:dyDescent="0.35">
      <c r="A613" s="30">
        <v>612</v>
      </c>
      <c r="B613" s="31">
        <v>0</v>
      </c>
      <c r="C613" s="32">
        <f>(IO!$B$4+IO!$B$8)</f>
        <v>102</v>
      </c>
      <c r="D613" s="32">
        <f>IF(B613&gt;IO!$B$8,0,IO!$B$8-Model!B613)</f>
        <v>2</v>
      </c>
      <c r="E613" s="33">
        <f>IO!$B$5*C613-IO!$B$6*D613</f>
        <v>3880</v>
      </c>
      <c r="G613" s="47">
        <v>612</v>
      </c>
      <c r="H613" s="38" t="s">
        <v>9</v>
      </c>
      <c r="I613" s="38">
        <v>0</v>
      </c>
      <c r="J613" s="39">
        <v>0.50364343877277118</v>
      </c>
      <c r="K613" s="40">
        <f>ROUND(NORMINV(J613,IO!$B$10,IO!$B$11),0)</f>
        <v>103</v>
      </c>
      <c r="L613" s="40">
        <f>MIN(K613,IO!$B$4+IO!$B$8)</f>
        <v>102</v>
      </c>
      <c r="M613" s="40">
        <f>IF(L613-I613&gt;IO!$B$4,Model!L613-Model!I613-IO!$B$4,0)</f>
        <v>2</v>
      </c>
      <c r="N613" s="41">
        <f>IO!$B$5*Model!L613-IO!$B$6*Model!M613</f>
        <v>3880</v>
      </c>
    </row>
    <row r="614" spans="1:14" x14ac:dyDescent="0.35">
      <c r="A614" s="30">
        <v>613</v>
      </c>
      <c r="B614" s="31">
        <v>4</v>
      </c>
      <c r="C614" s="32">
        <f>(IO!$B$4+IO!$B$8)</f>
        <v>102</v>
      </c>
      <c r="D614" s="32">
        <f>IF(B614&gt;IO!$B$8,0,IO!$B$8-Model!B614)</f>
        <v>0</v>
      </c>
      <c r="E614" s="33">
        <f>IO!$B$5*C614-IO!$B$6*D614</f>
        <v>4080</v>
      </c>
      <c r="G614" s="47">
        <v>613</v>
      </c>
      <c r="H614" s="38" t="s">
        <v>7</v>
      </c>
      <c r="I614" s="38">
        <v>4</v>
      </c>
      <c r="J614" s="39">
        <v>0.3550813153279947</v>
      </c>
      <c r="K614" s="40">
        <f>ROUND(NORMINV(J614,IO!$B$10,IO!$B$11),0)</f>
        <v>101</v>
      </c>
      <c r="L614" s="40">
        <f>MIN(K614,IO!$B$4+IO!$B$8)</f>
        <v>101</v>
      </c>
      <c r="M614" s="40">
        <f>IF(L614-I614&gt;IO!$B$4,Model!L614-Model!I614-IO!$B$4,0)</f>
        <v>0</v>
      </c>
      <c r="N614" s="41">
        <f>IO!$B$5*Model!L614-IO!$B$6*Model!M614</f>
        <v>4040</v>
      </c>
    </row>
    <row r="615" spans="1:14" x14ac:dyDescent="0.35">
      <c r="A615" s="30">
        <v>614</v>
      </c>
      <c r="B615" s="31">
        <v>4</v>
      </c>
      <c r="C615" s="32">
        <f>(IO!$B$4+IO!$B$8)</f>
        <v>102</v>
      </c>
      <c r="D615" s="32">
        <f>IF(B615&gt;IO!$B$8,0,IO!$B$8-Model!B615)</f>
        <v>0</v>
      </c>
      <c r="E615" s="33">
        <f>IO!$B$5*C615-IO!$B$6*D615</f>
        <v>4080</v>
      </c>
      <c r="G615" s="47">
        <v>614</v>
      </c>
      <c r="H615" s="38" t="s">
        <v>8</v>
      </c>
      <c r="I615" s="38">
        <v>4</v>
      </c>
      <c r="J615" s="39">
        <v>0.77594290924744469</v>
      </c>
      <c r="K615" s="40">
        <f>ROUND(NORMINV(J615,IO!$B$10,IO!$B$11),0)</f>
        <v>107</v>
      </c>
      <c r="L615" s="40">
        <f>MIN(K615,IO!$B$4+IO!$B$8)</f>
        <v>102</v>
      </c>
      <c r="M615" s="40">
        <f>IF(L615-I615&gt;IO!$B$4,Model!L615-Model!I615-IO!$B$4,0)</f>
        <v>0</v>
      </c>
      <c r="N615" s="41">
        <f>IO!$B$5*Model!L615-IO!$B$6*Model!M615</f>
        <v>4080</v>
      </c>
    </row>
    <row r="616" spans="1:14" x14ac:dyDescent="0.35">
      <c r="A616" s="30">
        <v>615</v>
      </c>
      <c r="B616" s="31">
        <v>0</v>
      </c>
      <c r="C616" s="32">
        <f>(IO!$B$4+IO!$B$8)</f>
        <v>102</v>
      </c>
      <c r="D616" s="32">
        <f>IF(B616&gt;IO!$B$8,0,IO!$B$8-Model!B616)</f>
        <v>2</v>
      </c>
      <c r="E616" s="33">
        <f>IO!$B$5*C616-IO!$B$6*D616</f>
        <v>3880</v>
      </c>
      <c r="G616" s="47">
        <v>615</v>
      </c>
      <c r="H616" s="38" t="s">
        <v>9</v>
      </c>
      <c r="I616" s="38">
        <v>0</v>
      </c>
      <c r="J616" s="39">
        <v>0.54148614627177738</v>
      </c>
      <c r="K616" s="40">
        <f>ROUND(NORMINV(J616,IO!$B$10,IO!$B$11),0)</f>
        <v>104</v>
      </c>
      <c r="L616" s="40">
        <f>MIN(K616,IO!$B$4+IO!$B$8)</f>
        <v>102</v>
      </c>
      <c r="M616" s="40">
        <f>IF(L616-I616&gt;IO!$B$4,Model!L616-Model!I616-IO!$B$4,0)</f>
        <v>2</v>
      </c>
      <c r="N616" s="41">
        <f>IO!$B$5*Model!L616-IO!$B$6*Model!M616</f>
        <v>3880</v>
      </c>
    </row>
    <row r="617" spans="1:14" x14ac:dyDescent="0.35">
      <c r="A617" s="30">
        <v>616</v>
      </c>
      <c r="B617" s="31">
        <v>3</v>
      </c>
      <c r="C617" s="32">
        <f>(IO!$B$4+IO!$B$8)</f>
        <v>102</v>
      </c>
      <c r="D617" s="32">
        <f>IF(B617&gt;IO!$B$8,0,IO!$B$8-Model!B617)</f>
        <v>0</v>
      </c>
      <c r="E617" s="33">
        <f>IO!$B$5*C617-IO!$B$6*D617</f>
        <v>4080</v>
      </c>
      <c r="G617" s="47">
        <v>616</v>
      </c>
      <c r="H617" s="38" t="s">
        <v>7</v>
      </c>
      <c r="I617" s="38">
        <v>3</v>
      </c>
      <c r="J617" s="39">
        <v>6.0367343399634454E-2</v>
      </c>
      <c r="K617" s="40">
        <f>ROUND(NORMINV(J617,IO!$B$10,IO!$B$11),0)</f>
        <v>95</v>
      </c>
      <c r="L617" s="40">
        <f>MIN(K617,IO!$B$4+IO!$B$8)</f>
        <v>95</v>
      </c>
      <c r="M617" s="40">
        <f>IF(L617-I617&gt;IO!$B$4,Model!L617-Model!I617-IO!$B$4,0)</f>
        <v>0</v>
      </c>
      <c r="N617" s="41">
        <f>IO!$B$5*Model!L617-IO!$B$6*Model!M617</f>
        <v>3800</v>
      </c>
    </row>
    <row r="618" spans="1:14" x14ac:dyDescent="0.35">
      <c r="A618" s="30">
        <v>617</v>
      </c>
      <c r="B618" s="31">
        <v>2</v>
      </c>
      <c r="C618" s="32">
        <f>(IO!$B$4+IO!$B$8)</f>
        <v>102</v>
      </c>
      <c r="D618" s="32">
        <f>IF(B618&gt;IO!$B$8,0,IO!$B$8-Model!B618)</f>
        <v>0</v>
      </c>
      <c r="E618" s="33">
        <f>IO!$B$5*C618-IO!$B$6*D618</f>
        <v>4080</v>
      </c>
      <c r="G618" s="47">
        <v>617</v>
      </c>
      <c r="H618" s="38" t="s">
        <v>8</v>
      </c>
      <c r="I618" s="38">
        <v>2</v>
      </c>
      <c r="J618" s="39">
        <v>0.69483903169812689</v>
      </c>
      <c r="K618" s="40">
        <f>ROUND(NORMINV(J618,IO!$B$10,IO!$B$11),0)</f>
        <v>106</v>
      </c>
      <c r="L618" s="40">
        <f>MIN(K618,IO!$B$4+IO!$B$8)</f>
        <v>102</v>
      </c>
      <c r="M618" s="40">
        <f>IF(L618-I618&gt;IO!$B$4,Model!L618-Model!I618-IO!$B$4,0)</f>
        <v>0</v>
      </c>
      <c r="N618" s="41">
        <f>IO!$B$5*Model!L618-IO!$B$6*Model!M618</f>
        <v>4080</v>
      </c>
    </row>
    <row r="619" spans="1:14" x14ac:dyDescent="0.35">
      <c r="A619" s="30">
        <v>618</v>
      </c>
      <c r="B619" s="31">
        <v>2</v>
      </c>
      <c r="C619" s="32">
        <f>(IO!$B$4+IO!$B$8)</f>
        <v>102</v>
      </c>
      <c r="D619" s="32">
        <f>IF(B619&gt;IO!$B$8,0,IO!$B$8-Model!B619)</f>
        <v>0</v>
      </c>
      <c r="E619" s="33">
        <f>IO!$B$5*C619-IO!$B$6*D619</f>
        <v>4080</v>
      </c>
      <c r="G619" s="47">
        <v>618</v>
      </c>
      <c r="H619" s="38" t="s">
        <v>9</v>
      </c>
      <c r="I619" s="38">
        <v>2</v>
      </c>
      <c r="J619" s="39">
        <v>0.19927386022293114</v>
      </c>
      <c r="K619" s="40">
        <f>ROUND(NORMINV(J619,IO!$B$10,IO!$B$11),0)</f>
        <v>99</v>
      </c>
      <c r="L619" s="40">
        <f>MIN(K619,IO!$B$4+IO!$B$8)</f>
        <v>99</v>
      </c>
      <c r="M619" s="40">
        <f>IF(L619-I619&gt;IO!$B$4,Model!L619-Model!I619-IO!$B$4,0)</f>
        <v>0</v>
      </c>
      <c r="N619" s="41">
        <f>IO!$B$5*Model!L619-IO!$B$6*Model!M619</f>
        <v>3960</v>
      </c>
    </row>
    <row r="620" spans="1:14" x14ac:dyDescent="0.35">
      <c r="A620" s="30">
        <v>619</v>
      </c>
      <c r="B620" s="31">
        <v>8</v>
      </c>
      <c r="C620" s="32">
        <f>(IO!$B$4+IO!$B$8)</f>
        <v>102</v>
      </c>
      <c r="D620" s="32">
        <f>IF(B620&gt;IO!$B$8,0,IO!$B$8-Model!B620)</f>
        <v>0</v>
      </c>
      <c r="E620" s="33">
        <f>IO!$B$5*C620-IO!$B$6*D620</f>
        <v>4080</v>
      </c>
      <c r="G620" s="47">
        <v>619</v>
      </c>
      <c r="H620" s="38" t="s">
        <v>7</v>
      </c>
      <c r="I620" s="38">
        <v>8</v>
      </c>
      <c r="J620" s="39">
        <v>0.73174136292557546</v>
      </c>
      <c r="K620" s="40">
        <f>ROUND(NORMINV(J620,IO!$B$10,IO!$B$11),0)</f>
        <v>106</v>
      </c>
      <c r="L620" s="40">
        <f>MIN(K620,IO!$B$4+IO!$B$8)</f>
        <v>102</v>
      </c>
      <c r="M620" s="40">
        <f>IF(L620-I620&gt;IO!$B$4,Model!L620-Model!I620-IO!$B$4,0)</f>
        <v>0</v>
      </c>
      <c r="N620" s="41">
        <f>IO!$B$5*Model!L620-IO!$B$6*Model!M620</f>
        <v>4080</v>
      </c>
    </row>
    <row r="621" spans="1:14" x14ac:dyDescent="0.35">
      <c r="A621" s="30">
        <v>620</v>
      </c>
      <c r="B621" s="31">
        <v>1</v>
      </c>
      <c r="C621" s="32">
        <f>(IO!$B$4+IO!$B$8)</f>
        <v>102</v>
      </c>
      <c r="D621" s="32">
        <f>IF(B621&gt;IO!$B$8,0,IO!$B$8-Model!B621)</f>
        <v>1</v>
      </c>
      <c r="E621" s="33">
        <f>IO!$B$5*C621-IO!$B$6*D621</f>
        <v>3980</v>
      </c>
      <c r="G621" s="47">
        <v>620</v>
      </c>
      <c r="H621" s="38" t="s">
        <v>8</v>
      </c>
      <c r="I621" s="38">
        <v>1</v>
      </c>
      <c r="J621" s="39">
        <v>0.55863377663633162</v>
      </c>
      <c r="K621" s="40">
        <f>ROUND(NORMINV(J621,IO!$B$10,IO!$B$11),0)</f>
        <v>104</v>
      </c>
      <c r="L621" s="40">
        <f>MIN(K621,IO!$B$4+IO!$B$8)</f>
        <v>102</v>
      </c>
      <c r="M621" s="40">
        <f>IF(L621-I621&gt;IO!$B$4,Model!L621-Model!I621-IO!$B$4,0)</f>
        <v>1</v>
      </c>
      <c r="N621" s="41">
        <f>IO!$B$5*Model!L621-IO!$B$6*Model!M621</f>
        <v>3980</v>
      </c>
    </row>
    <row r="622" spans="1:14" x14ac:dyDescent="0.35">
      <c r="A622" s="30">
        <v>621</v>
      </c>
      <c r="B622" s="31">
        <v>0</v>
      </c>
      <c r="C622" s="32">
        <f>(IO!$B$4+IO!$B$8)</f>
        <v>102</v>
      </c>
      <c r="D622" s="32">
        <f>IF(B622&gt;IO!$B$8,0,IO!$B$8-Model!B622)</f>
        <v>2</v>
      </c>
      <c r="E622" s="33">
        <f>IO!$B$5*C622-IO!$B$6*D622</f>
        <v>3880</v>
      </c>
      <c r="G622" s="47">
        <v>621</v>
      </c>
      <c r="H622" s="38" t="s">
        <v>9</v>
      </c>
      <c r="I622" s="38">
        <v>0</v>
      </c>
      <c r="J622" s="39">
        <v>0.89629931688896558</v>
      </c>
      <c r="K622" s="40">
        <f>ROUND(NORMINV(J622,IO!$B$10,IO!$B$11),0)</f>
        <v>109</v>
      </c>
      <c r="L622" s="40">
        <f>MIN(K622,IO!$B$4+IO!$B$8)</f>
        <v>102</v>
      </c>
      <c r="M622" s="40">
        <f>IF(L622-I622&gt;IO!$B$4,Model!L622-Model!I622-IO!$B$4,0)</f>
        <v>2</v>
      </c>
      <c r="N622" s="41">
        <f>IO!$B$5*Model!L622-IO!$B$6*Model!M622</f>
        <v>3880</v>
      </c>
    </row>
    <row r="623" spans="1:14" x14ac:dyDescent="0.35">
      <c r="A623" s="30">
        <v>622</v>
      </c>
      <c r="B623" s="31">
        <v>2</v>
      </c>
      <c r="C623" s="32">
        <f>(IO!$B$4+IO!$B$8)</f>
        <v>102</v>
      </c>
      <c r="D623" s="32">
        <f>IF(B623&gt;IO!$B$8,0,IO!$B$8-Model!B623)</f>
        <v>0</v>
      </c>
      <c r="E623" s="33">
        <f>IO!$B$5*C623-IO!$B$6*D623</f>
        <v>4080</v>
      </c>
      <c r="G623" s="47">
        <v>622</v>
      </c>
      <c r="H623" s="38" t="s">
        <v>7</v>
      </c>
      <c r="I623" s="38">
        <v>2</v>
      </c>
      <c r="J623" s="39">
        <v>0.25968137496994548</v>
      </c>
      <c r="K623" s="40">
        <f>ROUND(NORMINV(J623,IO!$B$10,IO!$B$11),0)</f>
        <v>100</v>
      </c>
      <c r="L623" s="40">
        <f>MIN(K623,IO!$B$4+IO!$B$8)</f>
        <v>100</v>
      </c>
      <c r="M623" s="40">
        <f>IF(L623-I623&gt;IO!$B$4,Model!L623-Model!I623-IO!$B$4,0)</f>
        <v>0</v>
      </c>
      <c r="N623" s="41">
        <f>IO!$B$5*Model!L623-IO!$B$6*Model!M623</f>
        <v>4000</v>
      </c>
    </row>
    <row r="624" spans="1:14" x14ac:dyDescent="0.35">
      <c r="A624" s="30">
        <v>623</v>
      </c>
      <c r="B624" s="31">
        <v>3</v>
      </c>
      <c r="C624" s="32">
        <f>(IO!$B$4+IO!$B$8)</f>
        <v>102</v>
      </c>
      <c r="D624" s="32">
        <f>IF(B624&gt;IO!$B$8,0,IO!$B$8-Model!B624)</f>
        <v>0</v>
      </c>
      <c r="E624" s="33">
        <f>IO!$B$5*C624-IO!$B$6*D624</f>
        <v>4080</v>
      </c>
      <c r="G624" s="47">
        <v>623</v>
      </c>
      <c r="H624" s="38" t="s">
        <v>8</v>
      </c>
      <c r="I624" s="38">
        <v>3</v>
      </c>
      <c r="J624" s="39">
        <v>0.33231634564684032</v>
      </c>
      <c r="K624" s="40">
        <f>ROUND(NORMINV(J624,IO!$B$10,IO!$B$11),0)</f>
        <v>101</v>
      </c>
      <c r="L624" s="40">
        <f>MIN(K624,IO!$B$4+IO!$B$8)</f>
        <v>101</v>
      </c>
      <c r="M624" s="40">
        <f>IF(L624-I624&gt;IO!$B$4,Model!L624-Model!I624-IO!$B$4,0)</f>
        <v>0</v>
      </c>
      <c r="N624" s="41">
        <f>IO!$B$5*Model!L624-IO!$B$6*Model!M624</f>
        <v>4040</v>
      </c>
    </row>
    <row r="625" spans="1:14" x14ac:dyDescent="0.35">
      <c r="A625" s="30">
        <v>624</v>
      </c>
      <c r="B625" s="31">
        <v>1</v>
      </c>
      <c r="C625" s="32">
        <f>(IO!$B$4+IO!$B$8)</f>
        <v>102</v>
      </c>
      <c r="D625" s="32">
        <f>IF(B625&gt;IO!$B$8,0,IO!$B$8-Model!B625)</f>
        <v>1</v>
      </c>
      <c r="E625" s="33">
        <f>IO!$B$5*C625-IO!$B$6*D625</f>
        <v>3980</v>
      </c>
      <c r="G625" s="47">
        <v>624</v>
      </c>
      <c r="H625" s="38" t="s">
        <v>9</v>
      </c>
      <c r="I625" s="38">
        <v>1</v>
      </c>
      <c r="J625" s="39">
        <v>0.73765415024558412</v>
      </c>
      <c r="K625" s="40">
        <f>ROUND(NORMINV(J625,IO!$B$10,IO!$B$11),0)</f>
        <v>106</v>
      </c>
      <c r="L625" s="40">
        <f>MIN(K625,IO!$B$4+IO!$B$8)</f>
        <v>102</v>
      </c>
      <c r="M625" s="40">
        <f>IF(L625-I625&gt;IO!$B$4,Model!L625-Model!I625-IO!$B$4,0)</f>
        <v>1</v>
      </c>
      <c r="N625" s="41">
        <f>IO!$B$5*Model!L625-IO!$B$6*Model!M625</f>
        <v>3980</v>
      </c>
    </row>
    <row r="626" spans="1:14" x14ac:dyDescent="0.35">
      <c r="A626" s="30">
        <v>625</v>
      </c>
      <c r="B626" s="31">
        <v>5</v>
      </c>
      <c r="C626" s="32">
        <f>(IO!$B$4+IO!$B$8)</f>
        <v>102</v>
      </c>
      <c r="D626" s="32">
        <f>IF(B626&gt;IO!$B$8,0,IO!$B$8-Model!B626)</f>
        <v>0</v>
      </c>
      <c r="E626" s="33">
        <f>IO!$B$5*C626-IO!$B$6*D626</f>
        <v>4080</v>
      </c>
      <c r="G626" s="47">
        <v>625</v>
      </c>
      <c r="H626" s="38" t="s">
        <v>7</v>
      </c>
      <c r="I626" s="38">
        <v>5</v>
      </c>
      <c r="J626" s="39">
        <v>0.89341324327278182</v>
      </c>
      <c r="K626" s="40">
        <f>ROUND(NORMINV(J626,IO!$B$10,IO!$B$11),0)</f>
        <v>109</v>
      </c>
      <c r="L626" s="40">
        <f>MIN(K626,IO!$B$4+IO!$B$8)</f>
        <v>102</v>
      </c>
      <c r="M626" s="40">
        <f>IF(L626-I626&gt;IO!$B$4,Model!L626-Model!I626-IO!$B$4,0)</f>
        <v>0</v>
      </c>
      <c r="N626" s="41">
        <f>IO!$B$5*Model!L626-IO!$B$6*Model!M626</f>
        <v>4080</v>
      </c>
    </row>
    <row r="627" spans="1:14" x14ac:dyDescent="0.35">
      <c r="A627" s="30">
        <v>626</v>
      </c>
      <c r="B627" s="31">
        <v>3</v>
      </c>
      <c r="C627" s="32">
        <f>(IO!$B$4+IO!$B$8)</f>
        <v>102</v>
      </c>
      <c r="D627" s="32">
        <f>IF(B627&gt;IO!$B$8,0,IO!$B$8-Model!B627)</f>
        <v>0</v>
      </c>
      <c r="E627" s="33">
        <f>IO!$B$5*C627-IO!$B$6*D627</f>
        <v>4080</v>
      </c>
      <c r="G627" s="47">
        <v>626</v>
      </c>
      <c r="H627" s="38" t="s">
        <v>8</v>
      </c>
      <c r="I627" s="38">
        <v>3</v>
      </c>
      <c r="J627" s="39">
        <v>0.26678928983415939</v>
      </c>
      <c r="K627" s="40">
        <f>ROUND(NORMINV(J627,IO!$B$10,IO!$B$11),0)</f>
        <v>100</v>
      </c>
      <c r="L627" s="40">
        <f>MIN(K627,IO!$B$4+IO!$B$8)</f>
        <v>100</v>
      </c>
      <c r="M627" s="40">
        <f>IF(L627-I627&gt;IO!$B$4,Model!L627-Model!I627-IO!$B$4,0)</f>
        <v>0</v>
      </c>
      <c r="N627" s="41">
        <f>IO!$B$5*Model!L627-IO!$B$6*Model!M627</f>
        <v>4000</v>
      </c>
    </row>
    <row r="628" spans="1:14" x14ac:dyDescent="0.35">
      <c r="A628" s="30">
        <v>627</v>
      </c>
      <c r="B628" s="31">
        <v>0</v>
      </c>
      <c r="C628" s="32">
        <f>(IO!$B$4+IO!$B$8)</f>
        <v>102</v>
      </c>
      <c r="D628" s="32">
        <f>IF(B628&gt;IO!$B$8,0,IO!$B$8-Model!B628)</f>
        <v>2</v>
      </c>
      <c r="E628" s="33">
        <f>IO!$B$5*C628-IO!$B$6*D628</f>
        <v>3880</v>
      </c>
      <c r="G628" s="47">
        <v>627</v>
      </c>
      <c r="H628" s="38" t="s">
        <v>9</v>
      </c>
      <c r="I628" s="38">
        <v>0</v>
      </c>
      <c r="J628" s="39">
        <v>0.50723559917970862</v>
      </c>
      <c r="K628" s="40">
        <f>ROUND(NORMINV(J628,IO!$B$10,IO!$B$11),0)</f>
        <v>103</v>
      </c>
      <c r="L628" s="40">
        <f>MIN(K628,IO!$B$4+IO!$B$8)</f>
        <v>102</v>
      </c>
      <c r="M628" s="40">
        <f>IF(L628-I628&gt;IO!$B$4,Model!L628-Model!I628-IO!$B$4,0)</f>
        <v>2</v>
      </c>
      <c r="N628" s="41">
        <f>IO!$B$5*Model!L628-IO!$B$6*Model!M628</f>
        <v>3880</v>
      </c>
    </row>
    <row r="629" spans="1:14" x14ac:dyDescent="0.35">
      <c r="A629" s="30">
        <v>628</v>
      </c>
      <c r="B629" s="31">
        <v>3</v>
      </c>
      <c r="C629" s="32">
        <f>(IO!$B$4+IO!$B$8)</f>
        <v>102</v>
      </c>
      <c r="D629" s="32">
        <f>IF(B629&gt;IO!$B$8,0,IO!$B$8-Model!B629)</f>
        <v>0</v>
      </c>
      <c r="E629" s="33">
        <f>IO!$B$5*C629-IO!$B$6*D629</f>
        <v>4080</v>
      </c>
      <c r="G629" s="47">
        <v>628</v>
      </c>
      <c r="H629" s="38" t="s">
        <v>7</v>
      </c>
      <c r="I629" s="38">
        <v>3</v>
      </c>
      <c r="J629" s="39">
        <v>0.49391867516440713</v>
      </c>
      <c r="K629" s="40">
        <f>ROUND(NORMINV(J629,IO!$B$10,IO!$B$11),0)</f>
        <v>103</v>
      </c>
      <c r="L629" s="40">
        <f>MIN(K629,IO!$B$4+IO!$B$8)</f>
        <v>102</v>
      </c>
      <c r="M629" s="40">
        <f>IF(L629-I629&gt;IO!$B$4,Model!L629-Model!I629-IO!$B$4,0)</f>
        <v>0</v>
      </c>
      <c r="N629" s="41">
        <f>IO!$B$5*Model!L629-IO!$B$6*Model!M629</f>
        <v>4080</v>
      </c>
    </row>
    <row r="630" spans="1:14" x14ac:dyDescent="0.35">
      <c r="A630" s="30">
        <v>629</v>
      </c>
      <c r="B630" s="31">
        <v>3</v>
      </c>
      <c r="C630" s="32">
        <f>(IO!$B$4+IO!$B$8)</f>
        <v>102</v>
      </c>
      <c r="D630" s="32">
        <f>IF(B630&gt;IO!$B$8,0,IO!$B$8-Model!B630)</f>
        <v>0</v>
      </c>
      <c r="E630" s="33">
        <f>IO!$B$5*C630-IO!$B$6*D630</f>
        <v>4080</v>
      </c>
      <c r="G630" s="47">
        <v>629</v>
      </c>
      <c r="H630" s="38" t="s">
        <v>8</v>
      </c>
      <c r="I630" s="38">
        <v>3</v>
      </c>
      <c r="J630" s="39">
        <v>0.51307732191588906</v>
      </c>
      <c r="K630" s="40">
        <f>ROUND(NORMINV(J630,IO!$B$10,IO!$B$11),0)</f>
        <v>103</v>
      </c>
      <c r="L630" s="40">
        <f>MIN(K630,IO!$B$4+IO!$B$8)</f>
        <v>102</v>
      </c>
      <c r="M630" s="40">
        <f>IF(L630-I630&gt;IO!$B$4,Model!L630-Model!I630-IO!$B$4,0)</f>
        <v>0</v>
      </c>
      <c r="N630" s="41">
        <f>IO!$B$5*Model!L630-IO!$B$6*Model!M630</f>
        <v>4080</v>
      </c>
    </row>
    <row r="631" spans="1:14" x14ac:dyDescent="0.35">
      <c r="A631" s="30">
        <v>630</v>
      </c>
      <c r="B631" s="31">
        <v>0</v>
      </c>
      <c r="C631" s="32">
        <f>(IO!$B$4+IO!$B$8)</f>
        <v>102</v>
      </c>
      <c r="D631" s="32">
        <f>IF(B631&gt;IO!$B$8,0,IO!$B$8-Model!B631)</f>
        <v>2</v>
      </c>
      <c r="E631" s="33">
        <f>IO!$B$5*C631-IO!$B$6*D631</f>
        <v>3880</v>
      </c>
      <c r="G631" s="47">
        <v>630</v>
      </c>
      <c r="H631" s="38" t="s">
        <v>9</v>
      </c>
      <c r="I631" s="38">
        <v>0</v>
      </c>
      <c r="J631" s="39">
        <v>0.61985980729154744</v>
      </c>
      <c r="K631" s="40">
        <f>ROUND(NORMINV(J631,IO!$B$10,IO!$B$11),0)</f>
        <v>105</v>
      </c>
      <c r="L631" s="40">
        <f>MIN(K631,IO!$B$4+IO!$B$8)</f>
        <v>102</v>
      </c>
      <c r="M631" s="40">
        <f>IF(L631-I631&gt;IO!$B$4,Model!L631-Model!I631-IO!$B$4,0)</f>
        <v>2</v>
      </c>
      <c r="N631" s="41">
        <f>IO!$B$5*Model!L631-IO!$B$6*Model!M631</f>
        <v>3880</v>
      </c>
    </row>
    <row r="632" spans="1:14" x14ac:dyDescent="0.35">
      <c r="A632" s="30">
        <v>631</v>
      </c>
      <c r="B632" s="31">
        <v>4</v>
      </c>
      <c r="C632" s="32">
        <f>(IO!$B$4+IO!$B$8)</f>
        <v>102</v>
      </c>
      <c r="D632" s="32">
        <f>IF(B632&gt;IO!$B$8,0,IO!$B$8-Model!B632)</f>
        <v>0</v>
      </c>
      <c r="E632" s="33">
        <f>IO!$B$5*C632-IO!$B$6*D632</f>
        <v>4080</v>
      </c>
      <c r="G632" s="47">
        <v>631</v>
      </c>
      <c r="H632" s="38" t="s">
        <v>7</v>
      </c>
      <c r="I632" s="38">
        <v>4</v>
      </c>
      <c r="J632" s="39">
        <v>0.67568516191111505</v>
      </c>
      <c r="K632" s="40">
        <f>ROUND(NORMINV(J632,IO!$B$10,IO!$B$11),0)</f>
        <v>105</v>
      </c>
      <c r="L632" s="40">
        <f>MIN(K632,IO!$B$4+IO!$B$8)</f>
        <v>102</v>
      </c>
      <c r="M632" s="40">
        <f>IF(L632-I632&gt;IO!$B$4,Model!L632-Model!I632-IO!$B$4,0)</f>
        <v>0</v>
      </c>
      <c r="N632" s="41">
        <f>IO!$B$5*Model!L632-IO!$B$6*Model!M632</f>
        <v>4080</v>
      </c>
    </row>
    <row r="633" spans="1:14" x14ac:dyDescent="0.35">
      <c r="A633" s="30">
        <v>632</v>
      </c>
      <c r="B633" s="31">
        <v>2</v>
      </c>
      <c r="C633" s="32">
        <f>(IO!$B$4+IO!$B$8)</f>
        <v>102</v>
      </c>
      <c r="D633" s="32">
        <f>IF(B633&gt;IO!$B$8,0,IO!$B$8-Model!B633)</f>
        <v>0</v>
      </c>
      <c r="E633" s="33">
        <f>IO!$B$5*C633-IO!$B$6*D633</f>
        <v>4080</v>
      </c>
      <c r="G633" s="47">
        <v>632</v>
      </c>
      <c r="H633" s="38" t="s">
        <v>8</v>
      </c>
      <c r="I633" s="38">
        <v>2</v>
      </c>
      <c r="J633" s="39">
        <v>0.13419924900791036</v>
      </c>
      <c r="K633" s="40">
        <f>ROUND(NORMINV(J633,IO!$B$10,IO!$B$11),0)</f>
        <v>97</v>
      </c>
      <c r="L633" s="40">
        <f>MIN(K633,IO!$B$4+IO!$B$8)</f>
        <v>97</v>
      </c>
      <c r="M633" s="40">
        <f>IF(L633-I633&gt;IO!$B$4,Model!L633-Model!I633-IO!$B$4,0)</f>
        <v>0</v>
      </c>
      <c r="N633" s="41">
        <f>IO!$B$5*Model!L633-IO!$B$6*Model!M633</f>
        <v>3880</v>
      </c>
    </row>
    <row r="634" spans="1:14" x14ac:dyDescent="0.35">
      <c r="A634" s="30">
        <v>633</v>
      </c>
      <c r="B634" s="31">
        <v>2</v>
      </c>
      <c r="C634" s="32">
        <f>(IO!$B$4+IO!$B$8)</f>
        <v>102</v>
      </c>
      <c r="D634" s="32">
        <f>IF(B634&gt;IO!$B$8,0,IO!$B$8-Model!B634)</f>
        <v>0</v>
      </c>
      <c r="E634" s="33">
        <f>IO!$B$5*C634-IO!$B$6*D634</f>
        <v>4080</v>
      </c>
      <c r="G634" s="47">
        <v>633</v>
      </c>
      <c r="H634" s="38" t="s">
        <v>9</v>
      </c>
      <c r="I634" s="38">
        <v>2</v>
      </c>
      <c r="J634" s="39">
        <v>0.3884671001598401</v>
      </c>
      <c r="K634" s="40">
        <f>ROUND(NORMINV(J634,IO!$B$10,IO!$B$11),0)</f>
        <v>102</v>
      </c>
      <c r="L634" s="40">
        <f>MIN(K634,IO!$B$4+IO!$B$8)</f>
        <v>102</v>
      </c>
      <c r="M634" s="40">
        <f>IF(L634-I634&gt;IO!$B$4,Model!L634-Model!I634-IO!$B$4,0)</f>
        <v>0</v>
      </c>
      <c r="N634" s="41">
        <f>IO!$B$5*Model!L634-IO!$B$6*Model!M634</f>
        <v>4080</v>
      </c>
    </row>
    <row r="635" spans="1:14" x14ac:dyDescent="0.35">
      <c r="A635" s="30">
        <v>634</v>
      </c>
      <c r="B635" s="31">
        <v>2</v>
      </c>
      <c r="C635" s="32">
        <f>(IO!$B$4+IO!$B$8)</f>
        <v>102</v>
      </c>
      <c r="D635" s="32">
        <f>IF(B635&gt;IO!$B$8,0,IO!$B$8-Model!B635)</f>
        <v>0</v>
      </c>
      <c r="E635" s="33">
        <f>IO!$B$5*C635-IO!$B$6*D635</f>
        <v>4080</v>
      </c>
      <c r="G635" s="47">
        <v>634</v>
      </c>
      <c r="H635" s="38" t="s">
        <v>7</v>
      </c>
      <c r="I635" s="38">
        <v>2</v>
      </c>
      <c r="J635" s="39">
        <v>0.16431197111960238</v>
      </c>
      <c r="K635" s="40">
        <f>ROUND(NORMINV(J635,IO!$B$10,IO!$B$11),0)</f>
        <v>98</v>
      </c>
      <c r="L635" s="40">
        <f>MIN(K635,IO!$B$4+IO!$B$8)</f>
        <v>98</v>
      </c>
      <c r="M635" s="40">
        <f>IF(L635-I635&gt;IO!$B$4,Model!L635-Model!I635-IO!$B$4,0)</f>
        <v>0</v>
      </c>
      <c r="N635" s="41">
        <f>IO!$B$5*Model!L635-IO!$B$6*Model!M635</f>
        <v>3920</v>
      </c>
    </row>
    <row r="636" spans="1:14" x14ac:dyDescent="0.35">
      <c r="A636" s="30">
        <v>635</v>
      </c>
      <c r="B636" s="31">
        <v>1</v>
      </c>
      <c r="C636" s="32">
        <f>(IO!$B$4+IO!$B$8)</f>
        <v>102</v>
      </c>
      <c r="D636" s="32">
        <f>IF(B636&gt;IO!$B$8,0,IO!$B$8-Model!B636)</f>
        <v>1</v>
      </c>
      <c r="E636" s="33">
        <f>IO!$B$5*C636-IO!$B$6*D636</f>
        <v>3980</v>
      </c>
      <c r="G636" s="47">
        <v>635</v>
      </c>
      <c r="H636" s="38" t="s">
        <v>8</v>
      </c>
      <c r="I636" s="38">
        <v>1</v>
      </c>
      <c r="J636" s="39">
        <v>0.27391893872994233</v>
      </c>
      <c r="K636" s="40">
        <f>ROUND(NORMINV(J636,IO!$B$10,IO!$B$11),0)</f>
        <v>100</v>
      </c>
      <c r="L636" s="40">
        <f>MIN(K636,IO!$B$4+IO!$B$8)</f>
        <v>100</v>
      </c>
      <c r="M636" s="40">
        <f>IF(L636-I636&gt;IO!$B$4,Model!L636-Model!I636-IO!$B$4,0)</f>
        <v>0</v>
      </c>
      <c r="N636" s="41">
        <f>IO!$B$5*Model!L636-IO!$B$6*Model!M636</f>
        <v>4000</v>
      </c>
    </row>
    <row r="637" spans="1:14" x14ac:dyDescent="0.35">
      <c r="A637" s="30">
        <v>636</v>
      </c>
      <c r="B637" s="31">
        <v>1</v>
      </c>
      <c r="C637" s="32">
        <f>(IO!$B$4+IO!$B$8)</f>
        <v>102</v>
      </c>
      <c r="D637" s="32">
        <f>IF(B637&gt;IO!$B$8,0,IO!$B$8-Model!B637)</f>
        <v>1</v>
      </c>
      <c r="E637" s="33">
        <f>IO!$B$5*C637-IO!$B$6*D637</f>
        <v>3980</v>
      </c>
      <c r="G637" s="47">
        <v>636</v>
      </c>
      <c r="H637" s="38" t="s">
        <v>9</v>
      </c>
      <c r="I637" s="38">
        <v>1</v>
      </c>
      <c r="J637" s="39">
        <v>0.7496492154267641</v>
      </c>
      <c r="K637" s="40">
        <f>ROUND(NORMINV(J637,IO!$B$10,IO!$B$11),0)</f>
        <v>106</v>
      </c>
      <c r="L637" s="40">
        <f>MIN(K637,IO!$B$4+IO!$B$8)</f>
        <v>102</v>
      </c>
      <c r="M637" s="40">
        <f>IF(L637-I637&gt;IO!$B$4,Model!L637-Model!I637-IO!$B$4,0)</f>
        <v>1</v>
      </c>
      <c r="N637" s="41">
        <f>IO!$B$5*Model!L637-IO!$B$6*Model!M637</f>
        <v>3980</v>
      </c>
    </row>
    <row r="638" spans="1:14" x14ac:dyDescent="0.35">
      <c r="A638" s="30">
        <v>637</v>
      </c>
      <c r="B638" s="31">
        <v>4</v>
      </c>
      <c r="C638" s="32">
        <f>(IO!$B$4+IO!$B$8)</f>
        <v>102</v>
      </c>
      <c r="D638" s="32">
        <f>IF(B638&gt;IO!$B$8,0,IO!$B$8-Model!B638)</f>
        <v>0</v>
      </c>
      <c r="E638" s="33">
        <f>IO!$B$5*C638-IO!$B$6*D638</f>
        <v>4080</v>
      </c>
      <c r="G638" s="47">
        <v>637</v>
      </c>
      <c r="H638" s="38" t="s">
        <v>7</v>
      </c>
      <c r="I638" s="38">
        <v>4</v>
      </c>
      <c r="J638" s="39">
        <v>0.35732649650607973</v>
      </c>
      <c r="K638" s="40">
        <f>ROUND(NORMINV(J638,IO!$B$10,IO!$B$11),0)</f>
        <v>101</v>
      </c>
      <c r="L638" s="40">
        <f>MIN(K638,IO!$B$4+IO!$B$8)</f>
        <v>101</v>
      </c>
      <c r="M638" s="40">
        <f>IF(L638-I638&gt;IO!$B$4,Model!L638-Model!I638-IO!$B$4,0)</f>
        <v>0</v>
      </c>
      <c r="N638" s="41">
        <f>IO!$B$5*Model!L638-IO!$B$6*Model!M638</f>
        <v>4040</v>
      </c>
    </row>
    <row r="639" spans="1:14" x14ac:dyDescent="0.35">
      <c r="A639" s="30">
        <v>638</v>
      </c>
      <c r="B639" s="31">
        <v>3</v>
      </c>
      <c r="C639" s="32">
        <f>(IO!$B$4+IO!$B$8)</f>
        <v>102</v>
      </c>
      <c r="D639" s="32">
        <f>IF(B639&gt;IO!$B$8,0,IO!$B$8-Model!B639)</f>
        <v>0</v>
      </c>
      <c r="E639" s="33">
        <f>IO!$B$5*C639-IO!$B$6*D639</f>
        <v>4080</v>
      </c>
      <c r="G639" s="47">
        <v>638</v>
      </c>
      <c r="H639" s="38" t="s">
        <v>8</v>
      </c>
      <c r="I639" s="38">
        <v>3</v>
      </c>
      <c r="J639" s="39">
        <v>0.89892209336801709</v>
      </c>
      <c r="K639" s="40">
        <f>ROUND(NORMINV(J639,IO!$B$10,IO!$B$11),0)</f>
        <v>109</v>
      </c>
      <c r="L639" s="40">
        <f>MIN(K639,IO!$B$4+IO!$B$8)</f>
        <v>102</v>
      </c>
      <c r="M639" s="40">
        <f>IF(L639-I639&gt;IO!$B$4,Model!L639-Model!I639-IO!$B$4,0)</f>
        <v>0</v>
      </c>
      <c r="N639" s="41">
        <f>IO!$B$5*Model!L639-IO!$B$6*Model!M639</f>
        <v>4080</v>
      </c>
    </row>
    <row r="640" spans="1:14" x14ac:dyDescent="0.35">
      <c r="A640" s="30">
        <v>639</v>
      </c>
      <c r="B640" s="31">
        <v>0</v>
      </c>
      <c r="C640" s="32">
        <f>(IO!$B$4+IO!$B$8)</f>
        <v>102</v>
      </c>
      <c r="D640" s="32">
        <f>IF(B640&gt;IO!$B$8,0,IO!$B$8-Model!B640)</f>
        <v>2</v>
      </c>
      <c r="E640" s="33">
        <f>IO!$B$5*C640-IO!$B$6*D640</f>
        <v>3880</v>
      </c>
      <c r="G640" s="47">
        <v>639</v>
      </c>
      <c r="H640" s="38" t="s">
        <v>9</v>
      </c>
      <c r="I640" s="38">
        <v>0</v>
      </c>
      <c r="J640" s="39">
        <v>0.31716670987337547</v>
      </c>
      <c r="K640" s="40">
        <f>ROUND(NORMINV(J640,IO!$B$10,IO!$B$11),0)</f>
        <v>101</v>
      </c>
      <c r="L640" s="40">
        <f>MIN(K640,IO!$B$4+IO!$B$8)</f>
        <v>101</v>
      </c>
      <c r="M640" s="40">
        <f>IF(L640-I640&gt;IO!$B$4,Model!L640-Model!I640-IO!$B$4,0)</f>
        <v>1</v>
      </c>
      <c r="N640" s="41">
        <f>IO!$B$5*Model!L640-IO!$B$6*Model!M640</f>
        <v>3940</v>
      </c>
    </row>
    <row r="641" spans="1:14" x14ac:dyDescent="0.35">
      <c r="A641" s="30">
        <v>640</v>
      </c>
      <c r="B641" s="31">
        <v>4</v>
      </c>
      <c r="C641" s="32">
        <f>(IO!$B$4+IO!$B$8)</f>
        <v>102</v>
      </c>
      <c r="D641" s="32">
        <f>IF(B641&gt;IO!$B$8,0,IO!$B$8-Model!B641)</f>
        <v>0</v>
      </c>
      <c r="E641" s="33">
        <f>IO!$B$5*C641-IO!$B$6*D641</f>
        <v>4080</v>
      </c>
      <c r="G641" s="47">
        <v>640</v>
      </c>
      <c r="H641" s="38" t="s">
        <v>7</v>
      </c>
      <c r="I641" s="38">
        <v>4</v>
      </c>
      <c r="J641" s="39">
        <v>0.98643280851543369</v>
      </c>
      <c r="K641" s="40">
        <f>ROUND(NORMINV(J641,IO!$B$10,IO!$B$11),0)</f>
        <v>114</v>
      </c>
      <c r="L641" s="40">
        <f>MIN(K641,IO!$B$4+IO!$B$8)</f>
        <v>102</v>
      </c>
      <c r="M641" s="40">
        <f>IF(L641-I641&gt;IO!$B$4,Model!L641-Model!I641-IO!$B$4,0)</f>
        <v>0</v>
      </c>
      <c r="N641" s="41">
        <f>IO!$B$5*Model!L641-IO!$B$6*Model!M641</f>
        <v>4080</v>
      </c>
    </row>
    <row r="642" spans="1:14" x14ac:dyDescent="0.35">
      <c r="A642" s="30">
        <v>641</v>
      </c>
      <c r="B642" s="31">
        <v>3</v>
      </c>
      <c r="C642" s="32">
        <f>(IO!$B$4+IO!$B$8)</f>
        <v>102</v>
      </c>
      <c r="D642" s="32">
        <f>IF(B642&gt;IO!$B$8,0,IO!$B$8-Model!B642)</f>
        <v>0</v>
      </c>
      <c r="E642" s="33">
        <f>IO!$B$5*C642-IO!$B$6*D642</f>
        <v>4080</v>
      </c>
      <c r="G642" s="47">
        <v>641</v>
      </c>
      <c r="H642" s="38" t="s">
        <v>8</v>
      </c>
      <c r="I642" s="38">
        <v>3</v>
      </c>
      <c r="J642" s="39">
        <v>0.7439668535463646</v>
      </c>
      <c r="K642" s="40">
        <f>ROUND(NORMINV(J642,IO!$B$10,IO!$B$11),0)</f>
        <v>106</v>
      </c>
      <c r="L642" s="40">
        <f>MIN(K642,IO!$B$4+IO!$B$8)</f>
        <v>102</v>
      </c>
      <c r="M642" s="40">
        <f>IF(L642-I642&gt;IO!$B$4,Model!L642-Model!I642-IO!$B$4,0)</f>
        <v>0</v>
      </c>
      <c r="N642" s="41">
        <f>IO!$B$5*Model!L642-IO!$B$6*Model!M642</f>
        <v>4080</v>
      </c>
    </row>
    <row r="643" spans="1:14" x14ac:dyDescent="0.35">
      <c r="A643" s="30">
        <v>642</v>
      </c>
      <c r="B643" s="31">
        <v>2</v>
      </c>
      <c r="C643" s="32">
        <f>(IO!$B$4+IO!$B$8)</f>
        <v>102</v>
      </c>
      <c r="D643" s="32">
        <f>IF(B643&gt;IO!$B$8,0,IO!$B$8-Model!B643)</f>
        <v>0</v>
      </c>
      <c r="E643" s="33">
        <f>IO!$B$5*C643-IO!$B$6*D643</f>
        <v>4080</v>
      </c>
      <c r="G643" s="47">
        <v>642</v>
      </c>
      <c r="H643" s="38" t="s">
        <v>9</v>
      </c>
      <c r="I643" s="38">
        <v>2</v>
      </c>
      <c r="J643" s="39">
        <v>0.48276148661719165</v>
      </c>
      <c r="K643" s="40">
        <f>ROUND(NORMINV(J643,IO!$B$10,IO!$B$11),0)</f>
        <v>103</v>
      </c>
      <c r="L643" s="40">
        <f>MIN(K643,IO!$B$4+IO!$B$8)</f>
        <v>102</v>
      </c>
      <c r="M643" s="40">
        <f>IF(L643-I643&gt;IO!$B$4,Model!L643-Model!I643-IO!$B$4,0)</f>
        <v>0</v>
      </c>
      <c r="N643" s="41">
        <f>IO!$B$5*Model!L643-IO!$B$6*Model!M643</f>
        <v>4080</v>
      </c>
    </row>
    <row r="644" spans="1:14" x14ac:dyDescent="0.35">
      <c r="A644" s="30">
        <v>643</v>
      </c>
      <c r="B644" s="31">
        <v>3</v>
      </c>
      <c r="C644" s="32">
        <f>(IO!$B$4+IO!$B$8)</f>
        <v>102</v>
      </c>
      <c r="D644" s="32">
        <f>IF(B644&gt;IO!$B$8,0,IO!$B$8-Model!B644)</f>
        <v>0</v>
      </c>
      <c r="E644" s="33">
        <f>IO!$B$5*C644-IO!$B$6*D644</f>
        <v>4080</v>
      </c>
      <c r="G644" s="47">
        <v>643</v>
      </c>
      <c r="H644" s="38" t="s">
        <v>7</v>
      </c>
      <c r="I644" s="38">
        <v>3</v>
      </c>
      <c r="J644" s="39">
        <v>0.29018277698749129</v>
      </c>
      <c r="K644" s="40">
        <f>ROUND(NORMINV(J644,IO!$B$10,IO!$B$11),0)</f>
        <v>100</v>
      </c>
      <c r="L644" s="40">
        <f>MIN(K644,IO!$B$4+IO!$B$8)</f>
        <v>100</v>
      </c>
      <c r="M644" s="40">
        <f>IF(L644-I644&gt;IO!$B$4,Model!L644-Model!I644-IO!$B$4,0)</f>
        <v>0</v>
      </c>
      <c r="N644" s="41">
        <f>IO!$B$5*Model!L644-IO!$B$6*Model!M644</f>
        <v>4000</v>
      </c>
    </row>
    <row r="645" spans="1:14" x14ac:dyDescent="0.35">
      <c r="A645" s="30">
        <v>644</v>
      </c>
      <c r="B645" s="31">
        <v>2</v>
      </c>
      <c r="C645" s="32">
        <f>(IO!$B$4+IO!$B$8)</f>
        <v>102</v>
      </c>
      <c r="D645" s="32">
        <f>IF(B645&gt;IO!$B$8,0,IO!$B$8-Model!B645)</f>
        <v>0</v>
      </c>
      <c r="E645" s="33">
        <f>IO!$B$5*C645-IO!$B$6*D645</f>
        <v>4080</v>
      </c>
      <c r="G645" s="47">
        <v>644</v>
      </c>
      <c r="H645" s="38" t="s">
        <v>8</v>
      </c>
      <c r="I645" s="38">
        <v>2</v>
      </c>
      <c r="J645" s="39">
        <v>0.31718984892359003</v>
      </c>
      <c r="K645" s="40">
        <f>ROUND(NORMINV(J645,IO!$B$10,IO!$B$11),0)</f>
        <v>101</v>
      </c>
      <c r="L645" s="40">
        <f>MIN(K645,IO!$B$4+IO!$B$8)</f>
        <v>101</v>
      </c>
      <c r="M645" s="40">
        <f>IF(L645-I645&gt;IO!$B$4,Model!L645-Model!I645-IO!$B$4,0)</f>
        <v>0</v>
      </c>
      <c r="N645" s="41">
        <f>IO!$B$5*Model!L645-IO!$B$6*Model!M645</f>
        <v>4040</v>
      </c>
    </row>
    <row r="646" spans="1:14" x14ac:dyDescent="0.35">
      <c r="A646" s="30">
        <v>645</v>
      </c>
      <c r="B646" s="31">
        <v>1</v>
      </c>
      <c r="C646" s="32">
        <f>(IO!$B$4+IO!$B$8)</f>
        <v>102</v>
      </c>
      <c r="D646" s="32">
        <f>IF(B646&gt;IO!$B$8,0,IO!$B$8-Model!B646)</f>
        <v>1</v>
      </c>
      <c r="E646" s="33">
        <f>IO!$B$5*C646-IO!$B$6*D646</f>
        <v>3980</v>
      </c>
      <c r="G646" s="47">
        <v>645</v>
      </c>
      <c r="H646" s="38" t="s">
        <v>9</v>
      </c>
      <c r="I646" s="38">
        <v>1</v>
      </c>
      <c r="J646" s="39">
        <v>0.79499713825163187</v>
      </c>
      <c r="K646" s="40">
        <f>ROUND(NORMINV(J646,IO!$B$10,IO!$B$11),0)</f>
        <v>107</v>
      </c>
      <c r="L646" s="40">
        <f>MIN(K646,IO!$B$4+IO!$B$8)</f>
        <v>102</v>
      </c>
      <c r="M646" s="40">
        <f>IF(L646-I646&gt;IO!$B$4,Model!L646-Model!I646-IO!$B$4,0)</f>
        <v>1</v>
      </c>
      <c r="N646" s="41">
        <f>IO!$B$5*Model!L646-IO!$B$6*Model!M646</f>
        <v>3980</v>
      </c>
    </row>
    <row r="647" spans="1:14" x14ac:dyDescent="0.35">
      <c r="A647" s="30">
        <v>646</v>
      </c>
      <c r="B647" s="31">
        <v>2</v>
      </c>
      <c r="C647" s="32">
        <f>(IO!$B$4+IO!$B$8)</f>
        <v>102</v>
      </c>
      <c r="D647" s="32">
        <f>IF(B647&gt;IO!$B$8,0,IO!$B$8-Model!B647)</f>
        <v>0</v>
      </c>
      <c r="E647" s="33">
        <f>IO!$B$5*C647-IO!$B$6*D647</f>
        <v>4080</v>
      </c>
      <c r="G647" s="47">
        <v>646</v>
      </c>
      <c r="H647" s="38" t="s">
        <v>7</v>
      </c>
      <c r="I647" s="38">
        <v>2</v>
      </c>
      <c r="J647" s="39">
        <v>0.70746281813630729</v>
      </c>
      <c r="K647" s="40">
        <f>ROUND(NORMINV(J647,IO!$B$10,IO!$B$11),0)</f>
        <v>106</v>
      </c>
      <c r="L647" s="40">
        <f>MIN(K647,IO!$B$4+IO!$B$8)</f>
        <v>102</v>
      </c>
      <c r="M647" s="40">
        <f>IF(L647-I647&gt;IO!$B$4,Model!L647-Model!I647-IO!$B$4,0)</f>
        <v>0</v>
      </c>
      <c r="N647" s="41">
        <f>IO!$B$5*Model!L647-IO!$B$6*Model!M647</f>
        <v>4080</v>
      </c>
    </row>
    <row r="648" spans="1:14" x14ac:dyDescent="0.35">
      <c r="A648" s="30">
        <v>647</v>
      </c>
      <c r="B648" s="31">
        <v>2</v>
      </c>
      <c r="C648" s="32">
        <f>(IO!$B$4+IO!$B$8)</f>
        <v>102</v>
      </c>
      <c r="D648" s="32">
        <f>IF(B648&gt;IO!$B$8,0,IO!$B$8-Model!B648)</f>
        <v>0</v>
      </c>
      <c r="E648" s="33">
        <f>IO!$B$5*C648-IO!$B$6*D648</f>
        <v>4080</v>
      </c>
      <c r="G648" s="47">
        <v>647</v>
      </c>
      <c r="H648" s="38" t="s">
        <v>8</v>
      </c>
      <c r="I648" s="38">
        <v>2</v>
      </c>
      <c r="J648" s="39">
        <v>8.7637985890718473E-2</v>
      </c>
      <c r="K648" s="40">
        <f>ROUND(NORMINV(J648,IO!$B$10,IO!$B$11),0)</f>
        <v>96</v>
      </c>
      <c r="L648" s="40">
        <f>MIN(K648,IO!$B$4+IO!$B$8)</f>
        <v>96</v>
      </c>
      <c r="M648" s="40">
        <f>IF(L648-I648&gt;IO!$B$4,Model!L648-Model!I648-IO!$B$4,0)</f>
        <v>0</v>
      </c>
      <c r="N648" s="41">
        <f>IO!$B$5*Model!L648-IO!$B$6*Model!M648</f>
        <v>3840</v>
      </c>
    </row>
    <row r="649" spans="1:14" x14ac:dyDescent="0.35">
      <c r="A649" s="30">
        <v>648</v>
      </c>
      <c r="B649" s="31">
        <v>0</v>
      </c>
      <c r="C649" s="32">
        <f>(IO!$B$4+IO!$B$8)</f>
        <v>102</v>
      </c>
      <c r="D649" s="32">
        <f>IF(B649&gt;IO!$B$8,0,IO!$B$8-Model!B649)</f>
        <v>2</v>
      </c>
      <c r="E649" s="33">
        <f>IO!$B$5*C649-IO!$B$6*D649</f>
        <v>3880</v>
      </c>
      <c r="G649" s="47">
        <v>648</v>
      </c>
      <c r="H649" s="38" t="s">
        <v>9</v>
      </c>
      <c r="I649" s="38">
        <v>0</v>
      </c>
      <c r="J649" s="39">
        <v>0.28780444545103134</v>
      </c>
      <c r="K649" s="40">
        <f>ROUND(NORMINV(J649,IO!$B$10,IO!$B$11),0)</f>
        <v>100</v>
      </c>
      <c r="L649" s="40">
        <f>MIN(K649,IO!$B$4+IO!$B$8)</f>
        <v>100</v>
      </c>
      <c r="M649" s="40">
        <f>IF(L649-I649&gt;IO!$B$4,Model!L649-Model!I649-IO!$B$4,0)</f>
        <v>0</v>
      </c>
      <c r="N649" s="41">
        <f>IO!$B$5*Model!L649-IO!$B$6*Model!M649</f>
        <v>4000</v>
      </c>
    </row>
    <row r="650" spans="1:14" x14ac:dyDescent="0.35">
      <c r="A650" s="30">
        <v>649</v>
      </c>
      <c r="B650" s="31">
        <v>2</v>
      </c>
      <c r="C650" s="32">
        <f>(IO!$B$4+IO!$B$8)</f>
        <v>102</v>
      </c>
      <c r="D650" s="32">
        <f>IF(B650&gt;IO!$B$8,0,IO!$B$8-Model!B650)</f>
        <v>0</v>
      </c>
      <c r="E650" s="33">
        <f>IO!$B$5*C650-IO!$B$6*D650</f>
        <v>4080</v>
      </c>
      <c r="G650" s="47">
        <v>649</v>
      </c>
      <c r="H650" s="38" t="s">
        <v>7</v>
      </c>
      <c r="I650" s="38">
        <v>2</v>
      </c>
      <c r="J650" s="39">
        <v>0.76644293232714478</v>
      </c>
      <c r="K650" s="40">
        <f>ROUND(NORMINV(J650,IO!$B$10,IO!$B$11),0)</f>
        <v>107</v>
      </c>
      <c r="L650" s="40">
        <f>MIN(K650,IO!$B$4+IO!$B$8)</f>
        <v>102</v>
      </c>
      <c r="M650" s="40">
        <f>IF(L650-I650&gt;IO!$B$4,Model!L650-Model!I650-IO!$B$4,0)</f>
        <v>0</v>
      </c>
      <c r="N650" s="41">
        <f>IO!$B$5*Model!L650-IO!$B$6*Model!M650</f>
        <v>4080</v>
      </c>
    </row>
    <row r="651" spans="1:14" x14ac:dyDescent="0.35">
      <c r="A651" s="30">
        <v>650</v>
      </c>
      <c r="B651" s="31">
        <v>3</v>
      </c>
      <c r="C651" s="32">
        <f>(IO!$B$4+IO!$B$8)</f>
        <v>102</v>
      </c>
      <c r="D651" s="32">
        <f>IF(B651&gt;IO!$B$8,0,IO!$B$8-Model!B651)</f>
        <v>0</v>
      </c>
      <c r="E651" s="33">
        <f>IO!$B$5*C651-IO!$B$6*D651</f>
        <v>4080</v>
      </c>
      <c r="G651" s="47">
        <v>650</v>
      </c>
      <c r="H651" s="38" t="s">
        <v>8</v>
      </c>
      <c r="I651" s="38">
        <v>3</v>
      </c>
      <c r="J651" s="39">
        <v>0.34190887976657314</v>
      </c>
      <c r="K651" s="40">
        <f>ROUND(NORMINV(J651,IO!$B$10,IO!$B$11),0)</f>
        <v>101</v>
      </c>
      <c r="L651" s="40">
        <f>MIN(K651,IO!$B$4+IO!$B$8)</f>
        <v>101</v>
      </c>
      <c r="M651" s="40">
        <f>IF(L651-I651&gt;IO!$B$4,Model!L651-Model!I651-IO!$B$4,0)</f>
        <v>0</v>
      </c>
      <c r="N651" s="41">
        <f>IO!$B$5*Model!L651-IO!$B$6*Model!M651</f>
        <v>4040</v>
      </c>
    </row>
    <row r="652" spans="1:14" x14ac:dyDescent="0.35">
      <c r="A652" s="30">
        <v>651</v>
      </c>
      <c r="B652" s="31">
        <v>1</v>
      </c>
      <c r="C652" s="32">
        <f>(IO!$B$4+IO!$B$8)</f>
        <v>102</v>
      </c>
      <c r="D652" s="32">
        <f>IF(B652&gt;IO!$B$8,0,IO!$B$8-Model!B652)</f>
        <v>1</v>
      </c>
      <c r="E652" s="33">
        <f>IO!$B$5*C652-IO!$B$6*D652</f>
        <v>3980</v>
      </c>
      <c r="G652" s="47">
        <v>651</v>
      </c>
      <c r="H652" s="38" t="s">
        <v>9</v>
      </c>
      <c r="I652" s="38">
        <v>1</v>
      </c>
      <c r="J652" s="39">
        <v>0.12223279718905</v>
      </c>
      <c r="K652" s="40">
        <f>ROUND(NORMINV(J652,IO!$B$10,IO!$B$11),0)</f>
        <v>97</v>
      </c>
      <c r="L652" s="40">
        <f>MIN(K652,IO!$B$4+IO!$B$8)</f>
        <v>97</v>
      </c>
      <c r="M652" s="40">
        <f>IF(L652-I652&gt;IO!$B$4,Model!L652-Model!I652-IO!$B$4,0)</f>
        <v>0</v>
      </c>
      <c r="N652" s="41">
        <f>IO!$B$5*Model!L652-IO!$B$6*Model!M652</f>
        <v>3880</v>
      </c>
    </row>
    <row r="653" spans="1:14" x14ac:dyDescent="0.35">
      <c r="A653" s="30">
        <v>652</v>
      </c>
      <c r="B653" s="31">
        <v>4</v>
      </c>
      <c r="C653" s="32">
        <f>(IO!$B$4+IO!$B$8)</f>
        <v>102</v>
      </c>
      <c r="D653" s="32">
        <f>IF(B653&gt;IO!$B$8,0,IO!$B$8-Model!B653)</f>
        <v>0</v>
      </c>
      <c r="E653" s="33">
        <f>IO!$B$5*C653-IO!$B$6*D653</f>
        <v>4080</v>
      </c>
      <c r="G653" s="47">
        <v>652</v>
      </c>
      <c r="H653" s="38" t="s">
        <v>7</v>
      </c>
      <c r="I653" s="38">
        <v>4</v>
      </c>
      <c r="J653" s="39">
        <v>0.12047524798164699</v>
      </c>
      <c r="K653" s="40">
        <f>ROUND(NORMINV(J653,IO!$B$10,IO!$B$11),0)</f>
        <v>97</v>
      </c>
      <c r="L653" s="40">
        <f>MIN(K653,IO!$B$4+IO!$B$8)</f>
        <v>97</v>
      </c>
      <c r="M653" s="40">
        <f>IF(L653-I653&gt;IO!$B$4,Model!L653-Model!I653-IO!$B$4,0)</f>
        <v>0</v>
      </c>
      <c r="N653" s="41">
        <f>IO!$B$5*Model!L653-IO!$B$6*Model!M653</f>
        <v>3880</v>
      </c>
    </row>
    <row r="654" spans="1:14" x14ac:dyDescent="0.35">
      <c r="A654" s="30">
        <v>653</v>
      </c>
      <c r="B654" s="31">
        <v>2</v>
      </c>
      <c r="C654" s="32">
        <f>(IO!$B$4+IO!$B$8)</f>
        <v>102</v>
      </c>
      <c r="D654" s="32">
        <f>IF(B654&gt;IO!$B$8,0,IO!$B$8-Model!B654)</f>
        <v>0</v>
      </c>
      <c r="E654" s="33">
        <f>IO!$B$5*C654-IO!$B$6*D654</f>
        <v>4080</v>
      </c>
      <c r="G654" s="47">
        <v>653</v>
      </c>
      <c r="H654" s="38" t="s">
        <v>8</v>
      </c>
      <c r="I654" s="38">
        <v>2</v>
      </c>
      <c r="J654" s="39">
        <v>0.21208498146802279</v>
      </c>
      <c r="K654" s="40">
        <f>ROUND(NORMINV(J654,IO!$B$10,IO!$B$11),0)</f>
        <v>99</v>
      </c>
      <c r="L654" s="40">
        <f>MIN(K654,IO!$B$4+IO!$B$8)</f>
        <v>99</v>
      </c>
      <c r="M654" s="40">
        <f>IF(L654-I654&gt;IO!$B$4,Model!L654-Model!I654-IO!$B$4,0)</f>
        <v>0</v>
      </c>
      <c r="N654" s="41">
        <f>IO!$B$5*Model!L654-IO!$B$6*Model!M654</f>
        <v>3960</v>
      </c>
    </row>
    <row r="655" spans="1:14" x14ac:dyDescent="0.35">
      <c r="A655" s="30">
        <v>654</v>
      </c>
      <c r="B655" s="31">
        <v>1</v>
      </c>
      <c r="C655" s="32">
        <f>(IO!$B$4+IO!$B$8)</f>
        <v>102</v>
      </c>
      <c r="D655" s="32">
        <f>IF(B655&gt;IO!$B$8,0,IO!$B$8-Model!B655)</f>
        <v>1</v>
      </c>
      <c r="E655" s="33">
        <f>IO!$B$5*C655-IO!$B$6*D655</f>
        <v>3980</v>
      </c>
      <c r="G655" s="47">
        <v>654</v>
      </c>
      <c r="H655" s="38" t="s">
        <v>9</v>
      </c>
      <c r="I655" s="38">
        <v>1</v>
      </c>
      <c r="J655" s="39">
        <v>0.3294554164100455</v>
      </c>
      <c r="K655" s="40">
        <f>ROUND(NORMINV(J655,IO!$B$10,IO!$B$11),0)</f>
        <v>101</v>
      </c>
      <c r="L655" s="40">
        <f>MIN(K655,IO!$B$4+IO!$B$8)</f>
        <v>101</v>
      </c>
      <c r="M655" s="40">
        <f>IF(L655-I655&gt;IO!$B$4,Model!L655-Model!I655-IO!$B$4,0)</f>
        <v>0</v>
      </c>
      <c r="N655" s="41">
        <f>IO!$B$5*Model!L655-IO!$B$6*Model!M655</f>
        <v>4040</v>
      </c>
    </row>
    <row r="656" spans="1:14" x14ac:dyDescent="0.35">
      <c r="A656" s="30">
        <v>655</v>
      </c>
      <c r="B656" s="31">
        <v>3</v>
      </c>
      <c r="C656" s="32">
        <f>(IO!$B$4+IO!$B$8)</f>
        <v>102</v>
      </c>
      <c r="D656" s="32">
        <f>IF(B656&gt;IO!$B$8,0,IO!$B$8-Model!B656)</f>
        <v>0</v>
      </c>
      <c r="E656" s="33">
        <f>IO!$B$5*C656-IO!$B$6*D656</f>
        <v>4080</v>
      </c>
      <c r="G656" s="47">
        <v>655</v>
      </c>
      <c r="H656" s="38" t="s">
        <v>7</v>
      </c>
      <c r="I656" s="38">
        <v>3</v>
      </c>
      <c r="J656" s="39">
        <v>0.95606711766307051</v>
      </c>
      <c r="K656" s="40">
        <f>ROUND(NORMINV(J656,IO!$B$10,IO!$B$11),0)</f>
        <v>112</v>
      </c>
      <c r="L656" s="40">
        <f>MIN(K656,IO!$B$4+IO!$B$8)</f>
        <v>102</v>
      </c>
      <c r="M656" s="40">
        <f>IF(L656-I656&gt;IO!$B$4,Model!L656-Model!I656-IO!$B$4,0)</f>
        <v>0</v>
      </c>
      <c r="N656" s="41">
        <f>IO!$B$5*Model!L656-IO!$B$6*Model!M656</f>
        <v>4080</v>
      </c>
    </row>
    <row r="657" spans="1:14" x14ac:dyDescent="0.35">
      <c r="A657" s="30">
        <v>656</v>
      </c>
      <c r="B657" s="31">
        <v>3</v>
      </c>
      <c r="C657" s="32">
        <f>(IO!$B$4+IO!$B$8)</f>
        <v>102</v>
      </c>
      <c r="D657" s="32">
        <f>IF(B657&gt;IO!$B$8,0,IO!$B$8-Model!B657)</f>
        <v>0</v>
      </c>
      <c r="E657" s="33">
        <f>IO!$B$5*C657-IO!$B$6*D657</f>
        <v>4080</v>
      </c>
      <c r="G657" s="47">
        <v>656</v>
      </c>
      <c r="H657" s="38" t="s">
        <v>8</v>
      </c>
      <c r="I657" s="38">
        <v>3</v>
      </c>
      <c r="J657" s="39">
        <v>0.91357959209387152</v>
      </c>
      <c r="K657" s="40">
        <f>ROUND(NORMINV(J657,IO!$B$10,IO!$B$11),0)</f>
        <v>110</v>
      </c>
      <c r="L657" s="40">
        <f>MIN(K657,IO!$B$4+IO!$B$8)</f>
        <v>102</v>
      </c>
      <c r="M657" s="40">
        <f>IF(L657-I657&gt;IO!$B$4,Model!L657-Model!I657-IO!$B$4,0)</f>
        <v>0</v>
      </c>
      <c r="N657" s="41">
        <f>IO!$B$5*Model!L657-IO!$B$6*Model!M657</f>
        <v>4080</v>
      </c>
    </row>
    <row r="658" spans="1:14" x14ac:dyDescent="0.35">
      <c r="A658" s="30">
        <v>657</v>
      </c>
      <c r="B658" s="31">
        <v>0</v>
      </c>
      <c r="C658" s="32">
        <f>(IO!$B$4+IO!$B$8)</f>
        <v>102</v>
      </c>
      <c r="D658" s="32">
        <f>IF(B658&gt;IO!$B$8,0,IO!$B$8-Model!B658)</f>
        <v>2</v>
      </c>
      <c r="E658" s="33">
        <f>IO!$B$5*C658-IO!$B$6*D658</f>
        <v>3880</v>
      </c>
      <c r="G658" s="47">
        <v>657</v>
      </c>
      <c r="H658" s="38" t="s">
        <v>9</v>
      </c>
      <c r="I658" s="38">
        <v>0</v>
      </c>
      <c r="J658" s="39">
        <v>0.90014889216807104</v>
      </c>
      <c r="K658" s="40">
        <f>ROUND(NORMINV(J658,IO!$B$10,IO!$B$11),0)</f>
        <v>109</v>
      </c>
      <c r="L658" s="40">
        <f>MIN(K658,IO!$B$4+IO!$B$8)</f>
        <v>102</v>
      </c>
      <c r="M658" s="40">
        <f>IF(L658-I658&gt;IO!$B$4,Model!L658-Model!I658-IO!$B$4,0)</f>
        <v>2</v>
      </c>
      <c r="N658" s="41">
        <f>IO!$B$5*Model!L658-IO!$B$6*Model!M658</f>
        <v>3880</v>
      </c>
    </row>
    <row r="659" spans="1:14" x14ac:dyDescent="0.35">
      <c r="A659" s="30">
        <v>658</v>
      </c>
      <c r="B659" s="31">
        <v>5</v>
      </c>
      <c r="C659" s="32">
        <f>(IO!$B$4+IO!$B$8)</f>
        <v>102</v>
      </c>
      <c r="D659" s="32">
        <f>IF(B659&gt;IO!$B$8,0,IO!$B$8-Model!B659)</f>
        <v>0</v>
      </c>
      <c r="E659" s="33">
        <f>IO!$B$5*C659-IO!$B$6*D659</f>
        <v>4080</v>
      </c>
      <c r="G659" s="47">
        <v>658</v>
      </c>
      <c r="H659" s="38" t="s">
        <v>7</v>
      </c>
      <c r="I659" s="38">
        <v>5</v>
      </c>
      <c r="J659" s="39">
        <v>0.71506458123466854</v>
      </c>
      <c r="K659" s="40">
        <f>ROUND(NORMINV(J659,IO!$B$10,IO!$B$11),0)</f>
        <v>106</v>
      </c>
      <c r="L659" s="40">
        <f>MIN(K659,IO!$B$4+IO!$B$8)</f>
        <v>102</v>
      </c>
      <c r="M659" s="40">
        <f>IF(L659-I659&gt;IO!$B$4,Model!L659-Model!I659-IO!$B$4,0)</f>
        <v>0</v>
      </c>
      <c r="N659" s="41">
        <f>IO!$B$5*Model!L659-IO!$B$6*Model!M659</f>
        <v>4080</v>
      </c>
    </row>
    <row r="660" spans="1:14" x14ac:dyDescent="0.35">
      <c r="A660" s="30">
        <v>659</v>
      </c>
      <c r="B660" s="31">
        <v>0</v>
      </c>
      <c r="C660" s="32">
        <f>(IO!$B$4+IO!$B$8)</f>
        <v>102</v>
      </c>
      <c r="D660" s="32">
        <f>IF(B660&gt;IO!$B$8,0,IO!$B$8-Model!B660)</f>
        <v>2</v>
      </c>
      <c r="E660" s="33">
        <f>IO!$B$5*C660-IO!$B$6*D660</f>
        <v>3880</v>
      </c>
      <c r="G660" s="47">
        <v>659</v>
      </c>
      <c r="H660" s="38" t="s">
        <v>8</v>
      </c>
      <c r="I660" s="38">
        <v>0</v>
      </c>
      <c r="J660" s="39">
        <v>0.88136742232764687</v>
      </c>
      <c r="K660" s="40">
        <f>ROUND(NORMINV(J660,IO!$B$10,IO!$B$11),0)</f>
        <v>109</v>
      </c>
      <c r="L660" s="40">
        <f>MIN(K660,IO!$B$4+IO!$B$8)</f>
        <v>102</v>
      </c>
      <c r="M660" s="40">
        <f>IF(L660-I660&gt;IO!$B$4,Model!L660-Model!I660-IO!$B$4,0)</f>
        <v>2</v>
      </c>
      <c r="N660" s="41">
        <f>IO!$B$5*Model!L660-IO!$B$6*Model!M660</f>
        <v>3880</v>
      </c>
    </row>
    <row r="661" spans="1:14" x14ac:dyDescent="0.35">
      <c r="A661" s="30">
        <v>660</v>
      </c>
      <c r="B661" s="31">
        <v>0</v>
      </c>
      <c r="C661" s="32">
        <f>(IO!$B$4+IO!$B$8)</f>
        <v>102</v>
      </c>
      <c r="D661" s="32">
        <f>IF(B661&gt;IO!$B$8,0,IO!$B$8-Model!B661)</f>
        <v>2</v>
      </c>
      <c r="E661" s="33">
        <f>IO!$B$5*C661-IO!$B$6*D661</f>
        <v>3880</v>
      </c>
      <c r="G661" s="47">
        <v>660</v>
      </c>
      <c r="H661" s="38" t="s">
        <v>9</v>
      </c>
      <c r="I661" s="38">
        <v>0</v>
      </c>
      <c r="J661" s="39">
        <v>0.90974012919159619</v>
      </c>
      <c r="K661" s="40">
        <f>ROUND(NORMINV(J661,IO!$B$10,IO!$B$11),0)</f>
        <v>110</v>
      </c>
      <c r="L661" s="40">
        <f>MIN(K661,IO!$B$4+IO!$B$8)</f>
        <v>102</v>
      </c>
      <c r="M661" s="40">
        <f>IF(L661-I661&gt;IO!$B$4,Model!L661-Model!I661-IO!$B$4,0)</f>
        <v>2</v>
      </c>
      <c r="N661" s="41">
        <f>IO!$B$5*Model!L661-IO!$B$6*Model!M661</f>
        <v>3880</v>
      </c>
    </row>
    <row r="662" spans="1:14" x14ac:dyDescent="0.35">
      <c r="A662" s="30">
        <v>661</v>
      </c>
      <c r="B662" s="31">
        <v>3</v>
      </c>
      <c r="C662" s="32">
        <f>(IO!$B$4+IO!$B$8)</f>
        <v>102</v>
      </c>
      <c r="D662" s="32">
        <f>IF(B662&gt;IO!$B$8,0,IO!$B$8-Model!B662)</f>
        <v>0</v>
      </c>
      <c r="E662" s="33">
        <f>IO!$B$5*C662-IO!$B$6*D662</f>
        <v>4080</v>
      </c>
      <c r="G662" s="47">
        <v>661</v>
      </c>
      <c r="H662" s="38" t="s">
        <v>7</v>
      </c>
      <c r="I662" s="38">
        <v>3</v>
      </c>
      <c r="J662" s="39">
        <v>0.91682699174395454</v>
      </c>
      <c r="K662" s="40">
        <f>ROUND(NORMINV(J662,IO!$B$10,IO!$B$11),0)</f>
        <v>110</v>
      </c>
      <c r="L662" s="40">
        <f>MIN(K662,IO!$B$4+IO!$B$8)</f>
        <v>102</v>
      </c>
      <c r="M662" s="40">
        <f>IF(L662-I662&gt;IO!$B$4,Model!L662-Model!I662-IO!$B$4,0)</f>
        <v>0</v>
      </c>
      <c r="N662" s="41">
        <f>IO!$B$5*Model!L662-IO!$B$6*Model!M662</f>
        <v>4080</v>
      </c>
    </row>
    <row r="663" spans="1:14" x14ac:dyDescent="0.35">
      <c r="A663" s="30">
        <v>662</v>
      </c>
      <c r="B663" s="31">
        <v>1</v>
      </c>
      <c r="C663" s="32">
        <f>(IO!$B$4+IO!$B$8)</f>
        <v>102</v>
      </c>
      <c r="D663" s="32">
        <f>IF(B663&gt;IO!$B$8,0,IO!$B$8-Model!B663)</f>
        <v>1</v>
      </c>
      <c r="E663" s="33">
        <f>IO!$B$5*C663-IO!$B$6*D663</f>
        <v>3980</v>
      </c>
      <c r="G663" s="47">
        <v>662</v>
      </c>
      <c r="H663" s="38" t="s">
        <v>8</v>
      </c>
      <c r="I663" s="38">
        <v>1</v>
      </c>
      <c r="J663" s="39">
        <v>0.2408276881076431</v>
      </c>
      <c r="K663" s="40">
        <f>ROUND(NORMINV(J663,IO!$B$10,IO!$B$11),0)</f>
        <v>99</v>
      </c>
      <c r="L663" s="40">
        <f>MIN(K663,IO!$B$4+IO!$B$8)</f>
        <v>99</v>
      </c>
      <c r="M663" s="40">
        <f>IF(L663-I663&gt;IO!$B$4,Model!L663-Model!I663-IO!$B$4,0)</f>
        <v>0</v>
      </c>
      <c r="N663" s="41">
        <f>IO!$B$5*Model!L663-IO!$B$6*Model!M663</f>
        <v>3960</v>
      </c>
    </row>
    <row r="664" spans="1:14" x14ac:dyDescent="0.35">
      <c r="A664" s="30">
        <v>663</v>
      </c>
      <c r="B664" s="31">
        <v>2</v>
      </c>
      <c r="C664" s="32">
        <f>(IO!$B$4+IO!$B$8)</f>
        <v>102</v>
      </c>
      <c r="D664" s="32">
        <f>IF(B664&gt;IO!$B$8,0,IO!$B$8-Model!B664)</f>
        <v>0</v>
      </c>
      <c r="E664" s="33">
        <f>IO!$B$5*C664-IO!$B$6*D664</f>
        <v>4080</v>
      </c>
      <c r="G664" s="47">
        <v>663</v>
      </c>
      <c r="H664" s="38" t="s">
        <v>9</v>
      </c>
      <c r="I664" s="38">
        <v>2</v>
      </c>
      <c r="J664" s="39">
        <v>0.47845437660176426</v>
      </c>
      <c r="K664" s="40">
        <f>ROUND(NORMINV(J664,IO!$B$10,IO!$B$11),0)</f>
        <v>103</v>
      </c>
      <c r="L664" s="40">
        <f>MIN(K664,IO!$B$4+IO!$B$8)</f>
        <v>102</v>
      </c>
      <c r="M664" s="40">
        <f>IF(L664-I664&gt;IO!$B$4,Model!L664-Model!I664-IO!$B$4,0)</f>
        <v>0</v>
      </c>
      <c r="N664" s="41">
        <f>IO!$B$5*Model!L664-IO!$B$6*Model!M664</f>
        <v>4080</v>
      </c>
    </row>
    <row r="665" spans="1:14" x14ac:dyDescent="0.35">
      <c r="A665" s="30">
        <v>664</v>
      </c>
      <c r="B665" s="31">
        <v>0</v>
      </c>
      <c r="C665" s="32">
        <f>(IO!$B$4+IO!$B$8)</f>
        <v>102</v>
      </c>
      <c r="D665" s="32">
        <f>IF(B665&gt;IO!$B$8,0,IO!$B$8-Model!B665)</f>
        <v>2</v>
      </c>
      <c r="E665" s="33">
        <f>IO!$B$5*C665-IO!$B$6*D665</f>
        <v>3880</v>
      </c>
      <c r="G665" s="47">
        <v>664</v>
      </c>
      <c r="H665" s="38" t="s">
        <v>7</v>
      </c>
      <c r="I665" s="38">
        <v>0</v>
      </c>
      <c r="J665" s="39">
        <v>0.28210223950066615</v>
      </c>
      <c r="K665" s="40">
        <f>ROUND(NORMINV(J665,IO!$B$10,IO!$B$11),0)</f>
        <v>100</v>
      </c>
      <c r="L665" s="40">
        <f>MIN(K665,IO!$B$4+IO!$B$8)</f>
        <v>100</v>
      </c>
      <c r="M665" s="40">
        <f>IF(L665-I665&gt;IO!$B$4,Model!L665-Model!I665-IO!$B$4,0)</f>
        <v>0</v>
      </c>
      <c r="N665" s="41">
        <f>IO!$B$5*Model!L665-IO!$B$6*Model!M665</f>
        <v>4000</v>
      </c>
    </row>
    <row r="666" spans="1:14" x14ac:dyDescent="0.35">
      <c r="A666" s="30">
        <v>665</v>
      </c>
      <c r="B666" s="31">
        <v>4</v>
      </c>
      <c r="C666" s="32">
        <f>(IO!$B$4+IO!$B$8)</f>
        <v>102</v>
      </c>
      <c r="D666" s="32">
        <f>IF(B666&gt;IO!$B$8,0,IO!$B$8-Model!B666)</f>
        <v>0</v>
      </c>
      <c r="E666" s="33">
        <f>IO!$B$5*C666-IO!$B$6*D666</f>
        <v>4080</v>
      </c>
      <c r="G666" s="47">
        <v>665</v>
      </c>
      <c r="H666" s="38" t="s">
        <v>8</v>
      </c>
      <c r="I666" s="38">
        <v>4</v>
      </c>
      <c r="J666" s="39">
        <v>0.3413216528540679</v>
      </c>
      <c r="K666" s="40">
        <f>ROUND(NORMINV(J666,IO!$B$10,IO!$B$11),0)</f>
        <v>101</v>
      </c>
      <c r="L666" s="40">
        <f>MIN(K666,IO!$B$4+IO!$B$8)</f>
        <v>101</v>
      </c>
      <c r="M666" s="40">
        <f>IF(L666-I666&gt;IO!$B$4,Model!L666-Model!I666-IO!$B$4,0)</f>
        <v>0</v>
      </c>
      <c r="N666" s="41">
        <f>IO!$B$5*Model!L666-IO!$B$6*Model!M666</f>
        <v>4040</v>
      </c>
    </row>
    <row r="667" spans="1:14" x14ac:dyDescent="0.35">
      <c r="A667" s="30">
        <v>666</v>
      </c>
      <c r="B667" s="31">
        <v>1</v>
      </c>
      <c r="C667" s="32">
        <f>(IO!$B$4+IO!$B$8)</f>
        <v>102</v>
      </c>
      <c r="D667" s="32">
        <f>IF(B667&gt;IO!$B$8,0,IO!$B$8-Model!B667)</f>
        <v>1</v>
      </c>
      <c r="E667" s="33">
        <f>IO!$B$5*C667-IO!$B$6*D667</f>
        <v>3980</v>
      </c>
      <c r="G667" s="47">
        <v>666</v>
      </c>
      <c r="H667" s="38" t="s">
        <v>9</v>
      </c>
      <c r="I667" s="38">
        <v>1</v>
      </c>
      <c r="J667" s="39">
        <v>0.90274325928957178</v>
      </c>
      <c r="K667" s="40">
        <f>ROUND(NORMINV(J667,IO!$B$10,IO!$B$11),0)</f>
        <v>109</v>
      </c>
      <c r="L667" s="40">
        <f>MIN(K667,IO!$B$4+IO!$B$8)</f>
        <v>102</v>
      </c>
      <c r="M667" s="40">
        <f>IF(L667-I667&gt;IO!$B$4,Model!L667-Model!I667-IO!$B$4,0)</f>
        <v>1</v>
      </c>
      <c r="N667" s="41">
        <f>IO!$B$5*Model!L667-IO!$B$6*Model!M667</f>
        <v>3980</v>
      </c>
    </row>
    <row r="668" spans="1:14" x14ac:dyDescent="0.35">
      <c r="A668" s="30">
        <v>667</v>
      </c>
      <c r="B668" s="31">
        <v>1</v>
      </c>
      <c r="C668" s="32">
        <f>(IO!$B$4+IO!$B$8)</f>
        <v>102</v>
      </c>
      <c r="D668" s="32">
        <f>IF(B668&gt;IO!$B$8,0,IO!$B$8-Model!B668)</f>
        <v>1</v>
      </c>
      <c r="E668" s="33">
        <f>IO!$B$5*C668-IO!$B$6*D668</f>
        <v>3980</v>
      </c>
      <c r="G668" s="47">
        <v>667</v>
      </c>
      <c r="H668" s="38" t="s">
        <v>7</v>
      </c>
      <c r="I668" s="38">
        <v>1</v>
      </c>
      <c r="J668" s="39">
        <v>5.1733756095221128E-2</v>
      </c>
      <c r="K668" s="40">
        <f>ROUND(NORMINV(J668,IO!$B$10,IO!$B$11),0)</f>
        <v>95</v>
      </c>
      <c r="L668" s="40">
        <f>MIN(K668,IO!$B$4+IO!$B$8)</f>
        <v>95</v>
      </c>
      <c r="M668" s="40">
        <f>IF(L668-I668&gt;IO!$B$4,Model!L668-Model!I668-IO!$B$4,0)</f>
        <v>0</v>
      </c>
      <c r="N668" s="41">
        <f>IO!$B$5*Model!L668-IO!$B$6*Model!M668</f>
        <v>3800</v>
      </c>
    </row>
    <row r="669" spans="1:14" x14ac:dyDescent="0.35">
      <c r="A669" s="30">
        <v>668</v>
      </c>
      <c r="B669" s="31">
        <v>4</v>
      </c>
      <c r="C669" s="32">
        <f>(IO!$B$4+IO!$B$8)</f>
        <v>102</v>
      </c>
      <c r="D669" s="32">
        <f>IF(B669&gt;IO!$B$8,0,IO!$B$8-Model!B669)</f>
        <v>0</v>
      </c>
      <c r="E669" s="33">
        <f>IO!$B$5*C669-IO!$B$6*D669</f>
        <v>4080</v>
      </c>
      <c r="G669" s="47">
        <v>668</v>
      </c>
      <c r="H669" s="38" t="s">
        <v>8</v>
      </c>
      <c r="I669" s="38">
        <v>4</v>
      </c>
      <c r="J669" s="39">
        <v>0.76909822921750748</v>
      </c>
      <c r="K669" s="40">
        <f>ROUND(NORMINV(J669,IO!$B$10,IO!$B$11),0)</f>
        <v>107</v>
      </c>
      <c r="L669" s="40">
        <f>MIN(K669,IO!$B$4+IO!$B$8)</f>
        <v>102</v>
      </c>
      <c r="M669" s="40">
        <f>IF(L669-I669&gt;IO!$B$4,Model!L669-Model!I669-IO!$B$4,0)</f>
        <v>0</v>
      </c>
      <c r="N669" s="41">
        <f>IO!$B$5*Model!L669-IO!$B$6*Model!M669</f>
        <v>4080</v>
      </c>
    </row>
    <row r="670" spans="1:14" x14ac:dyDescent="0.35">
      <c r="A670" s="30">
        <v>669</v>
      </c>
      <c r="B670" s="31">
        <v>2</v>
      </c>
      <c r="C670" s="32">
        <f>(IO!$B$4+IO!$B$8)</f>
        <v>102</v>
      </c>
      <c r="D670" s="32">
        <f>IF(B670&gt;IO!$B$8,0,IO!$B$8-Model!B670)</f>
        <v>0</v>
      </c>
      <c r="E670" s="33">
        <f>IO!$B$5*C670-IO!$B$6*D670</f>
        <v>4080</v>
      </c>
      <c r="G670" s="47">
        <v>669</v>
      </c>
      <c r="H670" s="38" t="s">
        <v>9</v>
      </c>
      <c r="I670" s="38">
        <v>2</v>
      </c>
      <c r="J670" s="39">
        <v>0.44335322997527693</v>
      </c>
      <c r="K670" s="40">
        <f>ROUND(NORMINV(J670,IO!$B$10,IO!$B$11),0)</f>
        <v>102</v>
      </c>
      <c r="L670" s="40">
        <f>MIN(K670,IO!$B$4+IO!$B$8)</f>
        <v>102</v>
      </c>
      <c r="M670" s="40">
        <f>IF(L670-I670&gt;IO!$B$4,Model!L670-Model!I670-IO!$B$4,0)</f>
        <v>0</v>
      </c>
      <c r="N670" s="41">
        <f>IO!$B$5*Model!L670-IO!$B$6*Model!M670</f>
        <v>4080</v>
      </c>
    </row>
    <row r="671" spans="1:14" x14ac:dyDescent="0.35">
      <c r="A671" s="30">
        <v>670</v>
      </c>
      <c r="B671" s="31">
        <v>5</v>
      </c>
      <c r="C671" s="32">
        <f>(IO!$B$4+IO!$B$8)</f>
        <v>102</v>
      </c>
      <c r="D671" s="32">
        <f>IF(B671&gt;IO!$B$8,0,IO!$B$8-Model!B671)</f>
        <v>0</v>
      </c>
      <c r="E671" s="33">
        <f>IO!$B$5*C671-IO!$B$6*D671</f>
        <v>4080</v>
      </c>
      <c r="G671" s="47">
        <v>670</v>
      </c>
      <c r="H671" s="38" t="s">
        <v>7</v>
      </c>
      <c r="I671" s="38">
        <v>5</v>
      </c>
      <c r="J671" s="39">
        <v>4.1170178049411921E-2</v>
      </c>
      <c r="K671" s="40">
        <f>ROUND(NORMINV(J671,IO!$B$10,IO!$B$11),0)</f>
        <v>94</v>
      </c>
      <c r="L671" s="40">
        <f>MIN(K671,IO!$B$4+IO!$B$8)</f>
        <v>94</v>
      </c>
      <c r="M671" s="40">
        <f>IF(L671-I671&gt;IO!$B$4,Model!L671-Model!I671-IO!$B$4,0)</f>
        <v>0</v>
      </c>
      <c r="N671" s="41">
        <f>IO!$B$5*Model!L671-IO!$B$6*Model!M671</f>
        <v>3760</v>
      </c>
    </row>
    <row r="672" spans="1:14" x14ac:dyDescent="0.35">
      <c r="A672" s="30">
        <v>671</v>
      </c>
      <c r="B672" s="31">
        <v>1</v>
      </c>
      <c r="C672" s="32">
        <f>(IO!$B$4+IO!$B$8)</f>
        <v>102</v>
      </c>
      <c r="D672" s="32">
        <f>IF(B672&gt;IO!$B$8,0,IO!$B$8-Model!B672)</f>
        <v>1</v>
      </c>
      <c r="E672" s="33">
        <f>IO!$B$5*C672-IO!$B$6*D672</f>
        <v>3980</v>
      </c>
      <c r="G672" s="47">
        <v>671</v>
      </c>
      <c r="H672" s="38" t="s">
        <v>8</v>
      </c>
      <c r="I672" s="38">
        <v>1</v>
      </c>
      <c r="J672" s="39">
        <v>0.87894223971171981</v>
      </c>
      <c r="K672" s="40">
        <f>ROUND(NORMINV(J672,IO!$B$10,IO!$B$11),0)</f>
        <v>109</v>
      </c>
      <c r="L672" s="40">
        <f>MIN(K672,IO!$B$4+IO!$B$8)</f>
        <v>102</v>
      </c>
      <c r="M672" s="40">
        <f>IF(L672-I672&gt;IO!$B$4,Model!L672-Model!I672-IO!$B$4,0)</f>
        <v>1</v>
      </c>
      <c r="N672" s="41">
        <f>IO!$B$5*Model!L672-IO!$B$6*Model!M672</f>
        <v>3980</v>
      </c>
    </row>
    <row r="673" spans="1:14" x14ac:dyDescent="0.35">
      <c r="A673" s="30">
        <v>672</v>
      </c>
      <c r="B673" s="31">
        <v>2</v>
      </c>
      <c r="C673" s="32">
        <f>(IO!$B$4+IO!$B$8)</f>
        <v>102</v>
      </c>
      <c r="D673" s="32">
        <f>IF(B673&gt;IO!$B$8,0,IO!$B$8-Model!B673)</f>
        <v>0</v>
      </c>
      <c r="E673" s="33">
        <f>IO!$B$5*C673-IO!$B$6*D673</f>
        <v>4080</v>
      </c>
      <c r="G673" s="47">
        <v>672</v>
      </c>
      <c r="H673" s="38" t="s">
        <v>9</v>
      </c>
      <c r="I673" s="38">
        <v>2</v>
      </c>
      <c r="J673" s="39">
        <v>0.82539606582784164</v>
      </c>
      <c r="K673" s="40">
        <f>ROUND(NORMINV(J673,IO!$B$10,IO!$B$11),0)</f>
        <v>108</v>
      </c>
      <c r="L673" s="40">
        <f>MIN(K673,IO!$B$4+IO!$B$8)</f>
        <v>102</v>
      </c>
      <c r="M673" s="40">
        <f>IF(L673-I673&gt;IO!$B$4,Model!L673-Model!I673-IO!$B$4,0)</f>
        <v>0</v>
      </c>
      <c r="N673" s="41">
        <f>IO!$B$5*Model!L673-IO!$B$6*Model!M673</f>
        <v>4080</v>
      </c>
    </row>
    <row r="674" spans="1:14" x14ac:dyDescent="0.35">
      <c r="A674" s="30">
        <v>673</v>
      </c>
      <c r="B674" s="31">
        <v>2</v>
      </c>
      <c r="C674" s="32">
        <f>(IO!$B$4+IO!$B$8)</f>
        <v>102</v>
      </c>
      <c r="D674" s="32">
        <f>IF(B674&gt;IO!$B$8,0,IO!$B$8-Model!B674)</f>
        <v>0</v>
      </c>
      <c r="E674" s="33">
        <f>IO!$B$5*C674-IO!$B$6*D674</f>
        <v>4080</v>
      </c>
      <c r="G674" s="47">
        <v>673</v>
      </c>
      <c r="H674" s="38" t="s">
        <v>7</v>
      </c>
      <c r="I674" s="38">
        <v>2</v>
      </c>
      <c r="J674" s="39">
        <v>0.56367724810237607</v>
      </c>
      <c r="K674" s="40">
        <f>ROUND(NORMINV(J674,IO!$B$10,IO!$B$11),0)</f>
        <v>104</v>
      </c>
      <c r="L674" s="40">
        <f>MIN(K674,IO!$B$4+IO!$B$8)</f>
        <v>102</v>
      </c>
      <c r="M674" s="40">
        <f>IF(L674-I674&gt;IO!$B$4,Model!L674-Model!I674-IO!$B$4,0)</f>
        <v>0</v>
      </c>
      <c r="N674" s="41">
        <f>IO!$B$5*Model!L674-IO!$B$6*Model!M674</f>
        <v>4080</v>
      </c>
    </row>
    <row r="675" spans="1:14" x14ac:dyDescent="0.35">
      <c r="A675" s="30">
        <v>674</v>
      </c>
      <c r="B675" s="31">
        <v>2</v>
      </c>
      <c r="C675" s="32">
        <f>(IO!$B$4+IO!$B$8)</f>
        <v>102</v>
      </c>
      <c r="D675" s="32">
        <f>IF(B675&gt;IO!$B$8,0,IO!$B$8-Model!B675)</f>
        <v>0</v>
      </c>
      <c r="E675" s="33">
        <f>IO!$B$5*C675-IO!$B$6*D675</f>
        <v>4080</v>
      </c>
      <c r="G675" s="47">
        <v>674</v>
      </c>
      <c r="H675" s="38" t="s">
        <v>8</v>
      </c>
      <c r="I675" s="38">
        <v>2</v>
      </c>
      <c r="J675" s="39">
        <v>0.55677893568527548</v>
      </c>
      <c r="K675" s="40">
        <f>ROUND(NORMINV(J675,IO!$B$10,IO!$B$11),0)</f>
        <v>104</v>
      </c>
      <c r="L675" s="40">
        <f>MIN(K675,IO!$B$4+IO!$B$8)</f>
        <v>102</v>
      </c>
      <c r="M675" s="40">
        <f>IF(L675-I675&gt;IO!$B$4,Model!L675-Model!I675-IO!$B$4,0)</f>
        <v>0</v>
      </c>
      <c r="N675" s="41">
        <f>IO!$B$5*Model!L675-IO!$B$6*Model!M675</f>
        <v>4080</v>
      </c>
    </row>
    <row r="676" spans="1:14" x14ac:dyDescent="0.35">
      <c r="A676" s="30">
        <v>675</v>
      </c>
      <c r="B676" s="31">
        <v>0</v>
      </c>
      <c r="C676" s="32">
        <f>(IO!$B$4+IO!$B$8)</f>
        <v>102</v>
      </c>
      <c r="D676" s="32">
        <f>IF(B676&gt;IO!$B$8,0,IO!$B$8-Model!B676)</f>
        <v>2</v>
      </c>
      <c r="E676" s="33">
        <f>IO!$B$5*C676-IO!$B$6*D676</f>
        <v>3880</v>
      </c>
      <c r="G676" s="47">
        <v>675</v>
      </c>
      <c r="H676" s="38" t="s">
        <v>9</v>
      </c>
      <c r="I676" s="38">
        <v>0</v>
      </c>
      <c r="J676" s="39">
        <v>0.42767713482406078</v>
      </c>
      <c r="K676" s="40">
        <f>ROUND(NORMINV(J676,IO!$B$10,IO!$B$11),0)</f>
        <v>102</v>
      </c>
      <c r="L676" s="40">
        <f>MIN(K676,IO!$B$4+IO!$B$8)</f>
        <v>102</v>
      </c>
      <c r="M676" s="40">
        <f>IF(L676-I676&gt;IO!$B$4,Model!L676-Model!I676-IO!$B$4,0)</f>
        <v>2</v>
      </c>
      <c r="N676" s="41">
        <f>IO!$B$5*Model!L676-IO!$B$6*Model!M676</f>
        <v>3880</v>
      </c>
    </row>
    <row r="677" spans="1:14" x14ac:dyDescent="0.35">
      <c r="A677" s="30">
        <v>676</v>
      </c>
      <c r="B677" s="31">
        <v>1</v>
      </c>
      <c r="C677" s="32">
        <f>(IO!$B$4+IO!$B$8)</f>
        <v>102</v>
      </c>
      <c r="D677" s="32">
        <f>IF(B677&gt;IO!$B$8,0,IO!$B$8-Model!B677)</f>
        <v>1</v>
      </c>
      <c r="E677" s="33">
        <f>IO!$B$5*C677-IO!$B$6*D677</f>
        <v>3980</v>
      </c>
      <c r="G677" s="47">
        <v>676</v>
      </c>
      <c r="H677" s="38" t="s">
        <v>7</v>
      </c>
      <c r="I677" s="38">
        <v>1</v>
      </c>
      <c r="J677" s="39">
        <v>0.61549513817915491</v>
      </c>
      <c r="K677" s="40">
        <f>ROUND(NORMINV(J677,IO!$B$10,IO!$B$11),0)</f>
        <v>104</v>
      </c>
      <c r="L677" s="40">
        <f>MIN(K677,IO!$B$4+IO!$B$8)</f>
        <v>102</v>
      </c>
      <c r="M677" s="40">
        <f>IF(L677-I677&gt;IO!$B$4,Model!L677-Model!I677-IO!$B$4,0)</f>
        <v>1</v>
      </c>
      <c r="N677" s="41">
        <f>IO!$B$5*Model!L677-IO!$B$6*Model!M677</f>
        <v>3980</v>
      </c>
    </row>
    <row r="678" spans="1:14" x14ac:dyDescent="0.35">
      <c r="A678" s="30">
        <v>677</v>
      </c>
      <c r="B678" s="31">
        <v>1</v>
      </c>
      <c r="C678" s="32">
        <f>(IO!$B$4+IO!$B$8)</f>
        <v>102</v>
      </c>
      <c r="D678" s="32">
        <f>IF(B678&gt;IO!$B$8,0,IO!$B$8-Model!B678)</f>
        <v>1</v>
      </c>
      <c r="E678" s="33">
        <f>IO!$B$5*C678-IO!$B$6*D678</f>
        <v>3980</v>
      </c>
      <c r="G678" s="47">
        <v>677</v>
      </c>
      <c r="H678" s="38" t="s">
        <v>8</v>
      </c>
      <c r="I678" s="38">
        <v>1</v>
      </c>
      <c r="J678" s="39">
        <v>0.21131333980908806</v>
      </c>
      <c r="K678" s="40">
        <f>ROUND(NORMINV(J678,IO!$B$10,IO!$B$11),0)</f>
        <v>99</v>
      </c>
      <c r="L678" s="40">
        <f>MIN(K678,IO!$B$4+IO!$B$8)</f>
        <v>99</v>
      </c>
      <c r="M678" s="40">
        <f>IF(L678-I678&gt;IO!$B$4,Model!L678-Model!I678-IO!$B$4,0)</f>
        <v>0</v>
      </c>
      <c r="N678" s="41">
        <f>IO!$B$5*Model!L678-IO!$B$6*Model!M678</f>
        <v>3960</v>
      </c>
    </row>
    <row r="679" spans="1:14" x14ac:dyDescent="0.35">
      <c r="A679" s="30">
        <v>678</v>
      </c>
      <c r="B679" s="31">
        <v>2</v>
      </c>
      <c r="C679" s="32">
        <f>(IO!$B$4+IO!$B$8)</f>
        <v>102</v>
      </c>
      <c r="D679" s="32">
        <f>IF(B679&gt;IO!$B$8,0,IO!$B$8-Model!B679)</f>
        <v>0</v>
      </c>
      <c r="E679" s="33">
        <f>IO!$B$5*C679-IO!$B$6*D679</f>
        <v>4080</v>
      </c>
      <c r="G679" s="47">
        <v>678</v>
      </c>
      <c r="H679" s="38" t="s">
        <v>9</v>
      </c>
      <c r="I679" s="38">
        <v>2</v>
      </c>
      <c r="J679" s="39">
        <v>0.10915273130285652</v>
      </c>
      <c r="K679" s="40">
        <f>ROUND(NORMINV(J679,IO!$B$10,IO!$B$11),0)</f>
        <v>97</v>
      </c>
      <c r="L679" s="40">
        <f>MIN(K679,IO!$B$4+IO!$B$8)</f>
        <v>97</v>
      </c>
      <c r="M679" s="40">
        <f>IF(L679-I679&gt;IO!$B$4,Model!L679-Model!I679-IO!$B$4,0)</f>
        <v>0</v>
      </c>
      <c r="N679" s="41">
        <f>IO!$B$5*Model!L679-IO!$B$6*Model!M679</f>
        <v>3880</v>
      </c>
    </row>
    <row r="680" spans="1:14" x14ac:dyDescent="0.35">
      <c r="A680" s="30">
        <v>679</v>
      </c>
      <c r="B680" s="31">
        <v>2</v>
      </c>
      <c r="C680" s="32">
        <f>(IO!$B$4+IO!$B$8)</f>
        <v>102</v>
      </c>
      <c r="D680" s="32">
        <f>IF(B680&gt;IO!$B$8,0,IO!$B$8-Model!B680)</f>
        <v>0</v>
      </c>
      <c r="E680" s="33">
        <f>IO!$B$5*C680-IO!$B$6*D680</f>
        <v>4080</v>
      </c>
      <c r="G680" s="47">
        <v>679</v>
      </c>
      <c r="H680" s="38" t="s">
        <v>7</v>
      </c>
      <c r="I680" s="38">
        <v>2</v>
      </c>
      <c r="J680" s="39">
        <v>0.46693466262077099</v>
      </c>
      <c r="K680" s="40">
        <f>ROUND(NORMINV(J680,IO!$B$10,IO!$B$11),0)</f>
        <v>103</v>
      </c>
      <c r="L680" s="40">
        <f>MIN(K680,IO!$B$4+IO!$B$8)</f>
        <v>102</v>
      </c>
      <c r="M680" s="40">
        <f>IF(L680-I680&gt;IO!$B$4,Model!L680-Model!I680-IO!$B$4,0)</f>
        <v>0</v>
      </c>
      <c r="N680" s="41">
        <f>IO!$B$5*Model!L680-IO!$B$6*Model!M680</f>
        <v>4080</v>
      </c>
    </row>
    <row r="681" spans="1:14" x14ac:dyDescent="0.35">
      <c r="A681" s="30">
        <v>680</v>
      </c>
      <c r="B681" s="31">
        <v>4</v>
      </c>
      <c r="C681" s="32">
        <f>(IO!$B$4+IO!$B$8)</f>
        <v>102</v>
      </c>
      <c r="D681" s="32">
        <f>IF(B681&gt;IO!$B$8,0,IO!$B$8-Model!B681)</f>
        <v>0</v>
      </c>
      <c r="E681" s="33">
        <f>IO!$B$5*C681-IO!$B$6*D681</f>
        <v>4080</v>
      </c>
      <c r="G681" s="47">
        <v>680</v>
      </c>
      <c r="H681" s="38" t="s">
        <v>8</v>
      </c>
      <c r="I681" s="38">
        <v>4</v>
      </c>
      <c r="J681" s="39">
        <v>0.96316161382028787</v>
      </c>
      <c r="K681" s="40">
        <f>ROUND(NORMINV(J681,IO!$B$10,IO!$B$11),0)</f>
        <v>112</v>
      </c>
      <c r="L681" s="40">
        <f>MIN(K681,IO!$B$4+IO!$B$8)</f>
        <v>102</v>
      </c>
      <c r="M681" s="40">
        <f>IF(L681-I681&gt;IO!$B$4,Model!L681-Model!I681-IO!$B$4,0)</f>
        <v>0</v>
      </c>
      <c r="N681" s="41">
        <f>IO!$B$5*Model!L681-IO!$B$6*Model!M681</f>
        <v>4080</v>
      </c>
    </row>
    <row r="682" spans="1:14" x14ac:dyDescent="0.35">
      <c r="A682" s="30">
        <v>681</v>
      </c>
      <c r="B682" s="31">
        <v>1</v>
      </c>
      <c r="C682" s="32">
        <f>(IO!$B$4+IO!$B$8)</f>
        <v>102</v>
      </c>
      <c r="D682" s="32">
        <f>IF(B682&gt;IO!$B$8,0,IO!$B$8-Model!B682)</f>
        <v>1</v>
      </c>
      <c r="E682" s="33">
        <f>IO!$B$5*C682-IO!$B$6*D682</f>
        <v>3980</v>
      </c>
      <c r="G682" s="47">
        <v>681</v>
      </c>
      <c r="H682" s="38" t="s">
        <v>9</v>
      </c>
      <c r="I682" s="38">
        <v>1</v>
      </c>
      <c r="J682" s="39">
        <v>0.81515768791004084</v>
      </c>
      <c r="K682" s="40">
        <f>ROUND(NORMINV(J682,IO!$B$10,IO!$B$11),0)</f>
        <v>107</v>
      </c>
      <c r="L682" s="40">
        <f>MIN(K682,IO!$B$4+IO!$B$8)</f>
        <v>102</v>
      </c>
      <c r="M682" s="40">
        <f>IF(L682-I682&gt;IO!$B$4,Model!L682-Model!I682-IO!$B$4,0)</f>
        <v>1</v>
      </c>
      <c r="N682" s="41">
        <f>IO!$B$5*Model!L682-IO!$B$6*Model!M682</f>
        <v>3980</v>
      </c>
    </row>
    <row r="683" spans="1:14" x14ac:dyDescent="0.35">
      <c r="A683" s="30">
        <v>682</v>
      </c>
      <c r="B683" s="31">
        <v>4</v>
      </c>
      <c r="C683" s="32">
        <f>(IO!$B$4+IO!$B$8)</f>
        <v>102</v>
      </c>
      <c r="D683" s="32">
        <f>IF(B683&gt;IO!$B$8,0,IO!$B$8-Model!B683)</f>
        <v>0</v>
      </c>
      <c r="E683" s="33">
        <f>IO!$B$5*C683-IO!$B$6*D683</f>
        <v>4080</v>
      </c>
      <c r="G683" s="47">
        <v>682</v>
      </c>
      <c r="H683" s="38" t="s">
        <v>7</v>
      </c>
      <c r="I683" s="38">
        <v>4</v>
      </c>
      <c r="J683" s="39">
        <v>0.75529436167812647</v>
      </c>
      <c r="K683" s="40">
        <f>ROUND(NORMINV(J683,IO!$B$10,IO!$B$11),0)</f>
        <v>106</v>
      </c>
      <c r="L683" s="40">
        <f>MIN(K683,IO!$B$4+IO!$B$8)</f>
        <v>102</v>
      </c>
      <c r="M683" s="40">
        <f>IF(L683-I683&gt;IO!$B$4,Model!L683-Model!I683-IO!$B$4,0)</f>
        <v>0</v>
      </c>
      <c r="N683" s="41">
        <f>IO!$B$5*Model!L683-IO!$B$6*Model!M683</f>
        <v>4080</v>
      </c>
    </row>
    <row r="684" spans="1:14" x14ac:dyDescent="0.35">
      <c r="A684" s="30">
        <v>683</v>
      </c>
      <c r="B684" s="31">
        <v>1</v>
      </c>
      <c r="C684" s="32">
        <f>(IO!$B$4+IO!$B$8)</f>
        <v>102</v>
      </c>
      <c r="D684" s="32">
        <f>IF(B684&gt;IO!$B$8,0,IO!$B$8-Model!B684)</f>
        <v>1</v>
      </c>
      <c r="E684" s="33">
        <f>IO!$B$5*C684-IO!$B$6*D684</f>
        <v>3980</v>
      </c>
      <c r="G684" s="47">
        <v>683</v>
      </c>
      <c r="H684" s="38" t="s">
        <v>8</v>
      </c>
      <c r="I684" s="38">
        <v>1</v>
      </c>
      <c r="J684" s="39">
        <v>0.55213567362707705</v>
      </c>
      <c r="K684" s="40">
        <f>ROUND(NORMINV(J684,IO!$B$10,IO!$B$11),0)</f>
        <v>104</v>
      </c>
      <c r="L684" s="40">
        <f>MIN(K684,IO!$B$4+IO!$B$8)</f>
        <v>102</v>
      </c>
      <c r="M684" s="40">
        <f>IF(L684-I684&gt;IO!$B$4,Model!L684-Model!I684-IO!$B$4,0)</f>
        <v>1</v>
      </c>
      <c r="N684" s="41">
        <f>IO!$B$5*Model!L684-IO!$B$6*Model!M684</f>
        <v>3980</v>
      </c>
    </row>
    <row r="685" spans="1:14" x14ac:dyDescent="0.35">
      <c r="A685" s="30">
        <v>684</v>
      </c>
      <c r="B685" s="31">
        <v>1</v>
      </c>
      <c r="C685" s="32">
        <f>(IO!$B$4+IO!$B$8)</f>
        <v>102</v>
      </c>
      <c r="D685" s="32">
        <f>IF(B685&gt;IO!$B$8,0,IO!$B$8-Model!B685)</f>
        <v>1</v>
      </c>
      <c r="E685" s="33">
        <f>IO!$B$5*C685-IO!$B$6*D685</f>
        <v>3980</v>
      </c>
      <c r="G685" s="47">
        <v>684</v>
      </c>
      <c r="H685" s="38" t="s">
        <v>9</v>
      </c>
      <c r="I685" s="38">
        <v>1</v>
      </c>
      <c r="J685" s="39">
        <v>0.789096471578283</v>
      </c>
      <c r="K685" s="40">
        <f>ROUND(NORMINV(J685,IO!$B$10,IO!$B$11),0)</f>
        <v>107</v>
      </c>
      <c r="L685" s="40">
        <f>MIN(K685,IO!$B$4+IO!$B$8)</f>
        <v>102</v>
      </c>
      <c r="M685" s="40">
        <f>IF(L685-I685&gt;IO!$B$4,Model!L685-Model!I685-IO!$B$4,0)</f>
        <v>1</v>
      </c>
      <c r="N685" s="41">
        <f>IO!$B$5*Model!L685-IO!$B$6*Model!M685</f>
        <v>3980</v>
      </c>
    </row>
    <row r="686" spans="1:14" x14ac:dyDescent="0.35">
      <c r="A686" s="30">
        <v>685</v>
      </c>
      <c r="B686" s="31">
        <v>3</v>
      </c>
      <c r="C686" s="32">
        <f>(IO!$B$4+IO!$B$8)</f>
        <v>102</v>
      </c>
      <c r="D686" s="32">
        <f>IF(B686&gt;IO!$B$8,0,IO!$B$8-Model!B686)</f>
        <v>0</v>
      </c>
      <c r="E686" s="33">
        <f>IO!$B$5*C686-IO!$B$6*D686</f>
        <v>4080</v>
      </c>
      <c r="G686" s="47">
        <v>685</v>
      </c>
      <c r="H686" s="38" t="s">
        <v>7</v>
      </c>
      <c r="I686" s="38">
        <v>3</v>
      </c>
      <c r="J686" s="39">
        <v>0.55971564973899501</v>
      </c>
      <c r="K686" s="40">
        <f>ROUND(NORMINV(J686,IO!$B$10,IO!$B$11),0)</f>
        <v>104</v>
      </c>
      <c r="L686" s="40">
        <f>MIN(K686,IO!$B$4+IO!$B$8)</f>
        <v>102</v>
      </c>
      <c r="M686" s="40">
        <f>IF(L686-I686&gt;IO!$B$4,Model!L686-Model!I686-IO!$B$4,0)</f>
        <v>0</v>
      </c>
      <c r="N686" s="41">
        <f>IO!$B$5*Model!L686-IO!$B$6*Model!M686</f>
        <v>4080</v>
      </c>
    </row>
    <row r="687" spans="1:14" x14ac:dyDescent="0.35">
      <c r="A687" s="30">
        <v>686</v>
      </c>
      <c r="B687" s="31">
        <v>1</v>
      </c>
      <c r="C687" s="32">
        <f>(IO!$B$4+IO!$B$8)</f>
        <v>102</v>
      </c>
      <c r="D687" s="32">
        <f>IF(B687&gt;IO!$B$8,0,IO!$B$8-Model!B687)</f>
        <v>1</v>
      </c>
      <c r="E687" s="33">
        <f>IO!$B$5*C687-IO!$B$6*D687</f>
        <v>3980</v>
      </c>
      <c r="G687" s="47">
        <v>686</v>
      </c>
      <c r="H687" s="38" t="s">
        <v>8</v>
      </c>
      <c r="I687" s="38">
        <v>1</v>
      </c>
      <c r="J687" s="39">
        <v>0.27260248132949938</v>
      </c>
      <c r="K687" s="40">
        <f>ROUND(NORMINV(J687,IO!$B$10,IO!$B$11),0)</f>
        <v>100</v>
      </c>
      <c r="L687" s="40">
        <f>MIN(K687,IO!$B$4+IO!$B$8)</f>
        <v>100</v>
      </c>
      <c r="M687" s="40">
        <f>IF(L687-I687&gt;IO!$B$4,Model!L687-Model!I687-IO!$B$4,0)</f>
        <v>0</v>
      </c>
      <c r="N687" s="41">
        <f>IO!$B$5*Model!L687-IO!$B$6*Model!M687</f>
        <v>4000</v>
      </c>
    </row>
    <row r="688" spans="1:14" x14ac:dyDescent="0.35">
      <c r="A688" s="30">
        <v>687</v>
      </c>
      <c r="B688" s="31">
        <v>2</v>
      </c>
      <c r="C688" s="32">
        <f>(IO!$B$4+IO!$B$8)</f>
        <v>102</v>
      </c>
      <c r="D688" s="32">
        <f>IF(B688&gt;IO!$B$8,0,IO!$B$8-Model!B688)</f>
        <v>0</v>
      </c>
      <c r="E688" s="33">
        <f>IO!$B$5*C688-IO!$B$6*D688</f>
        <v>4080</v>
      </c>
      <c r="G688" s="47">
        <v>687</v>
      </c>
      <c r="H688" s="38" t="s">
        <v>9</v>
      </c>
      <c r="I688" s="38">
        <v>2</v>
      </c>
      <c r="J688" s="39">
        <v>0.87012589688233744</v>
      </c>
      <c r="K688" s="40">
        <f>ROUND(NORMINV(J688,IO!$B$10,IO!$B$11),0)</f>
        <v>109</v>
      </c>
      <c r="L688" s="40">
        <f>MIN(K688,IO!$B$4+IO!$B$8)</f>
        <v>102</v>
      </c>
      <c r="M688" s="40">
        <f>IF(L688-I688&gt;IO!$B$4,Model!L688-Model!I688-IO!$B$4,0)</f>
        <v>0</v>
      </c>
      <c r="N688" s="41">
        <f>IO!$B$5*Model!L688-IO!$B$6*Model!M688</f>
        <v>4080</v>
      </c>
    </row>
    <row r="689" spans="1:14" x14ac:dyDescent="0.35">
      <c r="A689" s="30">
        <v>688</v>
      </c>
      <c r="B689" s="31">
        <v>5</v>
      </c>
      <c r="C689" s="32">
        <f>(IO!$B$4+IO!$B$8)</f>
        <v>102</v>
      </c>
      <c r="D689" s="32">
        <f>IF(B689&gt;IO!$B$8,0,IO!$B$8-Model!B689)</f>
        <v>0</v>
      </c>
      <c r="E689" s="33">
        <f>IO!$B$5*C689-IO!$B$6*D689</f>
        <v>4080</v>
      </c>
      <c r="G689" s="47">
        <v>688</v>
      </c>
      <c r="H689" s="38" t="s">
        <v>7</v>
      </c>
      <c r="I689" s="38">
        <v>5</v>
      </c>
      <c r="J689" s="39">
        <v>0.98033258326578154</v>
      </c>
      <c r="K689" s="40">
        <f>ROUND(NORMINV(J689,IO!$B$10,IO!$B$11),0)</f>
        <v>113</v>
      </c>
      <c r="L689" s="40">
        <f>MIN(K689,IO!$B$4+IO!$B$8)</f>
        <v>102</v>
      </c>
      <c r="M689" s="40">
        <f>IF(L689-I689&gt;IO!$B$4,Model!L689-Model!I689-IO!$B$4,0)</f>
        <v>0</v>
      </c>
      <c r="N689" s="41">
        <f>IO!$B$5*Model!L689-IO!$B$6*Model!M689</f>
        <v>4080</v>
      </c>
    </row>
    <row r="690" spans="1:14" x14ac:dyDescent="0.35">
      <c r="A690" s="30">
        <v>689</v>
      </c>
      <c r="B690" s="31">
        <v>2</v>
      </c>
      <c r="C690" s="32">
        <f>(IO!$B$4+IO!$B$8)</f>
        <v>102</v>
      </c>
      <c r="D690" s="32">
        <f>IF(B690&gt;IO!$B$8,0,IO!$B$8-Model!B690)</f>
        <v>0</v>
      </c>
      <c r="E690" s="33">
        <f>IO!$B$5*C690-IO!$B$6*D690</f>
        <v>4080</v>
      </c>
      <c r="G690" s="47">
        <v>689</v>
      </c>
      <c r="H690" s="38" t="s">
        <v>8</v>
      </c>
      <c r="I690" s="38">
        <v>2</v>
      </c>
      <c r="J690" s="39">
        <v>0.46009736056478545</v>
      </c>
      <c r="K690" s="40">
        <f>ROUND(NORMINV(J690,IO!$B$10,IO!$B$11),0)</f>
        <v>102</v>
      </c>
      <c r="L690" s="40">
        <f>MIN(K690,IO!$B$4+IO!$B$8)</f>
        <v>102</v>
      </c>
      <c r="M690" s="40">
        <f>IF(L690-I690&gt;IO!$B$4,Model!L690-Model!I690-IO!$B$4,0)</f>
        <v>0</v>
      </c>
      <c r="N690" s="41">
        <f>IO!$B$5*Model!L690-IO!$B$6*Model!M690</f>
        <v>4080</v>
      </c>
    </row>
    <row r="691" spans="1:14" x14ac:dyDescent="0.35">
      <c r="A691" s="30">
        <v>690</v>
      </c>
      <c r="B691" s="31">
        <v>0</v>
      </c>
      <c r="C691" s="32">
        <f>(IO!$B$4+IO!$B$8)</f>
        <v>102</v>
      </c>
      <c r="D691" s="32">
        <f>IF(B691&gt;IO!$B$8,0,IO!$B$8-Model!B691)</f>
        <v>2</v>
      </c>
      <c r="E691" s="33">
        <f>IO!$B$5*C691-IO!$B$6*D691</f>
        <v>3880</v>
      </c>
      <c r="G691" s="47">
        <v>690</v>
      </c>
      <c r="H691" s="38" t="s">
        <v>9</v>
      </c>
      <c r="I691" s="38">
        <v>0</v>
      </c>
      <c r="J691" s="39">
        <v>0.77049306094095882</v>
      </c>
      <c r="K691" s="40">
        <f>ROUND(NORMINV(J691,IO!$B$10,IO!$B$11),0)</f>
        <v>107</v>
      </c>
      <c r="L691" s="40">
        <f>MIN(K691,IO!$B$4+IO!$B$8)</f>
        <v>102</v>
      </c>
      <c r="M691" s="40">
        <f>IF(L691-I691&gt;IO!$B$4,Model!L691-Model!I691-IO!$B$4,0)</f>
        <v>2</v>
      </c>
      <c r="N691" s="41">
        <f>IO!$B$5*Model!L691-IO!$B$6*Model!M691</f>
        <v>3880</v>
      </c>
    </row>
    <row r="692" spans="1:14" x14ac:dyDescent="0.35">
      <c r="A692" s="30">
        <v>691</v>
      </c>
      <c r="B692" s="31">
        <v>1</v>
      </c>
      <c r="C692" s="32">
        <f>(IO!$B$4+IO!$B$8)</f>
        <v>102</v>
      </c>
      <c r="D692" s="32">
        <f>IF(B692&gt;IO!$B$8,0,IO!$B$8-Model!B692)</f>
        <v>1</v>
      </c>
      <c r="E692" s="33">
        <f>IO!$B$5*C692-IO!$B$6*D692</f>
        <v>3980</v>
      </c>
      <c r="G692" s="47">
        <v>691</v>
      </c>
      <c r="H692" s="38" t="s">
        <v>7</v>
      </c>
      <c r="I692" s="38">
        <v>1</v>
      </c>
      <c r="J692" s="39">
        <v>0.87932553364083699</v>
      </c>
      <c r="K692" s="40">
        <f>ROUND(NORMINV(J692,IO!$B$10,IO!$B$11),0)</f>
        <v>109</v>
      </c>
      <c r="L692" s="40">
        <f>MIN(K692,IO!$B$4+IO!$B$8)</f>
        <v>102</v>
      </c>
      <c r="M692" s="40">
        <f>IF(L692-I692&gt;IO!$B$4,Model!L692-Model!I692-IO!$B$4,0)</f>
        <v>1</v>
      </c>
      <c r="N692" s="41">
        <f>IO!$B$5*Model!L692-IO!$B$6*Model!M692</f>
        <v>3980</v>
      </c>
    </row>
    <row r="693" spans="1:14" x14ac:dyDescent="0.35">
      <c r="A693" s="30">
        <v>692</v>
      </c>
      <c r="B693" s="31">
        <v>5</v>
      </c>
      <c r="C693" s="32">
        <f>(IO!$B$4+IO!$B$8)</f>
        <v>102</v>
      </c>
      <c r="D693" s="32">
        <f>IF(B693&gt;IO!$B$8,0,IO!$B$8-Model!B693)</f>
        <v>0</v>
      </c>
      <c r="E693" s="33">
        <f>IO!$B$5*C693-IO!$B$6*D693</f>
        <v>4080</v>
      </c>
      <c r="G693" s="47">
        <v>692</v>
      </c>
      <c r="H693" s="38" t="s">
        <v>8</v>
      </c>
      <c r="I693" s="38">
        <v>5</v>
      </c>
      <c r="J693" s="39">
        <v>0.44421834091465728</v>
      </c>
      <c r="K693" s="40">
        <f>ROUND(NORMINV(J693,IO!$B$10,IO!$B$11),0)</f>
        <v>102</v>
      </c>
      <c r="L693" s="40">
        <f>MIN(K693,IO!$B$4+IO!$B$8)</f>
        <v>102</v>
      </c>
      <c r="M693" s="40">
        <f>IF(L693-I693&gt;IO!$B$4,Model!L693-Model!I693-IO!$B$4,0)</f>
        <v>0</v>
      </c>
      <c r="N693" s="41">
        <f>IO!$B$5*Model!L693-IO!$B$6*Model!M693</f>
        <v>4080</v>
      </c>
    </row>
    <row r="694" spans="1:14" x14ac:dyDescent="0.35">
      <c r="A694" s="30">
        <v>693</v>
      </c>
      <c r="B694" s="31">
        <v>0</v>
      </c>
      <c r="C694" s="32">
        <f>(IO!$B$4+IO!$B$8)</f>
        <v>102</v>
      </c>
      <c r="D694" s="32">
        <f>IF(B694&gt;IO!$B$8,0,IO!$B$8-Model!B694)</f>
        <v>2</v>
      </c>
      <c r="E694" s="33">
        <f>IO!$B$5*C694-IO!$B$6*D694</f>
        <v>3880</v>
      </c>
      <c r="G694" s="47">
        <v>693</v>
      </c>
      <c r="H694" s="38" t="s">
        <v>9</v>
      </c>
      <c r="I694" s="38">
        <v>0</v>
      </c>
      <c r="J694" s="39">
        <v>0.37483249015724818</v>
      </c>
      <c r="K694" s="40">
        <f>ROUND(NORMINV(J694,IO!$B$10,IO!$B$11),0)</f>
        <v>101</v>
      </c>
      <c r="L694" s="40">
        <f>MIN(K694,IO!$B$4+IO!$B$8)</f>
        <v>101</v>
      </c>
      <c r="M694" s="40">
        <f>IF(L694-I694&gt;IO!$B$4,Model!L694-Model!I694-IO!$B$4,0)</f>
        <v>1</v>
      </c>
      <c r="N694" s="41">
        <f>IO!$B$5*Model!L694-IO!$B$6*Model!M694</f>
        <v>3940</v>
      </c>
    </row>
    <row r="695" spans="1:14" x14ac:dyDescent="0.35">
      <c r="A695" s="30">
        <v>694</v>
      </c>
      <c r="B695" s="31">
        <v>4</v>
      </c>
      <c r="C695" s="32">
        <f>(IO!$B$4+IO!$B$8)</f>
        <v>102</v>
      </c>
      <c r="D695" s="32">
        <f>IF(B695&gt;IO!$B$8,0,IO!$B$8-Model!B695)</f>
        <v>0</v>
      </c>
      <c r="E695" s="33">
        <f>IO!$B$5*C695-IO!$B$6*D695</f>
        <v>4080</v>
      </c>
      <c r="G695" s="47">
        <v>694</v>
      </c>
      <c r="H695" s="38" t="s">
        <v>7</v>
      </c>
      <c r="I695" s="38">
        <v>4</v>
      </c>
      <c r="J695" s="39">
        <v>0.96105521318148612</v>
      </c>
      <c r="K695" s="40">
        <f>ROUND(NORMINV(J695,IO!$B$10,IO!$B$11),0)</f>
        <v>112</v>
      </c>
      <c r="L695" s="40">
        <f>MIN(K695,IO!$B$4+IO!$B$8)</f>
        <v>102</v>
      </c>
      <c r="M695" s="40">
        <f>IF(L695-I695&gt;IO!$B$4,Model!L695-Model!I695-IO!$B$4,0)</f>
        <v>0</v>
      </c>
      <c r="N695" s="41">
        <f>IO!$B$5*Model!L695-IO!$B$6*Model!M695</f>
        <v>4080</v>
      </c>
    </row>
    <row r="696" spans="1:14" x14ac:dyDescent="0.35">
      <c r="A696" s="30">
        <v>695</v>
      </c>
      <c r="B696" s="31">
        <v>0</v>
      </c>
      <c r="C696" s="32">
        <f>(IO!$B$4+IO!$B$8)</f>
        <v>102</v>
      </c>
      <c r="D696" s="32">
        <f>IF(B696&gt;IO!$B$8,0,IO!$B$8-Model!B696)</f>
        <v>2</v>
      </c>
      <c r="E696" s="33">
        <f>IO!$B$5*C696-IO!$B$6*D696</f>
        <v>3880</v>
      </c>
      <c r="G696" s="47">
        <v>695</v>
      </c>
      <c r="H696" s="38" t="s">
        <v>8</v>
      </c>
      <c r="I696" s="38">
        <v>0</v>
      </c>
      <c r="J696" s="39">
        <v>0.58724756053831217</v>
      </c>
      <c r="K696" s="40">
        <f>ROUND(NORMINV(J696,IO!$B$10,IO!$B$11),0)</f>
        <v>104</v>
      </c>
      <c r="L696" s="40">
        <f>MIN(K696,IO!$B$4+IO!$B$8)</f>
        <v>102</v>
      </c>
      <c r="M696" s="40">
        <f>IF(L696-I696&gt;IO!$B$4,Model!L696-Model!I696-IO!$B$4,0)</f>
        <v>2</v>
      </c>
      <c r="N696" s="41">
        <f>IO!$B$5*Model!L696-IO!$B$6*Model!M696</f>
        <v>3880</v>
      </c>
    </row>
    <row r="697" spans="1:14" x14ac:dyDescent="0.35">
      <c r="A697" s="30">
        <v>696</v>
      </c>
      <c r="B697" s="31">
        <v>1</v>
      </c>
      <c r="C697" s="32">
        <f>(IO!$B$4+IO!$B$8)</f>
        <v>102</v>
      </c>
      <c r="D697" s="32">
        <f>IF(B697&gt;IO!$B$8,0,IO!$B$8-Model!B697)</f>
        <v>1</v>
      </c>
      <c r="E697" s="33">
        <f>IO!$B$5*C697-IO!$B$6*D697</f>
        <v>3980</v>
      </c>
      <c r="G697" s="47">
        <v>696</v>
      </c>
      <c r="H697" s="38" t="s">
        <v>9</v>
      </c>
      <c r="I697" s="38">
        <v>1</v>
      </c>
      <c r="J697" s="39">
        <v>0.43722314150812913</v>
      </c>
      <c r="K697" s="40">
        <f>ROUND(NORMINV(J697,IO!$B$10,IO!$B$11),0)</f>
        <v>102</v>
      </c>
      <c r="L697" s="40">
        <f>MIN(K697,IO!$B$4+IO!$B$8)</f>
        <v>102</v>
      </c>
      <c r="M697" s="40">
        <f>IF(L697-I697&gt;IO!$B$4,Model!L697-Model!I697-IO!$B$4,0)</f>
        <v>1</v>
      </c>
      <c r="N697" s="41">
        <f>IO!$B$5*Model!L697-IO!$B$6*Model!M697</f>
        <v>3980</v>
      </c>
    </row>
    <row r="698" spans="1:14" x14ac:dyDescent="0.35">
      <c r="A698" s="30">
        <v>697</v>
      </c>
      <c r="B698" s="31">
        <v>6</v>
      </c>
      <c r="C698" s="32">
        <f>(IO!$B$4+IO!$B$8)</f>
        <v>102</v>
      </c>
      <c r="D698" s="32">
        <f>IF(B698&gt;IO!$B$8,0,IO!$B$8-Model!B698)</f>
        <v>0</v>
      </c>
      <c r="E698" s="33">
        <f>IO!$B$5*C698-IO!$B$6*D698</f>
        <v>4080</v>
      </c>
      <c r="G698" s="47">
        <v>697</v>
      </c>
      <c r="H698" s="38" t="s">
        <v>7</v>
      </c>
      <c r="I698" s="38">
        <v>6</v>
      </c>
      <c r="J698" s="39">
        <v>0.74218532594696696</v>
      </c>
      <c r="K698" s="40">
        <f>ROUND(NORMINV(J698,IO!$B$10,IO!$B$11),0)</f>
        <v>106</v>
      </c>
      <c r="L698" s="40">
        <f>MIN(K698,IO!$B$4+IO!$B$8)</f>
        <v>102</v>
      </c>
      <c r="M698" s="40">
        <f>IF(L698-I698&gt;IO!$B$4,Model!L698-Model!I698-IO!$B$4,0)</f>
        <v>0</v>
      </c>
      <c r="N698" s="41">
        <f>IO!$B$5*Model!L698-IO!$B$6*Model!M698</f>
        <v>4080</v>
      </c>
    </row>
    <row r="699" spans="1:14" x14ac:dyDescent="0.35">
      <c r="A699" s="30">
        <v>698</v>
      </c>
      <c r="B699" s="31">
        <v>4</v>
      </c>
      <c r="C699" s="32">
        <f>(IO!$B$4+IO!$B$8)</f>
        <v>102</v>
      </c>
      <c r="D699" s="32">
        <f>IF(B699&gt;IO!$B$8,0,IO!$B$8-Model!B699)</f>
        <v>0</v>
      </c>
      <c r="E699" s="33">
        <f>IO!$B$5*C699-IO!$B$6*D699</f>
        <v>4080</v>
      </c>
      <c r="G699" s="47">
        <v>698</v>
      </c>
      <c r="H699" s="38" t="s">
        <v>8</v>
      </c>
      <c r="I699" s="38">
        <v>4</v>
      </c>
      <c r="J699" s="39">
        <v>0.95891704806029476</v>
      </c>
      <c r="K699" s="40">
        <f>ROUND(NORMINV(J699,IO!$B$10,IO!$B$11),0)</f>
        <v>112</v>
      </c>
      <c r="L699" s="40">
        <f>MIN(K699,IO!$B$4+IO!$B$8)</f>
        <v>102</v>
      </c>
      <c r="M699" s="40">
        <f>IF(L699-I699&gt;IO!$B$4,Model!L699-Model!I699-IO!$B$4,0)</f>
        <v>0</v>
      </c>
      <c r="N699" s="41">
        <f>IO!$B$5*Model!L699-IO!$B$6*Model!M699</f>
        <v>4080</v>
      </c>
    </row>
    <row r="700" spans="1:14" x14ac:dyDescent="0.35">
      <c r="A700" s="30">
        <v>699</v>
      </c>
      <c r="B700" s="31">
        <v>2</v>
      </c>
      <c r="C700" s="32">
        <f>(IO!$B$4+IO!$B$8)</f>
        <v>102</v>
      </c>
      <c r="D700" s="32">
        <f>IF(B700&gt;IO!$B$8,0,IO!$B$8-Model!B700)</f>
        <v>0</v>
      </c>
      <c r="E700" s="33">
        <f>IO!$B$5*C700-IO!$B$6*D700</f>
        <v>4080</v>
      </c>
      <c r="G700" s="47">
        <v>699</v>
      </c>
      <c r="H700" s="38" t="s">
        <v>9</v>
      </c>
      <c r="I700" s="38">
        <v>2</v>
      </c>
      <c r="J700" s="39">
        <v>0.35455962981827038</v>
      </c>
      <c r="K700" s="40">
        <f>ROUND(NORMINV(J700,IO!$B$10,IO!$B$11),0)</f>
        <v>101</v>
      </c>
      <c r="L700" s="40">
        <f>MIN(K700,IO!$B$4+IO!$B$8)</f>
        <v>101</v>
      </c>
      <c r="M700" s="40">
        <f>IF(L700-I700&gt;IO!$B$4,Model!L700-Model!I700-IO!$B$4,0)</f>
        <v>0</v>
      </c>
      <c r="N700" s="41">
        <f>IO!$B$5*Model!L700-IO!$B$6*Model!M700</f>
        <v>4040</v>
      </c>
    </row>
    <row r="701" spans="1:14" x14ac:dyDescent="0.35">
      <c r="A701" s="30">
        <v>700</v>
      </c>
      <c r="B701" s="31">
        <v>5</v>
      </c>
      <c r="C701" s="32">
        <f>(IO!$B$4+IO!$B$8)</f>
        <v>102</v>
      </c>
      <c r="D701" s="32">
        <f>IF(B701&gt;IO!$B$8,0,IO!$B$8-Model!B701)</f>
        <v>0</v>
      </c>
      <c r="E701" s="33">
        <f>IO!$B$5*C701-IO!$B$6*D701</f>
        <v>4080</v>
      </c>
      <c r="G701" s="47">
        <v>700</v>
      </c>
      <c r="H701" s="38" t="s">
        <v>7</v>
      </c>
      <c r="I701" s="38">
        <v>5</v>
      </c>
      <c r="J701" s="39">
        <v>0.71090111854552107</v>
      </c>
      <c r="K701" s="40">
        <f>ROUND(NORMINV(J701,IO!$B$10,IO!$B$11),0)</f>
        <v>106</v>
      </c>
      <c r="L701" s="40">
        <f>MIN(K701,IO!$B$4+IO!$B$8)</f>
        <v>102</v>
      </c>
      <c r="M701" s="40">
        <f>IF(L701-I701&gt;IO!$B$4,Model!L701-Model!I701-IO!$B$4,0)</f>
        <v>0</v>
      </c>
      <c r="N701" s="41">
        <f>IO!$B$5*Model!L701-IO!$B$6*Model!M701</f>
        <v>4080</v>
      </c>
    </row>
    <row r="702" spans="1:14" x14ac:dyDescent="0.35">
      <c r="A702" s="30">
        <v>701</v>
      </c>
      <c r="B702" s="31">
        <v>4</v>
      </c>
      <c r="C702" s="32">
        <f>(IO!$B$4+IO!$B$8)</f>
        <v>102</v>
      </c>
      <c r="D702" s="32">
        <f>IF(B702&gt;IO!$B$8,0,IO!$B$8-Model!B702)</f>
        <v>0</v>
      </c>
      <c r="E702" s="33">
        <f>IO!$B$5*C702-IO!$B$6*D702</f>
        <v>4080</v>
      </c>
      <c r="G702" s="47">
        <v>701</v>
      </c>
      <c r="H702" s="38" t="s">
        <v>8</v>
      </c>
      <c r="I702" s="38">
        <v>4</v>
      </c>
      <c r="J702" s="39">
        <v>6.1016751706406636E-2</v>
      </c>
      <c r="K702" s="40">
        <f>ROUND(NORMINV(J702,IO!$B$10,IO!$B$11),0)</f>
        <v>95</v>
      </c>
      <c r="L702" s="40">
        <f>MIN(K702,IO!$B$4+IO!$B$8)</f>
        <v>95</v>
      </c>
      <c r="M702" s="40">
        <f>IF(L702-I702&gt;IO!$B$4,Model!L702-Model!I702-IO!$B$4,0)</f>
        <v>0</v>
      </c>
      <c r="N702" s="41">
        <f>IO!$B$5*Model!L702-IO!$B$6*Model!M702</f>
        <v>3800</v>
      </c>
    </row>
    <row r="703" spans="1:14" x14ac:dyDescent="0.35">
      <c r="A703" s="30">
        <v>702</v>
      </c>
      <c r="B703" s="31">
        <v>0</v>
      </c>
      <c r="C703" s="32">
        <f>(IO!$B$4+IO!$B$8)</f>
        <v>102</v>
      </c>
      <c r="D703" s="32">
        <f>IF(B703&gt;IO!$B$8,0,IO!$B$8-Model!B703)</f>
        <v>2</v>
      </c>
      <c r="E703" s="33">
        <f>IO!$B$5*C703-IO!$B$6*D703</f>
        <v>3880</v>
      </c>
      <c r="G703" s="47">
        <v>702</v>
      </c>
      <c r="H703" s="38" t="s">
        <v>9</v>
      </c>
      <c r="I703" s="38">
        <v>0</v>
      </c>
      <c r="J703" s="39">
        <v>0.51921820481727887</v>
      </c>
      <c r="K703" s="40">
        <f>ROUND(NORMINV(J703,IO!$B$10,IO!$B$11),0)</f>
        <v>103</v>
      </c>
      <c r="L703" s="40">
        <f>MIN(K703,IO!$B$4+IO!$B$8)</f>
        <v>102</v>
      </c>
      <c r="M703" s="40">
        <f>IF(L703-I703&gt;IO!$B$4,Model!L703-Model!I703-IO!$B$4,0)</f>
        <v>2</v>
      </c>
      <c r="N703" s="41">
        <f>IO!$B$5*Model!L703-IO!$B$6*Model!M703</f>
        <v>3880</v>
      </c>
    </row>
    <row r="704" spans="1:14" x14ac:dyDescent="0.35">
      <c r="A704" s="30">
        <v>703</v>
      </c>
      <c r="B704" s="31">
        <v>5</v>
      </c>
      <c r="C704" s="32">
        <f>(IO!$B$4+IO!$B$8)</f>
        <v>102</v>
      </c>
      <c r="D704" s="32">
        <f>IF(B704&gt;IO!$B$8,0,IO!$B$8-Model!B704)</f>
        <v>0</v>
      </c>
      <c r="E704" s="33">
        <f>IO!$B$5*C704-IO!$B$6*D704</f>
        <v>4080</v>
      </c>
      <c r="G704" s="47">
        <v>703</v>
      </c>
      <c r="H704" s="38" t="s">
        <v>7</v>
      </c>
      <c r="I704" s="38">
        <v>5</v>
      </c>
      <c r="J704" s="39">
        <v>0.13173102821420624</v>
      </c>
      <c r="K704" s="40">
        <f>ROUND(NORMINV(J704,IO!$B$10,IO!$B$11),0)</f>
        <v>97</v>
      </c>
      <c r="L704" s="40">
        <f>MIN(K704,IO!$B$4+IO!$B$8)</f>
        <v>97</v>
      </c>
      <c r="M704" s="40">
        <f>IF(L704-I704&gt;IO!$B$4,Model!L704-Model!I704-IO!$B$4,0)</f>
        <v>0</v>
      </c>
      <c r="N704" s="41">
        <f>IO!$B$5*Model!L704-IO!$B$6*Model!M704</f>
        <v>3880</v>
      </c>
    </row>
    <row r="705" spans="1:14" x14ac:dyDescent="0.35">
      <c r="A705" s="30">
        <v>704</v>
      </c>
      <c r="B705" s="31">
        <v>2</v>
      </c>
      <c r="C705" s="32">
        <f>(IO!$B$4+IO!$B$8)</f>
        <v>102</v>
      </c>
      <c r="D705" s="32">
        <f>IF(B705&gt;IO!$B$8,0,IO!$B$8-Model!B705)</f>
        <v>0</v>
      </c>
      <c r="E705" s="33">
        <f>IO!$B$5*C705-IO!$B$6*D705</f>
        <v>4080</v>
      </c>
      <c r="G705" s="47">
        <v>704</v>
      </c>
      <c r="H705" s="38" t="s">
        <v>8</v>
      </c>
      <c r="I705" s="38">
        <v>2</v>
      </c>
      <c r="J705" s="39">
        <v>0.95414993391461889</v>
      </c>
      <c r="K705" s="40">
        <f>ROUND(NORMINV(J705,IO!$B$10,IO!$B$11),0)</f>
        <v>111</v>
      </c>
      <c r="L705" s="40">
        <f>MIN(K705,IO!$B$4+IO!$B$8)</f>
        <v>102</v>
      </c>
      <c r="M705" s="40">
        <f>IF(L705-I705&gt;IO!$B$4,Model!L705-Model!I705-IO!$B$4,0)</f>
        <v>0</v>
      </c>
      <c r="N705" s="41">
        <f>IO!$B$5*Model!L705-IO!$B$6*Model!M705</f>
        <v>4080</v>
      </c>
    </row>
    <row r="706" spans="1:14" x14ac:dyDescent="0.35">
      <c r="A706" s="30">
        <v>705</v>
      </c>
      <c r="B706" s="31">
        <v>1</v>
      </c>
      <c r="C706" s="32">
        <f>(IO!$B$4+IO!$B$8)</f>
        <v>102</v>
      </c>
      <c r="D706" s="32">
        <f>IF(B706&gt;IO!$B$8,0,IO!$B$8-Model!B706)</f>
        <v>1</v>
      </c>
      <c r="E706" s="33">
        <f>IO!$B$5*C706-IO!$B$6*D706</f>
        <v>3980</v>
      </c>
      <c r="G706" s="47">
        <v>705</v>
      </c>
      <c r="H706" s="38" t="s">
        <v>9</v>
      </c>
      <c r="I706" s="38">
        <v>1</v>
      </c>
      <c r="J706" s="39">
        <v>0.42521320912325822</v>
      </c>
      <c r="K706" s="40">
        <f>ROUND(NORMINV(J706,IO!$B$10,IO!$B$11),0)</f>
        <v>102</v>
      </c>
      <c r="L706" s="40">
        <f>MIN(K706,IO!$B$4+IO!$B$8)</f>
        <v>102</v>
      </c>
      <c r="M706" s="40">
        <f>IF(L706-I706&gt;IO!$B$4,Model!L706-Model!I706-IO!$B$4,0)</f>
        <v>1</v>
      </c>
      <c r="N706" s="41">
        <f>IO!$B$5*Model!L706-IO!$B$6*Model!M706</f>
        <v>3980</v>
      </c>
    </row>
    <row r="707" spans="1:14" x14ac:dyDescent="0.35">
      <c r="A707" s="30">
        <v>706</v>
      </c>
      <c r="B707" s="31">
        <v>3</v>
      </c>
      <c r="C707" s="32">
        <f>(IO!$B$4+IO!$B$8)</f>
        <v>102</v>
      </c>
      <c r="D707" s="32">
        <f>IF(B707&gt;IO!$B$8,0,IO!$B$8-Model!B707)</f>
        <v>0</v>
      </c>
      <c r="E707" s="33">
        <f>IO!$B$5*C707-IO!$B$6*D707</f>
        <v>4080</v>
      </c>
      <c r="G707" s="47">
        <v>706</v>
      </c>
      <c r="H707" s="38" t="s">
        <v>7</v>
      </c>
      <c r="I707" s="38">
        <v>3</v>
      </c>
      <c r="J707" s="39">
        <v>0.5674952199718033</v>
      </c>
      <c r="K707" s="40">
        <f>ROUND(NORMINV(J707,IO!$B$10,IO!$B$11),0)</f>
        <v>104</v>
      </c>
      <c r="L707" s="40">
        <f>MIN(K707,IO!$B$4+IO!$B$8)</f>
        <v>102</v>
      </c>
      <c r="M707" s="40">
        <f>IF(L707-I707&gt;IO!$B$4,Model!L707-Model!I707-IO!$B$4,0)</f>
        <v>0</v>
      </c>
      <c r="N707" s="41">
        <f>IO!$B$5*Model!L707-IO!$B$6*Model!M707</f>
        <v>4080</v>
      </c>
    </row>
    <row r="708" spans="1:14" x14ac:dyDescent="0.35">
      <c r="A708" s="30">
        <v>707</v>
      </c>
      <c r="B708" s="31">
        <v>2</v>
      </c>
      <c r="C708" s="32">
        <f>(IO!$B$4+IO!$B$8)</f>
        <v>102</v>
      </c>
      <c r="D708" s="32">
        <f>IF(B708&gt;IO!$B$8,0,IO!$B$8-Model!B708)</f>
        <v>0</v>
      </c>
      <c r="E708" s="33">
        <f>IO!$B$5*C708-IO!$B$6*D708</f>
        <v>4080</v>
      </c>
      <c r="G708" s="47">
        <v>707</v>
      </c>
      <c r="H708" s="38" t="s">
        <v>8</v>
      </c>
      <c r="I708" s="38">
        <v>2</v>
      </c>
      <c r="J708" s="39">
        <v>0.74415330637506782</v>
      </c>
      <c r="K708" s="40">
        <f>ROUND(NORMINV(J708,IO!$B$10,IO!$B$11),0)</f>
        <v>106</v>
      </c>
      <c r="L708" s="40">
        <f>MIN(K708,IO!$B$4+IO!$B$8)</f>
        <v>102</v>
      </c>
      <c r="M708" s="40">
        <f>IF(L708-I708&gt;IO!$B$4,Model!L708-Model!I708-IO!$B$4,0)</f>
        <v>0</v>
      </c>
      <c r="N708" s="41">
        <f>IO!$B$5*Model!L708-IO!$B$6*Model!M708</f>
        <v>4080</v>
      </c>
    </row>
    <row r="709" spans="1:14" x14ac:dyDescent="0.35">
      <c r="A709" s="30">
        <v>708</v>
      </c>
      <c r="B709" s="31">
        <v>0</v>
      </c>
      <c r="C709" s="32">
        <f>(IO!$B$4+IO!$B$8)</f>
        <v>102</v>
      </c>
      <c r="D709" s="32">
        <f>IF(B709&gt;IO!$B$8,0,IO!$B$8-Model!B709)</f>
        <v>2</v>
      </c>
      <c r="E709" s="33">
        <f>IO!$B$5*C709-IO!$B$6*D709</f>
        <v>3880</v>
      </c>
      <c r="G709" s="47">
        <v>708</v>
      </c>
      <c r="H709" s="38" t="s">
        <v>9</v>
      </c>
      <c r="I709" s="38">
        <v>0</v>
      </c>
      <c r="J709" s="39">
        <v>0.66628740114533724</v>
      </c>
      <c r="K709" s="40">
        <f>ROUND(NORMINV(J709,IO!$B$10,IO!$B$11),0)</f>
        <v>105</v>
      </c>
      <c r="L709" s="40">
        <f>MIN(K709,IO!$B$4+IO!$B$8)</f>
        <v>102</v>
      </c>
      <c r="M709" s="40">
        <f>IF(L709-I709&gt;IO!$B$4,Model!L709-Model!I709-IO!$B$4,0)</f>
        <v>2</v>
      </c>
      <c r="N709" s="41">
        <f>IO!$B$5*Model!L709-IO!$B$6*Model!M709</f>
        <v>3880</v>
      </c>
    </row>
    <row r="710" spans="1:14" x14ac:dyDescent="0.35">
      <c r="A710" s="30">
        <v>709</v>
      </c>
      <c r="B710" s="31">
        <v>4</v>
      </c>
      <c r="C710" s="32">
        <f>(IO!$B$4+IO!$B$8)</f>
        <v>102</v>
      </c>
      <c r="D710" s="32">
        <f>IF(B710&gt;IO!$B$8,0,IO!$B$8-Model!B710)</f>
        <v>0</v>
      </c>
      <c r="E710" s="33">
        <f>IO!$B$5*C710-IO!$B$6*D710</f>
        <v>4080</v>
      </c>
      <c r="G710" s="47">
        <v>709</v>
      </c>
      <c r="H710" s="38" t="s">
        <v>7</v>
      </c>
      <c r="I710" s="38">
        <v>4</v>
      </c>
      <c r="J710" s="39">
        <v>0.78602474981139614</v>
      </c>
      <c r="K710" s="40">
        <f>ROUND(NORMINV(J710,IO!$B$10,IO!$B$11),0)</f>
        <v>107</v>
      </c>
      <c r="L710" s="40">
        <f>MIN(K710,IO!$B$4+IO!$B$8)</f>
        <v>102</v>
      </c>
      <c r="M710" s="40">
        <f>IF(L710-I710&gt;IO!$B$4,Model!L710-Model!I710-IO!$B$4,0)</f>
        <v>0</v>
      </c>
      <c r="N710" s="41">
        <f>IO!$B$5*Model!L710-IO!$B$6*Model!M710</f>
        <v>4080</v>
      </c>
    </row>
    <row r="711" spans="1:14" x14ac:dyDescent="0.35">
      <c r="A711" s="30">
        <v>710</v>
      </c>
      <c r="B711" s="31">
        <v>4</v>
      </c>
      <c r="C711" s="32">
        <f>(IO!$B$4+IO!$B$8)</f>
        <v>102</v>
      </c>
      <c r="D711" s="32">
        <f>IF(B711&gt;IO!$B$8,0,IO!$B$8-Model!B711)</f>
        <v>0</v>
      </c>
      <c r="E711" s="33">
        <f>IO!$B$5*C711-IO!$B$6*D711</f>
        <v>4080</v>
      </c>
      <c r="G711" s="47">
        <v>710</v>
      </c>
      <c r="H711" s="38" t="s">
        <v>8</v>
      </c>
      <c r="I711" s="38">
        <v>4</v>
      </c>
      <c r="J711" s="39">
        <v>0.72609313207103843</v>
      </c>
      <c r="K711" s="40">
        <f>ROUND(NORMINV(J711,IO!$B$10,IO!$B$11),0)</f>
        <v>106</v>
      </c>
      <c r="L711" s="40">
        <f>MIN(K711,IO!$B$4+IO!$B$8)</f>
        <v>102</v>
      </c>
      <c r="M711" s="40">
        <f>IF(L711-I711&gt;IO!$B$4,Model!L711-Model!I711-IO!$B$4,0)</f>
        <v>0</v>
      </c>
      <c r="N711" s="41">
        <f>IO!$B$5*Model!L711-IO!$B$6*Model!M711</f>
        <v>4080</v>
      </c>
    </row>
    <row r="712" spans="1:14" x14ac:dyDescent="0.35">
      <c r="A712" s="30">
        <v>711</v>
      </c>
      <c r="B712" s="31">
        <v>1</v>
      </c>
      <c r="C712" s="32">
        <f>(IO!$B$4+IO!$B$8)</f>
        <v>102</v>
      </c>
      <c r="D712" s="32">
        <f>IF(B712&gt;IO!$B$8,0,IO!$B$8-Model!B712)</f>
        <v>1</v>
      </c>
      <c r="E712" s="33">
        <f>IO!$B$5*C712-IO!$B$6*D712</f>
        <v>3980</v>
      </c>
      <c r="G712" s="47">
        <v>711</v>
      </c>
      <c r="H712" s="38" t="s">
        <v>9</v>
      </c>
      <c r="I712" s="38">
        <v>1</v>
      </c>
      <c r="J712" s="39">
        <v>0.87191224603697548</v>
      </c>
      <c r="K712" s="40">
        <f>ROUND(NORMINV(J712,IO!$B$10,IO!$B$11),0)</f>
        <v>109</v>
      </c>
      <c r="L712" s="40">
        <f>MIN(K712,IO!$B$4+IO!$B$8)</f>
        <v>102</v>
      </c>
      <c r="M712" s="40">
        <f>IF(L712-I712&gt;IO!$B$4,Model!L712-Model!I712-IO!$B$4,0)</f>
        <v>1</v>
      </c>
      <c r="N712" s="41">
        <f>IO!$B$5*Model!L712-IO!$B$6*Model!M712</f>
        <v>3980</v>
      </c>
    </row>
    <row r="713" spans="1:14" x14ac:dyDescent="0.35">
      <c r="A713" s="30">
        <v>712</v>
      </c>
      <c r="B713" s="31">
        <v>1</v>
      </c>
      <c r="C713" s="32">
        <f>(IO!$B$4+IO!$B$8)</f>
        <v>102</v>
      </c>
      <c r="D713" s="32">
        <f>IF(B713&gt;IO!$B$8,0,IO!$B$8-Model!B713)</f>
        <v>1</v>
      </c>
      <c r="E713" s="33">
        <f>IO!$B$5*C713-IO!$B$6*D713</f>
        <v>3980</v>
      </c>
      <c r="G713" s="47">
        <v>712</v>
      </c>
      <c r="H713" s="38" t="s">
        <v>7</v>
      </c>
      <c r="I713" s="38">
        <v>1</v>
      </c>
      <c r="J713" s="39">
        <v>0.23122750236276934</v>
      </c>
      <c r="K713" s="40">
        <f>ROUND(NORMINV(J713,IO!$B$10,IO!$B$11),0)</f>
        <v>99</v>
      </c>
      <c r="L713" s="40">
        <f>MIN(K713,IO!$B$4+IO!$B$8)</f>
        <v>99</v>
      </c>
      <c r="M713" s="40">
        <f>IF(L713-I713&gt;IO!$B$4,Model!L713-Model!I713-IO!$B$4,0)</f>
        <v>0</v>
      </c>
      <c r="N713" s="41">
        <f>IO!$B$5*Model!L713-IO!$B$6*Model!M713</f>
        <v>3960</v>
      </c>
    </row>
    <row r="714" spans="1:14" x14ac:dyDescent="0.35">
      <c r="A714" s="30">
        <v>713</v>
      </c>
      <c r="B714" s="31">
        <v>0</v>
      </c>
      <c r="C714" s="32">
        <f>(IO!$B$4+IO!$B$8)</f>
        <v>102</v>
      </c>
      <c r="D714" s="32">
        <f>IF(B714&gt;IO!$B$8,0,IO!$B$8-Model!B714)</f>
        <v>2</v>
      </c>
      <c r="E714" s="33">
        <f>IO!$B$5*C714-IO!$B$6*D714</f>
        <v>3880</v>
      </c>
      <c r="G714" s="47">
        <v>713</v>
      </c>
      <c r="H714" s="38" t="s">
        <v>8</v>
      </c>
      <c r="I714" s="38">
        <v>0</v>
      </c>
      <c r="J714" s="39">
        <v>0.36340602249836929</v>
      </c>
      <c r="K714" s="40">
        <f>ROUND(NORMINV(J714,IO!$B$10,IO!$B$11),0)</f>
        <v>101</v>
      </c>
      <c r="L714" s="40">
        <f>MIN(K714,IO!$B$4+IO!$B$8)</f>
        <v>101</v>
      </c>
      <c r="M714" s="40">
        <f>IF(L714-I714&gt;IO!$B$4,Model!L714-Model!I714-IO!$B$4,0)</f>
        <v>1</v>
      </c>
      <c r="N714" s="41">
        <f>IO!$B$5*Model!L714-IO!$B$6*Model!M714</f>
        <v>3940</v>
      </c>
    </row>
    <row r="715" spans="1:14" x14ac:dyDescent="0.35">
      <c r="A715" s="30">
        <v>714</v>
      </c>
      <c r="B715" s="31">
        <v>1</v>
      </c>
      <c r="C715" s="32">
        <f>(IO!$B$4+IO!$B$8)</f>
        <v>102</v>
      </c>
      <c r="D715" s="32">
        <f>IF(B715&gt;IO!$B$8,0,IO!$B$8-Model!B715)</f>
        <v>1</v>
      </c>
      <c r="E715" s="33">
        <f>IO!$B$5*C715-IO!$B$6*D715</f>
        <v>3980</v>
      </c>
      <c r="G715" s="47">
        <v>714</v>
      </c>
      <c r="H715" s="38" t="s">
        <v>9</v>
      </c>
      <c r="I715" s="38">
        <v>1</v>
      </c>
      <c r="J715" s="39">
        <v>0.77372044084598601</v>
      </c>
      <c r="K715" s="40">
        <f>ROUND(NORMINV(J715,IO!$B$10,IO!$B$11),0)</f>
        <v>107</v>
      </c>
      <c r="L715" s="40">
        <f>MIN(K715,IO!$B$4+IO!$B$8)</f>
        <v>102</v>
      </c>
      <c r="M715" s="40">
        <f>IF(L715-I715&gt;IO!$B$4,Model!L715-Model!I715-IO!$B$4,0)</f>
        <v>1</v>
      </c>
      <c r="N715" s="41">
        <f>IO!$B$5*Model!L715-IO!$B$6*Model!M715</f>
        <v>3980</v>
      </c>
    </row>
    <row r="716" spans="1:14" x14ac:dyDescent="0.35">
      <c r="A716" s="30">
        <v>715</v>
      </c>
      <c r="B716" s="31">
        <v>2</v>
      </c>
      <c r="C716" s="32">
        <f>(IO!$B$4+IO!$B$8)</f>
        <v>102</v>
      </c>
      <c r="D716" s="32">
        <f>IF(B716&gt;IO!$B$8,0,IO!$B$8-Model!B716)</f>
        <v>0</v>
      </c>
      <c r="E716" s="33">
        <f>IO!$B$5*C716-IO!$B$6*D716</f>
        <v>4080</v>
      </c>
      <c r="G716" s="47">
        <v>715</v>
      </c>
      <c r="H716" s="38" t="s">
        <v>7</v>
      </c>
      <c r="I716" s="38">
        <v>2</v>
      </c>
      <c r="J716" s="39">
        <v>0.83927618866257658</v>
      </c>
      <c r="K716" s="40">
        <f>ROUND(NORMINV(J716,IO!$B$10,IO!$B$11),0)</f>
        <v>108</v>
      </c>
      <c r="L716" s="40">
        <f>MIN(K716,IO!$B$4+IO!$B$8)</f>
        <v>102</v>
      </c>
      <c r="M716" s="40">
        <f>IF(L716-I716&gt;IO!$B$4,Model!L716-Model!I716-IO!$B$4,0)</f>
        <v>0</v>
      </c>
      <c r="N716" s="41">
        <f>IO!$B$5*Model!L716-IO!$B$6*Model!M716</f>
        <v>4080</v>
      </c>
    </row>
    <row r="717" spans="1:14" x14ac:dyDescent="0.35">
      <c r="A717" s="30">
        <v>716</v>
      </c>
      <c r="B717" s="31">
        <v>1</v>
      </c>
      <c r="C717" s="32">
        <f>(IO!$B$4+IO!$B$8)</f>
        <v>102</v>
      </c>
      <c r="D717" s="32">
        <f>IF(B717&gt;IO!$B$8,0,IO!$B$8-Model!B717)</f>
        <v>1</v>
      </c>
      <c r="E717" s="33">
        <f>IO!$B$5*C717-IO!$B$6*D717</f>
        <v>3980</v>
      </c>
      <c r="G717" s="47">
        <v>716</v>
      </c>
      <c r="H717" s="38" t="s">
        <v>8</v>
      </c>
      <c r="I717" s="38">
        <v>1</v>
      </c>
      <c r="J717" s="39">
        <v>0.66319202179208248</v>
      </c>
      <c r="K717" s="40">
        <f>ROUND(NORMINV(J717,IO!$B$10,IO!$B$11),0)</f>
        <v>105</v>
      </c>
      <c r="L717" s="40">
        <f>MIN(K717,IO!$B$4+IO!$B$8)</f>
        <v>102</v>
      </c>
      <c r="M717" s="40">
        <f>IF(L717-I717&gt;IO!$B$4,Model!L717-Model!I717-IO!$B$4,0)</f>
        <v>1</v>
      </c>
      <c r="N717" s="41">
        <f>IO!$B$5*Model!L717-IO!$B$6*Model!M717</f>
        <v>3980</v>
      </c>
    </row>
    <row r="718" spans="1:14" x14ac:dyDescent="0.35">
      <c r="A718" s="30">
        <v>717</v>
      </c>
      <c r="B718" s="31">
        <v>1</v>
      </c>
      <c r="C718" s="32">
        <f>(IO!$B$4+IO!$B$8)</f>
        <v>102</v>
      </c>
      <c r="D718" s="32">
        <f>IF(B718&gt;IO!$B$8,0,IO!$B$8-Model!B718)</f>
        <v>1</v>
      </c>
      <c r="E718" s="33">
        <f>IO!$B$5*C718-IO!$B$6*D718</f>
        <v>3980</v>
      </c>
      <c r="G718" s="47">
        <v>717</v>
      </c>
      <c r="H718" s="38" t="s">
        <v>9</v>
      </c>
      <c r="I718" s="38">
        <v>1</v>
      </c>
      <c r="J718" s="39">
        <v>0.50483839643699469</v>
      </c>
      <c r="K718" s="40">
        <f>ROUND(NORMINV(J718,IO!$B$10,IO!$B$11),0)</f>
        <v>103</v>
      </c>
      <c r="L718" s="40">
        <f>MIN(K718,IO!$B$4+IO!$B$8)</f>
        <v>102</v>
      </c>
      <c r="M718" s="40">
        <f>IF(L718-I718&gt;IO!$B$4,Model!L718-Model!I718-IO!$B$4,0)</f>
        <v>1</v>
      </c>
      <c r="N718" s="41">
        <f>IO!$B$5*Model!L718-IO!$B$6*Model!M718</f>
        <v>3980</v>
      </c>
    </row>
    <row r="719" spans="1:14" x14ac:dyDescent="0.35">
      <c r="A719" s="30">
        <v>718</v>
      </c>
      <c r="B719" s="31">
        <v>8</v>
      </c>
      <c r="C719" s="32">
        <f>(IO!$B$4+IO!$B$8)</f>
        <v>102</v>
      </c>
      <c r="D719" s="32">
        <f>IF(B719&gt;IO!$B$8,0,IO!$B$8-Model!B719)</f>
        <v>0</v>
      </c>
      <c r="E719" s="33">
        <f>IO!$B$5*C719-IO!$B$6*D719</f>
        <v>4080</v>
      </c>
      <c r="G719" s="47">
        <v>718</v>
      </c>
      <c r="H719" s="38" t="s">
        <v>7</v>
      </c>
      <c r="I719" s="38">
        <v>8</v>
      </c>
      <c r="J719" s="39">
        <v>0.67323627797382335</v>
      </c>
      <c r="K719" s="40">
        <f>ROUND(NORMINV(J719,IO!$B$10,IO!$B$11),0)</f>
        <v>105</v>
      </c>
      <c r="L719" s="40">
        <f>MIN(K719,IO!$B$4+IO!$B$8)</f>
        <v>102</v>
      </c>
      <c r="M719" s="40">
        <f>IF(L719-I719&gt;IO!$B$4,Model!L719-Model!I719-IO!$B$4,0)</f>
        <v>0</v>
      </c>
      <c r="N719" s="41">
        <f>IO!$B$5*Model!L719-IO!$B$6*Model!M719</f>
        <v>4080</v>
      </c>
    </row>
    <row r="720" spans="1:14" x14ac:dyDescent="0.35">
      <c r="A720" s="30">
        <v>719</v>
      </c>
      <c r="B720" s="31">
        <v>3</v>
      </c>
      <c r="C720" s="32">
        <f>(IO!$B$4+IO!$B$8)</f>
        <v>102</v>
      </c>
      <c r="D720" s="32">
        <f>IF(B720&gt;IO!$B$8,0,IO!$B$8-Model!B720)</f>
        <v>0</v>
      </c>
      <c r="E720" s="33">
        <f>IO!$B$5*C720-IO!$B$6*D720</f>
        <v>4080</v>
      </c>
      <c r="G720" s="47">
        <v>719</v>
      </c>
      <c r="H720" s="38" t="s">
        <v>8</v>
      </c>
      <c r="I720" s="38">
        <v>3</v>
      </c>
      <c r="J720" s="39">
        <v>0.82376836784197416</v>
      </c>
      <c r="K720" s="40">
        <f>ROUND(NORMINV(J720,IO!$B$10,IO!$B$11),0)</f>
        <v>108</v>
      </c>
      <c r="L720" s="40">
        <f>MIN(K720,IO!$B$4+IO!$B$8)</f>
        <v>102</v>
      </c>
      <c r="M720" s="40">
        <f>IF(L720-I720&gt;IO!$B$4,Model!L720-Model!I720-IO!$B$4,0)</f>
        <v>0</v>
      </c>
      <c r="N720" s="41">
        <f>IO!$B$5*Model!L720-IO!$B$6*Model!M720</f>
        <v>4080</v>
      </c>
    </row>
    <row r="721" spans="1:14" x14ac:dyDescent="0.35">
      <c r="A721" s="30">
        <v>720</v>
      </c>
      <c r="B721" s="31">
        <v>2</v>
      </c>
      <c r="C721" s="32">
        <f>(IO!$B$4+IO!$B$8)</f>
        <v>102</v>
      </c>
      <c r="D721" s="32">
        <f>IF(B721&gt;IO!$B$8,0,IO!$B$8-Model!B721)</f>
        <v>0</v>
      </c>
      <c r="E721" s="33">
        <f>IO!$B$5*C721-IO!$B$6*D721</f>
        <v>4080</v>
      </c>
      <c r="G721" s="47">
        <v>720</v>
      </c>
      <c r="H721" s="38" t="s">
        <v>9</v>
      </c>
      <c r="I721" s="38">
        <v>2</v>
      </c>
      <c r="J721" s="39">
        <v>0.28035442730962212</v>
      </c>
      <c r="K721" s="40">
        <f>ROUND(NORMINV(J721,IO!$B$10,IO!$B$11),0)</f>
        <v>100</v>
      </c>
      <c r="L721" s="40">
        <f>MIN(K721,IO!$B$4+IO!$B$8)</f>
        <v>100</v>
      </c>
      <c r="M721" s="40">
        <f>IF(L721-I721&gt;IO!$B$4,Model!L721-Model!I721-IO!$B$4,0)</f>
        <v>0</v>
      </c>
      <c r="N721" s="41">
        <f>IO!$B$5*Model!L721-IO!$B$6*Model!M721</f>
        <v>4000</v>
      </c>
    </row>
    <row r="722" spans="1:14" x14ac:dyDescent="0.35">
      <c r="A722" s="30">
        <v>721</v>
      </c>
      <c r="B722" s="31">
        <v>5</v>
      </c>
      <c r="C722" s="32">
        <f>(IO!$B$4+IO!$B$8)</f>
        <v>102</v>
      </c>
      <c r="D722" s="32">
        <f>IF(B722&gt;IO!$B$8,0,IO!$B$8-Model!B722)</f>
        <v>0</v>
      </c>
      <c r="E722" s="33">
        <f>IO!$B$5*C722-IO!$B$6*D722</f>
        <v>4080</v>
      </c>
      <c r="G722" s="47">
        <v>721</v>
      </c>
      <c r="H722" s="38" t="s">
        <v>7</v>
      </c>
      <c r="I722" s="38">
        <v>5</v>
      </c>
      <c r="J722" s="39">
        <v>0.16521158801339475</v>
      </c>
      <c r="K722" s="40">
        <f>ROUND(NORMINV(J722,IO!$B$10,IO!$B$11),0)</f>
        <v>98</v>
      </c>
      <c r="L722" s="40">
        <f>MIN(K722,IO!$B$4+IO!$B$8)</f>
        <v>98</v>
      </c>
      <c r="M722" s="40">
        <f>IF(L722-I722&gt;IO!$B$4,Model!L722-Model!I722-IO!$B$4,0)</f>
        <v>0</v>
      </c>
      <c r="N722" s="41">
        <f>IO!$B$5*Model!L722-IO!$B$6*Model!M722</f>
        <v>3920</v>
      </c>
    </row>
    <row r="723" spans="1:14" x14ac:dyDescent="0.35">
      <c r="A723" s="30">
        <v>722</v>
      </c>
      <c r="B723" s="31">
        <v>4</v>
      </c>
      <c r="C723" s="32">
        <f>(IO!$B$4+IO!$B$8)</f>
        <v>102</v>
      </c>
      <c r="D723" s="32">
        <f>IF(B723&gt;IO!$B$8,0,IO!$B$8-Model!B723)</f>
        <v>0</v>
      </c>
      <c r="E723" s="33">
        <f>IO!$B$5*C723-IO!$B$6*D723</f>
        <v>4080</v>
      </c>
      <c r="G723" s="47">
        <v>722</v>
      </c>
      <c r="H723" s="38" t="s">
        <v>8</v>
      </c>
      <c r="I723" s="38">
        <v>4</v>
      </c>
      <c r="J723" s="39">
        <v>0.54567954702053167</v>
      </c>
      <c r="K723" s="40">
        <f>ROUND(NORMINV(J723,IO!$B$10,IO!$B$11),0)</f>
        <v>104</v>
      </c>
      <c r="L723" s="40">
        <f>MIN(K723,IO!$B$4+IO!$B$8)</f>
        <v>102</v>
      </c>
      <c r="M723" s="40">
        <f>IF(L723-I723&gt;IO!$B$4,Model!L723-Model!I723-IO!$B$4,0)</f>
        <v>0</v>
      </c>
      <c r="N723" s="41">
        <f>IO!$B$5*Model!L723-IO!$B$6*Model!M723</f>
        <v>4080</v>
      </c>
    </row>
    <row r="724" spans="1:14" x14ac:dyDescent="0.35">
      <c r="A724" s="30">
        <v>723</v>
      </c>
      <c r="B724" s="31">
        <v>3</v>
      </c>
      <c r="C724" s="32">
        <f>(IO!$B$4+IO!$B$8)</f>
        <v>102</v>
      </c>
      <c r="D724" s="32">
        <f>IF(B724&gt;IO!$B$8,0,IO!$B$8-Model!B724)</f>
        <v>0</v>
      </c>
      <c r="E724" s="33">
        <f>IO!$B$5*C724-IO!$B$6*D724</f>
        <v>4080</v>
      </c>
      <c r="G724" s="47">
        <v>723</v>
      </c>
      <c r="H724" s="38" t="s">
        <v>9</v>
      </c>
      <c r="I724" s="38">
        <v>3</v>
      </c>
      <c r="J724" s="39">
        <v>0.97674293047055394</v>
      </c>
      <c r="K724" s="40">
        <f>ROUND(NORMINV(J724,IO!$B$10,IO!$B$11),0)</f>
        <v>113</v>
      </c>
      <c r="L724" s="40">
        <f>MIN(K724,IO!$B$4+IO!$B$8)</f>
        <v>102</v>
      </c>
      <c r="M724" s="40">
        <f>IF(L724-I724&gt;IO!$B$4,Model!L724-Model!I724-IO!$B$4,0)</f>
        <v>0</v>
      </c>
      <c r="N724" s="41">
        <f>IO!$B$5*Model!L724-IO!$B$6*Model!M724</f>
        <v>4080</v>
      </c>
    </row>
    <row r="725" spans="1:14" x14ac:dyDescent="0.35">
      <c r="A725" s="30">
        <v>724</v>
      </c>
      <c r="B725" s="31">
        <v>4</v>
      </c>
      <c r="C725" s="32">
        <f>(IO!$B$4+IO!$B$8)</f>
        <v>102</v>
      </c>
      <c r="D725" s="32">
        <f>IF(B725&gt;IO!$B$8,0,IO!$B$8-Model!B725)</f>
        <v>0</v>
      </c>
      <c r="E725" s="33">
        <f>IO!$B$5*C725-IO!$B$6*D725</f>
        <v>4080</v>
      </c>
      <c r="G725" s="47">
        <v>724</v>
      </c>
      <c r="H725" s="38" t="s">
        <v>7</v>
      </c>
      <c r="I725" s="38">
        <v>4</v>
      </c>
      <c r="J725" s="39">
        <v>6.2414938108601103E-2</v>
      </c>
      <c r="K725" s="40">
        <f>ROUND(NORMINV(J725,IO!$B$10,IO!$B$11),0)</f>
        <v>95</v>
      </c>
      <c r="L725" s="40">
        <f>MIN(K725,IO!$B$4+IO!$B$8)</f>
        <v>95</v>
      </c>
      <c r="M725" s="40">
        <f>IF(L725-I725&gt;IO!$B$4,Model!L725-Model!I725-IO!$B$4,0)</f>
        <v>0</v>
      </c>
      <c r="N725" s="41">
        <f>IO!$B$5*Model!L725-IO!$B$6*Model!M725</f>
        <v>3800</v>
      </c>
    </row>
    <row r="726" spans="1:14" x14ac:dyDescent="0.35">
      <c r="A726" s="30">
        <v>725</v>
      </c>
      <c r="B726" s="31">
        <v>3</v>
      </c>
      <c r="C726" s="32">
        <f>(IO!$B$4+IO!$B$8)</f>
        <v>102</v>
      </c>
      <c r="D726" s="32">
        <f>IF(B726&gt;IO!$B$8,0,IO!$B$8-Model!B726)</f>
        <v>0</v>
      </c>
      <c r="E726" s="33">
        <f>IO!$B$5*C726-IO!$B$6*D726</f>
        <v>4080</v>
      </c>
      <c r="G726" s="47">
        <v>725</v>
      </c>
      <c r="H726" s="38" t="s">
        <v>8</v>
      </c>
      <c r="I726" s="38">
        <v>3</v>
      </c>
      <c r="J726" s="39">
        <v>0.9227904465325204</v>
      </c>
      <c r="K726" s="40">
        <f>ROUND(NORMINV(J726,IO!$B$10,IO!$B$11),0)</f>
        <v>110</v>
      </c>
      <c r="L726" s="40">
        <f>MIN(K726,IO!$B$4+IO!$B$8)</f>
        <v>102</v>
      </c>
      <c r="M726" s="40">
        <f>IF(L726-I726&gt;IO!$B$4,Model!L726-Model!I726-IO!$B$4,0)</f>
        <v>0</v>
      </c>
      <c r="N726" s="41">
        <f>IO!$B$5*Model!L726-IO!$B$6*Model!M726</f>
        <v>4080</v>
      </c>
    </row>
    <row r="727" spans="1:14" x14ac:dyDescent="0.35">
      <c r="A727" s="30">
        <v>726</v>
      </c>
      <c r="B727" s="31">
        <v>0</v>
      </c>
      <c r="C727" s="32">
        <f>(IO!$B$4+IO!$B$8)</f>
        <v>102</v>
      </c>
      <c r="D727" s="32">
        <f>IF(B727&gt;IO!$B$8,0,IO!$B$8-Model!B727)</f>
        <v>2</v>
      </c>
      <c r="E727" s="33">
        <f>IO!$B$5*C727-IO!$B$6*D727</f>
        <v>3880</v>
      </c>
      <c r="G727" s="47">
        <v>726</v>
      </c>
      <c r="H727" s="38" t="s">
        <v>9</v>
      </c>
      <c r="I727" s="38">
        <v>0</v>
      </c>
      <c r="J727" s="39">
        <v>0.98544033097065586</v>
      </c>
      <c r="K727" s="40">
        <f>ROUND(NORMINV(J727,IO!$B$10,IO!$B$11),0)</f>
        <v>114</v>
      </c>
      <c r="L727" s="40">
        <f>MIN(K727,IO!$B$4+IO!$B$8)</f>
        <v>102</v>
      </c>
      <c r="M727" s="40">
        <f>IF(L727-I727&gt;IO!$B$4,Model!L727-Model!I727-IO!$B$4,0)</f>
        <v>2</v>
      </c>
      <c r="N727" s="41">
        <f>IO!$B$5*Model!L727-IO!$B$6*Model!M727</f>
        <v>3880</v>
      </c>
    </row>
    <row r="728" spans="1:14" x14ac:dyDescent="0.35">
      <c r="A728" s="30">
        <v>727</v>
      </c>
      <c r="B728" s="31">
        <v>1</v>
      </c>
      <c r="C728" s="32">
        <f>(IO!$B$4+IO!$B$8)</f>
        <v>102</v>
      </c>
      <c r="D728" s="32">
        <f>IF(B728&gt;IO!$B$8,0,IO!$B$8-Model!B728)</f>
        <v>1</v>
      </c>
      <c r="E728" s="33">
        <f>IO!$B$5*C728-IO!$B$6*D728</f>
        <v>3980</v>
      </c>
      <c r="G728" s="47">
        <v>727</v>
      </c>
      <c r="H728" s="38" t="s">
        <v>7</v>
      </c>
      <c r="I728" s="38">
        <v>1</v>
      </c>
      <c r="J728" s="39">
        <v>0.67722207980421067</v>
      </c>
      <c r="K728" s="40">
        <f>ROUND(NORMINV(J728,IO!$B$10,IO!$B$11),0)</f>
        <v>105</v>
      </c>
      <c r="L728" s="40">
        <f>MIN(K728,IO!$B$4+IO!$B$8)</f>
        <v>102</v>
      </c>
      <c r="M728" s="40">
        <f>IF(L728-I728&gt;IO!$B$4,Model!L728-Model!I728-IO!$B$4,0)</f>
        <v>1</v>
      </c>
      <c r="N728" s="41">
        <f>IO!$B$5*Model!L728-IO!$B$6*Model!M728</f>
        <v>3980</v>
      </c>
    </row>
    <row r="729" spans="1:14" x14ac:dyDescent="0.35">
      <c r="A729" s="30">
        <v>728</v>
      </c>
      <c r="B729" s="31">
        <v>1</v>
      </c>
      <c r="C729" s="32">
        <f>(IO!$B$4+IO!$B$8)</f>
        <v>102</v>
      </c>
      <c r="D729" s="32">
        <f>IF(B729&gt;IO!$B$8,0,IO!$B$8-Model!B729)</f>
        <v>1</v>
      </c>
      <c r="E729" s="33">
        <f>IO!$B$5*C729-IO!$B$6*D729</f>
        <v>3980</v>
      </c>
      <c r="G729" s="47">
        <v>728</v>
      </c>
      <c r="H729" s="38" t="s">
        <v>8</v>
      </c>
      <c r="I729" s="38">
        <v>1</v>
      </c>
      <c r="J729" s="39">
        <v>0.3242071696993003</v>
      </c>
      <c r="K729" s="40">
        <f>ROUND(NORMINV(J729,IO!$B$10,IO!$B$11),0)</f>
        <v>101</v>
      </c>
      <c r="L729" s="40">
        <f>MIN(K729,IO!$B$4+IO!$B$8)</f>
        <v>101</v>
      </c>
      <c r="M729" s="40">
        <f>IF(L729-I729&gt;IO!$B$4,Model!L729-Model!I729-IO!$B$4,0)</f>
        <v>0</v>
      </c>
      <c r="N729" s="41">
        <f>IO!$B$5*Model!L729-IO!$B$6*Model!M729</f>
        <v>4040</v>
      </c>
    </row>
    <row r="730" spans="1:14" x14ac:dyDescent="0.35">
      <c r="A730" s="30">
        <v>729</v>
      </c>
      <c r="B730" s="31">
        <v>1</v>
      </c>
      <c r="C730" s="32">
        <f>(IO!$B$4+IO!$B$8)</f>
        <v>102</v>
      </c>
      <c r="D730" s="32">
        <f>IF(B730&gt;IO!$B$8,0,IO!$B$8-Model!B730)</f>
        <v>1</v>
      </c>
      <c r="E730" s="33">
        <f>IO!$B$5*C730-IO!$B$6*D730</f>
        <v>3980</v>
      </c>
      <c r="G730" s="47">
        <v>729</v>
      </c>
      <c r="H730" s="38" t="s">
        <v>9</v>
      </c>
      <c r="I730" s="38">
        <v>1</v>
      </c>
      <c r="J730" s="39">
        <v>0.94445310668027449</v>
      </c>
      <c r="K730" s="40">
        <f>ROUND(NORMINV(J730,IO!$B$10,IO!$B$11),0)</f>
        <v>111</v>
      </c>
      <c r="L730" s="40">
        <f>MIN(K730,IO!$B$4+IO!$B$8)</f>
        <v>102</v>
      </c>
      <c r="M730" s="40">
        <f>IF(L730-I730&gt;IO!$B$4,Model!L730-Model!I730-IO!$B$4,0)</f>
        <v>1</v>
      </c>
      <c r="N730" s="41">
        <f>IO!$B$5*Model!L730-IO!$B$6*Model!M730</f>
        <v>3980</v>
      </c>
    </row>
    <row r="731" spans="1:14" x14ac:dyDescent="0.35">
      <c r="A731" s="30">
        <v>730</v>
      </c>
      <c r="B731" s="31">
        <v>1</v>
      </c>
      <c r="C731" s="32">
        <f>(IO!$B$4+IO!$B$8)</f>
        <v>102</v>
      </c>
      <c r="D731" s="32">
        <f>IF(B731&gt;IO!$B$8,0,IO!$B$8-Model!B731)</f>
        <v>1</v>
      </c>
      <c r="E731" s="33">
        <f>IO!$B$5*C731-IO!$B$6*D731</f>
        <v>3980</v>
      </c>
      <c r="G731" s="47">
        <v>730</v>
      </c>
      <c r="H731" s="38" t="s">
        <v>7</v>
      </c>
      <c r="I731" s="38">
        <v>1</v>
      </c>
      <c r="J731" s="39">
        <v>0.1568224008856659</v>
      </c>
      <c r="K731" s="40">
        <f>ROUND(NORMINV(J731,IO!$B$10,IO!$B$11),0)</f>
        <v>98</v>
      </c>
      <c r="L731" s="40">
        <f>MIN(K731,IO!$B$4+IO!$B$8)</f>
        <v>98</v>
      </c>
      <c r="M731" s="40">
        <f>IF(L731-I731&gt;IO!$B$4,Model!L731-Model!I731-IO!$B$4,0)</f>
        <v>0</v>
      </c>
      <c r="N731" s="41">
        <f>IO!$B$5*Model!L731-IO!$B$6*Model!M731</f>
        <v>3920</v>
      </c>
    </row>
    <row r="732" spans="1:14" x14ac:dyDescent="0.35">
      <c r="A732" s="30">
        <v>731</v>
      </c>
      <c r="B732" s="31">
        <v>0</v>
      </c>
      <c r="C732" s="32">
        <f>(IO!$B$4+IO!$B$8)</f>
        <v>102</v>
      </c>
      <c r="D732" s="32">
        <f>IF(B732&gt;IO!$B$8,0,IO!$B$8-Model!B732)</f>
        <v>2</v>
      </c>
      <c r="E732" s="33">
        <f>IO!$B$5*C732-IO!$B$6*D732</f>
        <v>3880</v>
      </c>
      <c r="G732" s="47">
        <v>731</v>
      </c>
      <c r="H732" s="38" t="s">
        <v>8</v>
      </c>
      <c r="I732" s="38">
        <v>0</v>
      </c>
      <c r="J732" s="39">
        <v>0.44568318386777295</v>
      </c>
      <c r="K732" s="40">
        <f>ROUND(NORMINV(J732,IO!$B$10,IO!$B$11),0)</f>
        <v>102</v>
      </c>
      <c r="L732" s="40">
        <f>MIN(K732,IO!$B$4+IO!$B$8)</f>
        <v>102</v>
      </c>
      <c r="M732" s="40">
        <f>IF(L732-I732&gt;IO!$B$4,Model!L732-Model!I732-IO!$B$4,0)</f>
        <v>2</v>
      </c>
      <c r="N732" s="41">
        <f>IO!$B$5*Model!L732-IO!$B$6*Model!M732</f>
        <v>3880</v>
      </c>
    </row>
    <row r="733" spans="1:14" x14ac:dyDescent="0.35">
      <c r="A733" s="30">
        <v>732</v>
      </c>
      <c r="B733" s="31">
        <v>1</v>
      </c>
      <c r="C733" s="32">
        <f>(IO!$B$4+IO!$B$8)</f>
        <v>102</v>
      </c>
      <c r="D733" s="32">
        <f>IF(B733&gt;IO!$B$8,0,IO!$B$8-Model!B733)</f>
        <v>1</v>
      </c>
      <c r="E733" s="33">
        <f>IO!$B$5*C733-IO!$B$6*D733</f>
        <v>3980</v>
      </c>
      <c r="G733" s="47">
        <v>732</v>
      </c>
      <c r="H733" s="38" t="s">
        <v>9</v>
      </c>
      <c r="I733" s="38">
        <v>1</v>
      </c>
      <c r="J733" s="39">
        <v>0.16714885340139463</v>
      </c>
      <c r="K733" s="40">
        <f>ROUND(NORMINV(J733,IO!$B$10,IO!$B$11),0)</f>
        <v>98</v>
      </c>
      <c r="L733" s="40">
        <f>MIN(K733,IO!$B$4+IO!$B$8)</f>
        <v>98</v>
      </c>
      <c r="M733" s="40">
        <f>IF(L733-I733&gt;IO!$B$4,Model!L733-Model!I733-IO!$B$4,0)</f>
        <v>0</v>
      </c>
      <c r="N733" s="41">
        <f>IO!$B$5*Model!L733-IO!$B$6*Model!M733</f>
        <v>3920</v>
      </c>
    </row>
    <row r="734" spans="1:14" x14ac:dyDescent="0.35">
      <c r="A734" s="30">
        <v>733</v>
      </c>
      <c r="B734" s="31">
        <v>1</v>
      </c>
      <c r="C734" s="32">
        <f>(IO!$B$4+IO!$B$8)</f>
        <v>102</v>
      </c>
      <c r="D734" s="32">
        <f>IF(B734&gt;IO!$B$8,0,IO!$B$8-Model!B734)</f>
        <v>1</v>
      </c>
      <c r="E734" s="33">
        <f>IO!$B$5*C734-IO!$B$6*D734</f>
        <v>3980</v>
      </c>
      <c r="G734" s="47">
        <v>733</v>
      </c>
      <c r="H734" s="38" t="s">
        <v>7</v>
      </c>
      <c r="I734" s="38">
        <v>1</v>
      </c>
      <c r="J734" s="39">
        <v>0.42883416620122394</v>
      </c>
      <c r="K734" s="40">
        <f>ROUND(NORMINV(J734,IO!$B$10,IO!$B$11),0)</f>
        <v>102</v>
      </c>
      <c r="L734" s="40">
        <f>MIN(K734,IO!$B$4+IO!$B$8)</f>
        <v>102</v>
      </c>
      <c r="M734" s="40">
        <f>IF(L734-I734&gt;IO!$B$4,Model!L734-Model!I734-IO!$B$4,0)</f>
        <v>1</v>
      </c>
      <c r="N734" s="41">
        <f>IO!$B$5*Model!L734-IO!$B$6*Model!M734</f>
        <v>3980</v>
      </c>
    </row>
    <row r="735" spans="1:14" x14ac:dyDescent="0.35">
      <c r="A735" s="30">
        <v>734</v>
      </c>
      <c r="B735" s="31">
        <v>2</v>
      </c>
      <c r="C735" s="32">
        <f>(IO!$B$4+IO!$B$8)</f>
        <v>102</v>
      </c>
      <c r="D735" s="32">
        <f>IF(B735&gt;IO!$B$8,0,IO!$B$8-Model!B735)</f>
        <v>0</v>
      </c>
      <c r="E735" s="33">
        <f>IO!$B$5*C735-IO!$B$6*D735</f>
        <v>4080</v>
      </c>
      <c r="G735" s="47">
        <v>734</v>
      </c>
      <c r="H735" s="38" t="s">
        <v>8</v>
      </c>
      <c r="I735" s="38">
        <v>2</v>
      </c>
      <c r="J735" s="39">
        <v>0.72943942051945154</v>
      </c>
      <c r="K735" s="40">
        <f>ROUND(NORMINV(J735,IO!$B$10,IO!$B$11),0)</f>
        <v>106</v>
      </c>
      <c r="L735" s="40">
        <f>MIN(K735,IO!$B$4+IO!$B$8)</f>
        <v>102</v>
      </c>
      <c r="M735" s="40">
        <f>IF(L735-I735&gt;IO!$B$4,Model!L735-Model!I735-IO!$B$4,0)</f>
        <v>0</v>
      </c>
      <c r="N735" s="41">
        <f>IO!$B$5*Model!L735-IO!$B$6*Model!M735</f>
        <v>4080</v>
      </c>
    </row>
    <row r="736" spans="1:14" x14ac:dyDescent="0.35">
      <c r="A736" s="30">
        <v>735</v>
      </c>
      <c r="B736" s="31">
        <v>1</v>
      </c>
      <c r="C736" s="32">
        <f>(IO!$B$4+IO!$B$8)</f>
        <v>102</v>
      </c>
      <c r="D736" s="32">
        <f>IF(B736&gt;IO!$B$8,0,IO!$B$8-Model!B736)</f>
        <v>1</v>
      </c>
      <c r="E736" s="33">
        <f>IO!$B$5*C736-IO!$B$6*D736</f>
        <v>3980</v>
      </c>
      <c r="G736" s="47">
        <v>735</v>
      </c>
      <c r="H736" s="38" t="s">
        <v>9</v>
      </c>
      <c r="I736" s="38">
        <v>1</v>
      </c>
      <c r="J736" s="39">
        <v>0.12747188446485658</v>
      </c>
      <c r="K736" s="40">
        <f>ROUND(NORMINV(J736,IO!$B$10,IO!$B$11),0)</f>
        <v>97</v>
      </c>
      <c r="L736" s="40">
        <f>MIN(K736,IO!$B$4+IO!$B$8)</f>
        <v>97</v>
      </c>
      <c r="M736" s="40">
        <f>IF(L736-I736&gt;IO!$B$4,Model!L736-Model!I736-IO!$B$4,0)</f>
        <v>0</v>
      </c>
      <c r="N736" s="41">
        <f>IO!$B$5*Model!L736-IO!$B$6*Model!M736</f>
        <v>3880</v>
      </c>
    </row>
    <row r="737" spans="1:14" x14ac:dyDescent="0.35">
      <c r="A737" s="30">
        <v>736</v>
      </c>
      <c r="B737" s="31">
        <v>3</v>
      </c>
      <c r="C737" s="32">
        <f>(IO!$B$4+IO!$B$8)</f>
        <v>102</v>
      </c>
      <c r="D737" s="32">
        <f>IF(B737&gt;IO!$B$8,0,IO!$B$8-Model!B737)</f>
        <v>0</v>
      </c>
      <c r="E737" s="33">
        <f>IO!$B$5*C737-IO!$B$6*D737</f>
        <v>4080</v>
      </c>
      <c r="G737" s="47">
        <v>736</v>
      </c>
      <c r="H737" s="38" t="s">
        <v>7</v>
      </c>
      <c r="I737" s="38">
        <v>3</v>
      </c>
      <c r="J737" s="39">
        <v>0.20432925786282707</v>
      </c>
      <c r="K737" s="40">
        <f>ROUND(NORMINV(J737,IO!$B$10,IO!$B$11),0)</f>
        <v>99</v>
      </c>
      <c r="L737" s="40">
        <f>MIN(K737,IO!$B$4+IO!$B$8)</f>
        <v>99</v>
      </c>
      <c r="M737" s="40">
        <f>IF(L737-I737&gt;IO!$B$4,Model!L737-Model!I737-IO!$B$4,0)</f>
        <v>0</v>
      </c>
      <c r="N737" s="41">
        <f>IO!$B$5*Model!L737-IO!$B$6*Model!M737</f>
        <v>3960</v>
      </c>
    </row>
    <row r="738" spans="1:14" x14ac:dyDescent="0.35">
      <c r="A738" s="30">
        <v>737</v>
      </c>
      <c r="B738" s="31">
        <v>3</v>
      </c>
      <c r="C738" s="32">
        <f>(IO!$B$4+IO!$B$8)</f>
        <v>102</v>
      </c>
      <c r="D738" s="32">
        <f>IF(B738&gt;IO!$B$8,0,IO!$B$8-Model!B738)</f>
        <v>0</v>
      </c>
      <c r="E738" s="33">
        <f>IO!$B$5*C738-IO!$B$6*D738</f>
        <v>4080</v>
      </c>
      <c r="G738" s="47">
        <v>737</v>
      </c>
      <c r="H738" s="38" t="s">
        <v>8</v>
      </c>
      <c r="I738" s="38">
        <v>3</v>
      </c>
      <c r="J738" s="39">
        <v>0.10389199942619343</v>
      </c>
      <c r="K738" s="40">
        <f>ROUND(NORMINV(J738,IO!$B$10,IO!$B$11),0)</f>
        <v>97</v>
      </c>
      <c r="L738" s="40">
        <f>MIN(K738,IO!$B$4+IO!$B$8)</f>
        <v>97</v>
      </c>
      <c r="M738" s="40">
        <f>IF(L738-I738&gt;IO!$B$4,Model!L738-Model!I738-IO!$B$4,0)</f>
        <v>0</v>
      </c>
      <c r="N738" s="41">
        <f>IO!$B$5*Model!L738-IO!$B$6*Model!M738</f>
        <v>3880</v>
      </c>
    </row>
    <row r="739" spans="1:14" x14ac:dyDescent="0.35">
      <c r="A739" s="30">
        <v>738</v>
      </c>
      <c r="B739" s="31">
        <v>1</v>
      </c>
      <c r="C739" s="32">
        <f>(IO!$B$4+IO!$B$8)</f>
        <v>102</v>
      </c>
      <c r="D739" s="32">
        <f>IF(B739&gt;IO!$B$8,0,IO!$B$8-Model!B739)</f>
        <v>1</v>
      </c>
      <c r="E739" s="33">
        <f>IO!$B$5*C739-IO!$B$6*D739</f>
        <v>3980</v>
      </c>
      <c r="G739" s="47">
        <v>738</v>
      </c>
      <c r="H739" s="38" t="s">
        <v>9</v>
      </c>
      <c r="I739" s="38">
        <v>1</v>
      </c>
      <c r="J739" s="39">
        <v>9.8978125881872492E-2</v>
      </c>
      <c r="K739" s="40">
        <f>ROUND(NORMINV(J739,IO!$B$10,IO!$B$11),0)</f>
        <v>97</v>
      </c>
      <c r="L739" s="40">
        <f>MIN(K739,IO!$B$4+IO!$B$8)</f>
        <v>97</v>
      </c>
      <c r="M739" s="40">
        <f>IF(L739-I739&gt;IO!$B$4,Model!L739-Model!I739-IO!$B$4,0)</f>
        <v>0</v>
      </c>
      <c r="N739" s="41">
        <f>IO!$B$5*Model!L739-IO!$B$6*Model!M739</f>
        <v>3880</v>
      </c>
    </row>
    <row r="740" spans="1:14" x14ac:dyDescent="0.35">
      <c r="A740" s="30">
        <v>739</v>
      </c>
      <c r="B740" s="31">
        <v>7</v>
      </c>
      <c r="C740" s="32">
        <f>(IO!$B$4+IO!$B$8)</f>
        <v>102</v>
      </c>
      <c r="D740" s="32">
        <f>IF(B740&gt;IO!$B$8,0,IO!$B$8-Model!B740)</f>
        <v>0</v>
      </c>
      <c r="E740" s="33">
        <f>IO!$B$5*C740-IO!$B$6*D740</f>
        <v>4080</v>
      </c>
      <c r="G740" s="47">
        <v>739</v>
      </c>
      <c r="H740" s="38" t="s">
        <v>7</v>
      </c>
      <c r="I740" s="38">
        <v>7</v>
      </c>
      <c r="J740" s="39">
        <v>0.12531036318669464</v>
      </c>
      <c r="K740" s="40">
        <f>ROUND(NORMINV(J740,IO!$B$10,IO!$B$11),0)</f>
        <v>97</v>
      </c>
      <c r="L740" s="40">
        <f>MIN(K740,IO!$B$4+IO!$B$8)</f>
        <v>97</v>
      </c>
      <c r="M740" s="40">
        <f>IF(L740-I740&gt;IO!$B$4,Model!L740-Model!I740-IO!$B$4,0)</f>
        <v>0</v>
      </c>
      <c r="N740" s="41">
        <f>IO!$B$5*Model!L740-IO!$B$6*Model!M740</f>
        <v>3880</v>
      </c>
    </row>
    <row r="741" spans="1:14" x14ac:dyDescent="0.35">
      <c r="A741" s="30">
        <v>740</v>
      </c>
      <c r="B741" s="31">
        <v>4</v>
      </c>
      <c r="C741" s="32">
        <f>(IO!$B$4+IO!$B$8)</f>
        <v>102</v>
      </c>
      <c r="D741" s="32">
        <f>IF(B741&gt;IO!$B$8,0,IO!$B$8-Model!B741)</f>
        <v>0</v>
      </c>
      <c r="E741" s="33">
        <f>IO!$B$5*C741-IO!$B$6*D741</f>
        <v>4080</v>
      </c>
      <c r="G741" s="47">
        <v>740</v>
      </c>
      <c r="H741" s="38" t="s">
        <v>8</v>
      </c>
      <c r="I741" s="38">
        <v>4</v>
      </c>
      <c r="J741" s="39">
        <v>0.47399007390387726</v>
      </c>
      <c r="K741" s="40">
        <f>ROUND(NORMINV(J741,IO!$B$10,IO!$B$11),0)</f>
        <v>103</v>
      </c>
      <c r="L741" s="40">
        <f>MIN(K741,IO!$B$4+IO!$B$8)</f>
        <v>102</v>
      </c>
      <c r="M741" s="40">
        <f>IF(L741-I741&gt;IO!$B$4,Model!L741-Model!I741-IO!$B$4,0)</f>
        <v>0</v>
      </c>
      <c r="N741" s="41">
        <f>IO!$B$5*Model!L741-IO!$B$6*Model!M741</f>
        <v>4080</v>
      </c>
    </row>
    <row r="742" spans="1:14" x14ac:dyDescent="0.35">
      <c r="A742" s="30">
        <v>741</v>
      </c>
      <c r="B742" s="31">
        <v>0</v>
      </c>
      <c r="C742" s="32">
        <f>(IO!$B$4+IO!$B$8)</f>
        <v>102</v>
      </c>
      <c r="D742" s="32">
        <f>IF(B742&gt;IO!$B$8,0,IO!$B$8-Model!B742)</f>
        <v>2</v>
      </c>
      <c r="E742" s="33">
        <f>IO!$B$5*C742-IO!$B$6*D742</f>
        <v>3880</v>
      </c>
      <c r="G742" s="47">
        <v>741</v>
      </c>
      <c r="H742" s="38" t="s">
        <v>9</v>
      </c>
      <c r="I742" s="38">
        <v>0</v>
      </c>
      <c r="J742" s="39">
        <v>0.79076238874843785</v>
      </c>
      <c r="K742" s="40">
        <f>ROUND(NORMINV(J742,IO!$B$10,IO!$B$11),0)</f>
        <v>107</v>
      </c>
      <c r="L742" s="40">
        <f>MIN(K742,IO!$B$4+IO!$B$8)</f>
        <v>102</v>
      </c>
      <c r="M742" s="40">
        <f>IF(L742-I742&gt;IO!$B$4,Model!L742-Model!I742-IO!$B$4,0)</f>
        <v>2</v>
      </c>
      <c r="N742" s="41">
        <f>IO!$B$5*Model!L742-IO!$B$6*Model!M742</f>
        <v>3880</v>
      </c>
    </row>
    <row r="743" spans="1:14" x14ac:dyDescent="0.35">
      <c r="A743" s="30">
        <v>742</v>
      </c>
      <c r="B743" s="31">
        <v>3</v>
      </c>
      <c r="C743" s="32">
        <f>(IO!$B$4+IO!$B$8)</f>
        <v>102</v>
      </c>
      <c r="D743" s="32">
        <f>IF(B743&gt;IO!$B$8,0,IO!$B$8-Model!B743)</f>
        <v>0</v>
      </c>
      <c r="E743" s="33">
        <f>IO!$B$5*C743-IO!$B$6*D743</f>
        <v>4080</v>
      </c>
      <c r="G743" s="47">
        <v>742</v>
      </c>
      <c r="H743" s="38" t="s">
        <v>7</v>
      </c>
      <c r="I743" s="38">
        <v>3</v>
      </c>
      <c r="J743" s="39">
        <v>0.9672810459425768</v>
      </c>
      <c r="K743" s="40">
        <f>ROUND(NORMINV(J743,IO!$B$10,IO!$B$11),0)</f>
        <v>112</v>
      </c>
      <c r="L743" s="40">
        <f>MIN(K743,IO!$B$4+IO!$B$8)</f>
        <v>102</v>
      </c>
      <c r="M743" s="40">
        <f>IF(L743-I743&gt;IO!$B$4,Model!L743-Model!I743-IO!$B$4,0)</f>
        <v>0</v>
      </c>
      <c r="N743" s="41">
        <f>IO!$B$5*Model!L743-IO!$B$6*Model!M743</f>
        <v>4080</v>
      </c>
    </row>
    <row r="744" spans="1:14" x14ac:dyDescent="0.35">
      <c r="A744" s="30">
        <v>743</v>
      </c>
      <c r="B744" s="31">
        <v>4</v>
      </c>
      <c r="C744" s="32">
        <f>(IO!$B$4+IO!$B$8)</f>
        <v>102</v>
      </c>
      <c r="D744" s="32">
        <f>IF(B744&gt;IO!$B$8,0,IO!$B$8-Model!B744)</f>
        <v>0</v>
      </c>
      <c r="E744" s="33">
        <f>IO!$B$5*C744-IO!$B$6*D744</f>
        <v>4080</v>
      </c>
      <c r="G744" s="47">
        <v>743</v>
      </c>
      <c r="H744" s="38" t="s">
        <v>8</v>
      </c>
      <c r="I744" s="38">
        <v>4</v>
      </c>
      <c r="J744" s="39">
        <v>0.91590240777439713</v>
      </c>
      <c r="K744" s="40">
        <f>ROUND(NORMINV(J744,IO!$B$10,IO!$B$11),0)</f>
        <v>110</v>
      </c>
      <c r="L744" s="40">
        <f>MIN(K744,IO!$B$4+IO!$B$8)</f>
        <v>102</v>
      </c>
      <c r="M744" s="40">
        <f>IF(L744-I744&gt;IO!$B$4,Model!L744-Model!I744-IO!$B$4,0)</f>
        <v>0</v>
      </c>
      <c r="N744" s="41">
        <f>IO!$B$5*Model!L744-IO!$B$6*Model!M744</f>
        <v>4080</v>
      </c>
    </row>
    <row r="745" spans="1:14" x14ac:dyDescent="0.35">
      <c r="A745" s="30">
        <v>744</v>
      </c>
      <c r="B745" s="31">
        <v>1</v>
      </c>
      <c r="C745" s="32">
        <f>(IO!$B$4+IO!$B$8)</f>
        <v>102</v>
      </c>
      <c r="D745" s="32">
        <f>IF(B745&gt;IO!$B$8,0,IO!$B$8-Model!B745)</f>
        <v>1</v>
      </c>
      <c r="E745" s="33">
        <f>IO!$B$5*C745-IO!$B$6*D745</f>
        <v>3980</v>
      </c>
      <c r="G745" s="47">
        <v>744</v>
      </c>
      <c r="H745" s="38" t="s">
        <v>9</v>
      </c>
      <c r="I745" s="38">
        <v>1</v>
      </c>
      <c r="J745" s="39">
        <v>0.95931715359862268</v>
      </c>
      <c r="K745" s="40">
        <f>ROUND(NORMINV(J745,IO!$B$10,IO!$B$11),0)</f>
        <v>112</v>
      </c>
      <c r="L745" s="40">
        <f>MIN(K745,IO!$B$4+IO!$B$8)</f>
        <v>102</v>
      </c>
      <c r="M745" s="40">
        <f>IF(L745-I745&gt;IO!$B$4,Model!L745-Model!I745-IO!$B$4,0)</f>
        <v>1</v>
      </c>
      <c r="N745" s="41">
        <f>IO!$B$5*Model!L745-IO!$B$6*Model!M745</f>
        <v>3980</v>
      </c>
    </row>
    <row r="746" spans="1:14" x14ac:dyDescent="0.35">
      <c r="A746" s="30">
        <v>745</v>
      </c>
      <c r="B746" s="31">
        <v>6</v>
      </c>
      <c r="C746" s="32">
        <f>(IO!$B$4+IO!$B$8)</f>
        <v>102</v>
      </c>
      <c r="D746" s="32">
        <f>IF(B746&gt;IO!$B$8,0,IO!$B$8-Model!B746)</f>
        <v>0</v>
      </c>
      <c r="E746" s="33">
        <f>IO!$B$5*C746-IO!$B$6*D746</f>
        <v>4080</v>
      </c>
      <c r="G746" s="47">
        <v>745</v>
      </c>
      <c r="H746" s="38" t="s">
        <v>7</v>
      </c>
      <c r="I746" s="38">
        <v>6</v>
      </c>
      <c r="J746" s="39">
        <v>0.19099781536794813</v>
      </c>
      <c r="K746" s="40">
        <f>ROUND(NORMINV(J746,IO!$B$10,IO!$B$11),0)</f>
        <v>99</v>
      </c>
      <c r="L746" s="40">
        <f>MIN(K746,IO!$B$4+IO!$B$8)</f>
        <v>99</v>
      </c>
      <c r="M746" s="40">
        <f>IF(L746-I746&gt;IO!$B$4,Model!L746-Model!I746-IO!$B$4,0)</f>
        <v>0</v>
      </c>
      <c r="N746" s="41">
        <f>IO!$B$5*Model!L746-IO!$B$6*Model!M746</f>
        <v>3960</v>
      </c>
    </row>
    <row r="747" spans="1:14" x14ac:dyDescent="0.35">
      <c r="A747" s="30">
        <v>746</v>
      </c>
      <c r="B747" s="31">
        <v>1</v>
      </c>
      <c r="C747" s="32">
        <f>(IO!$B$4+IO!$B$8)</f>
        <v>102</v>
      </c>
      <c r="D747" s="32">
        <f>IF(B747&gt;IO!$B$8,0,IO!$B$8-Model!B747)</f>
        <v>1</v>
      </c>
      <c r="E747" s="33">
        <f>IO!$B$5*C747-IO!$B$6*D747</f>
        <v>3980</v>
      </c>
      <c r="G747" s="47">
        <v>746</v>
      </c>
      <c r="H747" s="38" t="s">
        <v>8</v>
      </c>
      <c r="I747" s="38">
        <v>1</v>
      </c>
      <c r="J747" s="39">
        <v>0.38980809757464685</v>
      </c>
      <c r="K747" s="40">
        <f>ROUND(NORMINV(J747,IO!$B$10,IO!$B$11),0)</f>
        <v>102</v>
      </c>
      <c r="L747" s="40">
        <f>MIN(K747,IO!$B$4+IO!$B$8)</f>
        <v>102</v>
      </c>
      <c r="M747" s="40">
        <f>IF(L747-I747&gt;IO!$B$4,Model!L747-Model!I747-IO!$B$4,0)</f>
        <v>1</v>
      </c>
      <c r="N747" s="41">
        <f>IO!$B$5*Model!L747-IO!$B$6*Model!M747</f>
        <v>3980</v>
      </c>
    </row>
    <row r="748" spans="1:14" x14ac:dyDescent="0.35">
      <c r="A748" s="30">
        <v>747</v>
      </c>
      <c r="B748" s="31">
        <v>3</v>
      </c>
      <c r="C748" s="32">
        <f>(IO!$B$4+IO!$B$8)</f>
        <v>102</v>
      </c>
      <c r="D748" s="32">
        <f>IF(B748&gt;IO!$B$8,0,IO!$B$8-Model!B748)</f>
        <v>0</v>
      </c>
      <c r="E748" s="33">
        <f>IO!$B$5*C748-IO!$B$6*D748</f>
        <v>4080</v>
      </c>
      <c r="G748" s="47">
        <v>747</v>
      </c>
      <c r="H748" s="38" t="s">
        <v>9</v>
      </c>
      <c r="I748" s="38">
        <v>3</v>
      </c>
      <c r="J748" s="39">
        <v>0.40793152395045895</v>
      </c>
      <c r="K748" s="40">
        <f>ROUND(NORMINV(J748,IO!$B$10,IO!$B$11),0)</f>
        <v>102</v>
      </c>
      <c r="L748" s="40">
        <f>MIN(K748,IO!$B$4+IO!$B$8)</f>
        <v>102</v>
      </c>
      <c r="M748" s="40">
        <f>IF(L748-I748&gt;IO!$B$4,Model!L748-Model!I748-IO!$B$4,0)</f>
        <v>0</v>
      </c>
      <c r="N748" s="41">
        <f>IO!$B$5*Model!L748-IO!$B$6*Model!M748</f>
        <v>4080</v>
      </c>
    </row>
    <row r="749" spans="1:14" x14ac:dyDescent="0.35">
      <c r="A749" s="30">
        <v>748</v>
      </c>
      <c r="B749" s="31">
        <v>2</v>
      </c>
      <c r="C749" s="32">
        <f>(IO!$B$4+IO!$B$8)</f>
        <v>102</v>
      </c>
      <c r="D749" s="32">
        <f>IF(B749&gt;IO!$B$8,0,IO!$B$8-Model!B749)</f>
        <v>0</v>
      </c>
      <c r="E749" s="33">
        <f>IO!$B$5*C749-IO!$B$6*D749</f>
        <v>4080</v>
      </c>
      <c r="G749" s="47">
        <v>748</v>
      </c>
      <c r="H749" s="38" t="s">
        <v>7</v>
      </c>
      <c r="I749" s="38">
        <v>2</v>
      </c>
      <c r="J749" s="39">
        <v>0.61085432958342334</v>
      </c>
      <c r="K749" s="40">
        <f>ROUND(NORMINV(J749,IO!$B$10,IO!$B$11),0)</f>
        <v>104</v>
      </c>
      <c r="L749" s="40">
        <f>MIN(K749,IO!$B$4+IO!$B$8)</f>
        <v>102</v>
      </c>
      <c r="M749" s="40">
        <f>IF(L749-I749&gt;IO!$B$4,Model!L749-Model!I749-IO!$B$4,0)</f>
        <v>0</v>
      </c>
      <c r="N749" s="41">
        <f>IO!$B$5*Model!L749-IO!$B$6*Model!M749</f>
        <v>4080</v>
      </c>
    </row>
    <row r="750" spans="1:14" x14ac:dyDescent="0.35">
      <c r="A750" s="30">
        <v>749</v>
      </c>
      <c r="B750" s="31">
        <v>1</v>
      </c>
      <c r="C750" s="32">
        <f>(IO!$B$4+IO!$B$8)</f>
        <v>102</v>
      </c>
      <c r="D750" s="32">
        <f>IF(B750&gt;IO!$B$8,0,IO!$B$8-Model!B750)</f>
        <v>1</v>
      </c>
      <c r="E750" s="33">
        <f>IO!$B$5*C750-IO!$B$6*D750</f>
        <v>3980</v>
      </c>
      <c r="G750" s="47">
        <v>749</v>
      </c>
      <c r="H750" s="38" t="s">
        <v>8</v>
      </c>
      <c r="I750" s="38">
        <v>1</v>
      </c>
      <c r="J750" s="39">
        <v>0.29368368248640986</v>
      </c>
      <c r="K750" s="40">
        <f>ROUND(NORMINV(J750,IO!$B$10,IO!$B$11),0)</f>
        <v>100</v>
      </c>
      <c r="L750" s="40">
        <f>MIN(K750,IO!$B$4+IO!$B$8)</f>
        <v>100</v>
      </c>
      <c r="M750" s="40">
        <f>IF(L750-I750&gt;IO!$B$4,Model!L750-Model!I750-IO!$B$4,0)</f>
        <v>0</v>
      </c>
      <c r="N750" s="41">
        <f>IO!$B$5*Model!L750-IO!$B$6*Model!M750</f>
        <v>4000</v>
      </c>
    </row>
    <row r="751" spans="1:14" x14ac:dyDescent="0.35">
      <c r="A751" s="30">
        <v>750</v>
      </c>
      <c r="B751" s="31">
        <v>0</v>
      </c>
      <c r="C751" s="32">
        <f>(IO!$B$4+IO!$B$8)</f>
        <v>102</v>
      </c>
      <c r="D751" s="32">
        <f>IF(B751&gt;IO!$B$8,0,IO!$B$8-Model!B751)</f>
        <v>2</v>
      </c>
      <c r="E751" s="33">
        <f>IO!$B$5*C751-IO!$B$6*D751</f>
        <v>3880</v>
      </c>
      <c r="G751" s="47">
        <v>750</v>
      </c>
      <c r="H751" s="38" t="s">
        <v>9</v>
      </c>
      <c r="I751" s="38">
        <v>0</v>
      </c>
      <c r="J751" s="39">
        <v>0.49314086337535568</v>
      </c>
      <c r="K751" s="40">
        <f>ROUND(NORMINV(J751,IO!$B$10,IO!$B$11),0)</f>
        <v>103</v>
      </c>
      <c r="L751" s="40">
        <f>MIN(K751,IO!$B$4+IO!$B$8)</f>
        <v>102</v>
      </c>
      <c r="M751" s="40">
        <f>IF(L751-I751&gt;IO!$B$4,Model!L751-Model!I751-IO!$B$4,0)</f>
        <v>2</v>
      </c>
      <c r="N751" s="41">
        <f>IO!$B$5*Model!L751-IO!$B$6*Model!M751</f>
        <v>3880</v>
      </c>
    </row>
    <row r="752" spans="1:14" x14ac:dyDescent="0.35">
      <c r="A752" s="30">
        <v>751</v>
      </c>
      <c r="B752" s="31">
        <v>3</v>
      </c>
      <c r="C752" s="32">
        <f>(IO!$B$4+IO!$B$8)</f>
        <v>102</v>
      </c>
      <c r="D752" s="32">
        <f>IF(B752&gt;IO!$B$8,0,IO!$B$8-Model!B752)</f>
        <v>0</v>
      </c>
      <c r="E752" s="33">
        <f>IO!$B$5*C752-IO!$B$6*D752</f>
        <v>4080</v>
      </c>
      <c r="G752" s="47">
        <v>751</v>
      </c>
      <c r="H752" s="38" t="s">
        <v>7</v>
      </c>
      <c r="I752" s="38">
        <v>3</v>
      </c>
      <c r="J752" s="39">
        <v>0.55428810652789029</v>
      </c>
      <c r="K752" s="40">
        <f>ROUND(NORMINV(J752,IO!$B$10,IO!$B$11),0)</f>
        <v>104</v>
      </c>
      <c r="L752" s="40">
        <f>MIN(K752,IO!$B$4+IO!$B$8)</f>
        <v>102</v>
      </c>
      <c r="M752" s="40">
        <f>IF(L752-I752&gt;IO!$B$4,Model!L752-Model!I752-IO!$B$4,0)</f>
        <v>0</v>
      </c>
      <c r="N752" s="41">
        <f>IO!$B$5*Model!L752-IO!$B$6*Model!M752</f>
        <v>4080</v>
      </c>
    </row>
    <row r="753" spans="1:14" x14ac:dyDescent="0.35">
      <c r="A753" s="30">
        <v>752</v>
      </c>
      <c r="B753" s="31">
        <v>0</v>
      </c>
      <c r="C753" s="32">
        <f>(IO!$B$4+IO!$B$8)</f>
        <v>102</v>
      </c>
      <c r="D753" s="32">
        <f>IF(B753&gt;IO!$B$8,0,IO!$B$8-Model!B753)</f>
        <v>2</v>
      </c>
      <c r="E753" s="33">
        <f>IO!$B$5*C753-IO!$B$6*D753</f>
        <v>3880</v>
      </c>
      <c r="G753" s="47">
        <v>752</v>
      </c>
      <c r="H753" s="38" t="s">
        <v>8</v>
      </c>
      <c r="I753" s="38">
        <v>0</v>
      </c>
      <c r="J753" s="39">
        <v>0.94884447548945894</v>
      </c>
      <c r="K753" s="40">
        <f>ROUND(NORMINV(J753,IO!$B$10,IO!$B$11),0)</f>
        <v>111</v>
      </c>
      <c r="L753" s="40">
        <f>MIN(K753,IO!$B$4+IO!$B$8)</f>
        <v>102</v>
      </c>
      <c r="M753" s="40">
        <f>IF(L753-I753&gt;IO!$B$4,Model!L753-Model!I753-IO!$B$4,0)</f>
        <v>2</v>
      </c>
      <c r="N753" s="41">
        <f>IO!$B$5*Model!L753-IO!$B$6*Model!M753</f>
        <v>3880</v>
      </c>
    </row>
    <row r="754" spans="1:14" x14ac:dyDescent="0.35">
      <c r="A754" s="30">
        <v>753</v>
      </c>
      <c r="B754" s="31">
        <v>0</v>
      </c>
      <c r="C754" s="32">
        <f>(IO!$B$4+IO!$B$8)</f>
        <v>102</v>
      </c>
      <c r="D754" s="32">
        <f>IF(B754&gt;IO!$B$8,0,IO!$B$8-Model!B754)</f>
        <v>2</v>
      </c>
      <c r="E754" s="33">
        <f>IO!$B$5*C754-IO!$B$6*D754</f>
        <v>3880</v>
      </c>
      <c r="G754" s="47">
        <v>753</v>
      </c>
      <c r="H754" s="38" t="s">
        <v>9</v>
      </c>
      <c r="I754" s="38">
        <v>0</v>
      </c>
      <c r="J754" s="39">
        <v>0.55924258591220222</v>
      </c>
      <c r="K754" s="40">
        <f>ROUND(NORMINV(J754,IO!$B$10,IO!$B$11),0)</f>
        <v>104</v>
      </c>
      <c r="L754" s="40">
        <f>MIN(K754,IO!$B$4+IO!$B$8)</f>
        <v>102</v>
      </c>
      <c r="M754" s="40">
        <f>IF(L754-I754&gt;IO!$B$4,Model!L754-Model!I754-IO!$B$4,0)</f>
        <v>2</v>
      </c>
      <c r="N754" s="41">
        <f>IO!$B$5*Model!L754-IO!$B$6*Model!M754</f>
        <v>3880</v>
      </c>
    </row>
    <row r="755" spans="1:14" x14ac:dyDescent="0.35">
      <c r="A755" s="30">
        <v>754</v>
      </c>
      <c r="B755" s="31">
        <v>2</v>
      </c>
      <c r="C755" s="32">
        <f>(IO!$B$4+IO!$B$8)</f>
        <v>102</v>
      </c>
      <c r="D755" s="32">
        <f>IF(B755&gt;IO!$B$8,0,IO!$B$8-Model!B755)</f>
        <v>0</v>
      </c>
      <c r="E755" s="33">
        <f>IO!$B$5*C755-IO!$B$6*D755</f>
        <v>4080</v>
      </c>
      <c r="G755" s="47">
        <v>754</v>
      </c>
      <c r="H755" s="38" t="s">
        <v>7</v>
      </c>
      <c r="I755" s="38">
        <v>2</v>
      </c>
      <c r="J755" s="39">
        <v>0.42750567661029981</v>
      </c>
      <c r="K755" s="40">
        <f>ROUND(NORMINV(J755,IO!$B$10,IO!$B$11),0)</f>
        <v>102</v>
      </c>
      <c r="L755" s="40">
        <f>MIN(K755,IO!$B$4+IO!$B$8)</f>
        <v>102</v>
      </c>
      <c r="M755" s="40">
        <f>IF(L755-I755&gt;IO!$B$4,Model!L755-Model!I755-IO!$B$4,0)</f>
        <v>0</v>
      </c>
      <c r="N755" s="41">
        <f>IO!$B$5*Model!L755-IO!$B$6*Model!M755</f>
        <v>4080</v>
      </c>
    </row>
    <row r="756" spans="1:14" x14ac:dyDescent="0.35">
      <c r="A756" s="30">
        <v>755</v>
      </c>
      <c r="B756" s="31">
        <v>3</v>
      </c>
      <c r="C756" s="32">
        <f>(IO!$B$4+IO!$B$8)</f>
        <v>102</v>
      </c>
      <c r="D756" s="32">
        <f>IF(B756&gt;IO!$B$8,0,IO!$B$8-Model!B756)</f>
        <v>0</v>
      </c>
      <c r="E756" s="33">
        <f>IO!$B$5*C756-IO!$B$6*D756</f>
        <v>4080</v>
      </c>
      <c r="G756" s="47">
        <v>755</v>
      </c>
      <c r="H756" s="38" t="s">
        <v>8</v>
      </c>
      <c r="I756" s="38">
        <v>3</v>
      </c>
      <c r="J756" s="39">
        <v>0.69984057618505835</v>
      </c>
      <c r="K756" s="40">
        <f>ROUND(NORMINV(J756,IO!$B$10,IO!$B$11),0)</f>
        <v>106</v>
      </c>
      <c r="L756" s="40">
        <f>MIN(K756,IO!$B$4+IO!$B$8)</f>
        <v>102</v>
      </c>
      <c r="M756" s="40">
        <f>IF(L756-I756&gt;IO!$B$4,Model!L756-Model!I756-IO!$B$4,0)</f>
        <v>0</v>
      </c>
      <c r="N756" s="41">
        <f>IO!$B$5*Model!L756-IO!$B$6*Model!M756</f>
        <v>4080</v>
      </c>
    </row>
    <row r="757" spans="1:14" x14ac:dyDescent="0.35">
      <c r="A757" s="30">
        <v>756</v>
      </c>
      <c r="B757" s="31">
        <v>0</v>
      </c>
      <c r="C757" s="32">
        <f>(IO!$B$4+IO!$B$8)</f>
        <v>102</v>
      </c>
      <c r="D757" s="32">
        <f>IF(B757&gt;IO!$B$8,0,IO!$B$8-Model!B757)</f>
        <v>2</v>
      </c>
      <c r="E757" s="33">
        <f>IO!$B$5*C757-IO!$B$6*D757</f>
        <v>3880</v>
      </c>
      <c r="G757" s="47">
        <v>756</v>
      </c>
      <c r="H757" s="38" t="s">
        <v>9</v>
      </c>
      <c r="I757" s="38">
        <v>0</v>
      </c>
      <c r="J757" s="39">
        <v>0.28998858028619179</v>
      </c>
      <c r="K757" s="40">
        <f>ROUND(NORMINV(J757,IO!$B$10,IO!$B$11),0)</f>
        <v>100</v>
      </c>
      <c r="L757" s="40">
        <f>MIN(K757,IO!$B$4+IO!$B$8)</f>
        <v>100</v>
      </c>
      <c r="M757" s="40">
        <f>IF(L757-I757&gt;IO!$B$4,Model!L757-Model!I757-IO!$B$4,0)</f>
        <v>0</v>
      </c>
      <c r="N757" s="41">
        <f>IO!$B$5*Model!L757-IO!$B$6*Model!M757</f>
        <v>4000</v>
      </c>
    </row>
    <row r="758" spans="1:14" x14ac:dyDescent="0.35">
      <c r="A758" s="30">
        <v>757</v>
      </c>
      <c r="B758" s="31">
        <v>8</v>
      </c>
      <c r="C758" s="32">
        <f>(IO!$B$4+IO!$B$8)</f>
        <v>102</v>
      </c>
      <c r="D758" s="32">
        <f>IF(B758&gt;IO!$B$8,0,IO!$B$8-Model!B758)</f>
        <v>0</v>
      </c>
      <c r="E758" s="33">
        <f>IO!$B$5*C758-IO!$B$6*D758</f>
        <v>4080</v>
      </c>
      <c r="G758" s="47">
        <v>757</v>
      </c>
      <c r="H758" s="38" t="s">
        <v>7</v>
      </c>
      <c r="I758" s="38">
        <v>8</v>
      </c>
      <c r="J758" s="39">
        <v>0.91309212992358701</v>
      </c>
      <c r="K758" s="40">
        <f>ROUND(NORMINV(J758,IO!$B$10,IO!$B$11),0)</f>
        <v>110</v>
      </c>
      <c r="L758" s="40">
        <f>MIN(K758,IO!$B$4+IO!$B$8)</f>
        <v>102</v>
      </c>
      <c r="M758" s="40">
        <f>IF(L758-I758&gt;IO!$B$4,Model!L758-Model!I758-IO!$B$4,0)</f>
        <v>0</v>
      </c>
      <c r="N758" s="41">
        <f>IO!$B$5*Model!L758-IO!$B$6*Model!M758</f>
        <v>4080</v>
      </c>
    </row>
    <row r="759" spans="1:14" x14ac:dyDescent="0.35">
      <c r="A759" s="30">
        <v>758</v>
      </c>
      <c r="B759" s="31">
        <v>3</v>
      </c>
      <c r="C759" s="32">
        <f>(IO!$B$4+IO!$B$8)</f>
        <v>102</v>
      </c>
      <c r="D759" s="32">
        <f>IF(B759&gt;IO!$B$8,0,IO!$B$8-Model!B759)</f>
        <v>0</v>
      </c>
      <c r="E759" s="33">
        <f>IO!$B$5*C759-IO!$B$6*D759</f>
        <v>4080</v>
      </c>
      <c r="G759" s="47">
        <v>758</v>
      </c>
      <c r="H759" s="38" t="s">
        <v>8</v>
      </c>
      <c r="I759" s="38">
        <v>3</v>
      </c>
      <c r="J759" s="39">
        <v>0.92581933747077716</v>
      </c>
      <c r="K759" s="40">
        <f>ROUND(NORMINV(J759,IO!$B$10,IO!$B$11),0)</f>
        <v>110</v>
      </c>
      <c r="L759" s="40">
        <f>MIN(K759,IO!$B$4+IO!$B$8)</f>
        <v>102</v>
      </c>
      <c r="M759" s="40">
        <f>IF(L759-I759&gt;IO!$B$4,Model!L759-Model!I759-IO!$B$4,0)</f>
        <v>0</v>
      </c>
      <c r="N759" s="41">
        <f>IO!$B$5*Model!L759-IO!$B$6*Model!M759</f>
        <v>4080</v>
      </c>
    </row>
    <row r="760" spans="1:14" x14ac:dyDescent="0.35">
      <c r="A760" s="30">
        <v>759</v>
      </c>
      <c r="B760" s="31">
        <v>0</v>
      </c>
      <c r="C760" s="32">
        <f>(IO!$B$4+IO!$B$8)</f>
        <v>102</v>
      </c>
      <c r="D760" s="32">
        <f>IF(B760&gt;IO!$B$8,0,IO!$B$8-Model!B760)</f>
        <v>2</v>
      </c>
      <c r="E760" s="33">
        <f>IO!$B$5*C760-IO!$B$6*D760</f>
        <v>3880</v>
      </c>
      <c r="G760" s="47">
        <v>759</v>
      </c>
      <c r="H760" s="38" t="s">
        <v>9</v>
      </c>
      <c r="I760" s="38">
        <v>0</v>
      </c>
      <c r="J760" s="39">
        <v>0.25608955678333367</v>
      </c>
      <c r="K760" s="40">
        <f>ROUND(NORMINV(J760,IO!$B$10,IO!$B$11),0)</f>
        <v>100</v>
      </c>
      <c r="L760" s="40">
        <f>MIN(K760,IO!$B$4+IO!$B$8)</f>
        <v>100</v>
      </c>
      <c r="M760" s="40">
        <f>IF(L760-I760&gt;IO!$B$4,Model!L760-Model!I760-IO!$B$4,0)</f>
        <v>0</v>
      </c>
      <c r="N760" s="41">
        <f>IO!$B$5*Model!L760-IO!$B$6*Model!M760</f>
        <v>4000</v>
      </c>
    </row>
    <row r="761" spans="1:14" x14ac:dyDescent="0.35">
      <c r="A761" s="30">
        <v>760</v>
      </c>
      <c r="B761" s="31">
        <v>2</v>
      </c>
      <c r="C761" s="32">
        <f>(IO!$B$4+IO!$B$8)</f>
        <v>102</v>
      </c>
      <c r="D761" s="32">
        <f>IF(B761&gt;IO!$B$8,0,IO!$B$8-Model!B761)</f>
        <v>0</v>
      </c>
      <c r="E761" s="33">
        <f>IO!$B$5*C761-IO!$B$6*D761</f>
        <v>4080</v>
      </c>
      <c r="G761" s="47">
        <v>760</v>
      </c>
      <c r="H761" s="38" t="s">
        <v>7</v>
      </c>
      <c r="I761" s="38">
        <v>2</v>
      </c>
      <c r="J761" s="39">
        <v>0.37715574585250822</v>
      </c>
      <c r="K761" s="40">
        <f>ROUND(NORMINV(J761,IO!$B$10,IO!$B$11),0)</f>
        <v>101</v>
      </c>
      <c r="L761" s="40">
        <f>MIN(K761,IO!$B$4+IO!$B$8)</f>
        <v>101</v>
      </c>
      <c r="M761" s="40">
        <f>IF(L761-I761&gt;IO!$B$4,Model!L761-Model!I761-IO!$B$4,0)</f>
        <v>0</v>
      </c>
      <c r="N761" s="41">
        <f>IO!$B$5*Model!L761-IO!$B$6*Model!M761</f>
        <v>4040</v>
      </c>
    </row>
    <row r="762" spans="1:14" x14ac:dyDescent="0.35">
      <c r="A762" s="30">
        <v>761</v>
      </c>
      <c r="B762" s="31">
        <v>4</v>
      </c>
      <c r="C762" s="32">
        <f>(IO!$B$4+IO!$B$8)</f>
        <v>102</v>
      </c>
      <c r="D762" s="32">
        <f>IF(B762&gt;IO!$B$8,0,IO!$B$8-Model!B762)</f>
        <v>0</v>
      </c>
      <c r="E762" s="33">
        <f>IO!$B$5*C762-IO!$B$6*D762</f>
        <v>4080</v>
      </c>
      <c r="G762" s="47">
        <v>761</v>
      </c>
      <c r="H762" s="38" t="s">
        <v>8</v>
      </c>
      <c r="I762" s="38">
        <v>4</v>
      </c>
      <c r="J762" s="39">
        <v>0.22898539302534171</v>
      </c>
      <c r="K762" s="40">
        <f>ROUND(NORMINV(J762,IO!$B$10,IO!$B$11),0)</f>
        <v>99</v>
      </c>
      <c r="L762" s="40">
        <f>MIN(K762,IO!$B$4+IO!$B$8)</f>
        <v>99</v>
      </c>
      <c r="M762" s="40">
        <f>IF(L762-I762&gt;IO!$B$4,Model!L762-Model!I762-IO!$B$4,0)</f>
        <v>0</v>
      </c>
      <c r="N762" s="41">
        <f>IO!$B$5*Model!L762-IO!$B$6*Model!M762</f>
        <v>3960</v>
      </c>
    </row>
    <row r="763" spans="1:14" x14ac:dyDescent="0.35">
      <c r="A763" s="30">
        <v>762</v>
      </c>
      <c r="B763" s="31">
        <v>3</v>
      </c>
      <c r="C763" s="32">
        <f>(IO!$B$4+IO!$B$8)</f>
        <v>102</v>
      </c>
      <c r="D763" s="32">
        <f>IF(B763&gt;IO!$B$8,0,IO!$B$8-Model!B763)</f>
        <v>0</v>
      </c>
      <c r="E763" s="33">
        <f>IO!$B$5*C763-IO!$B$6*D763</f>
        <v>4080</v>
      </c>
      <c r="G763" s="47">
        <v>762</v>
      </c>
      <c r="H763" s="38" t="s">
        <v>9</v>
      </c>
      <c r="I763" s="38">
        <v>3</v>
      </c>
      <c r="J763" s="39">
        <v>0.52630493671610767</v>
      </c>
      <c r="K763" s="40">
        <f>ROUND(NORMINV(J763,IO!$B$10,IO!$B$11),0)</f>
        <v>103</v>
      </c>
      <c r="L763" s="40">
        <f>MIN(K763,IO!$B$4+IO!$B$8)</f>
        <v>102</v>
      </c>
      <c r="M763" s="40">
        <f>IF(L763-I763&gt;IO!$B$4,Model!L763-Model!I763-IO!$B$4,0)</f>
        <v>0</v>
      </c>
      <c r="N763" s="41">
        <f>IO!$B$5*Model!L763-IO!$B$6*Model!M763</f>
        <v>4080</v>
      </c>
    </row>
    <row r="764" spans="1:14" x14ac:dyDescent="0.35">
      <c r="A764" s="30">
        <v>763</v>
      </c>
      <c r="B764" s="31">
        <v>3</v>
      </c>
      <c r="C764" s="32">
        <f>(IO!$B$4+IO!$B$8)</f>
        <v>102</v>
      </c>
      <c r="D764" s="32">
        <f>IF(B764&gt;IO!$B$8,0,IO!$B$8-Model!B764)</f>
        <v>0</v>
      </c>
      <c r="E764" s="33">
        <f>IO!$B$5*C764-IO!$B$6*D764</f>
        <v>4080</v>
      </c>
      <c r="G764" s="47">
        <v>763</v>
      </c>
      <c r="H764" s="38" t="s">
        <v>7</v>
      </c>
      <c r="I764" s="38">
        <v>3</v>
      </c>
      <c r="J764" s="39">
        <v>0.78503945691052202</v>
      </c>
      <c r="K764" s="40">
        <f>ROUND(NORMINV(J764,IO!$B$10,IO!$B$11),0)</f>
        <v>107</v>
      </c>
      <c r="L764" s="40">
        <f>MIN(K764,IO!$B$4+IO!$B$8)</f>
        <v>102</v>
      </c>
      <c r="M764" s="40">
        <f>IF(L764-I764&gt;IO!$B$4,Model!L764-Model!I764-IO!$B$4,0)</f>
        <v>0</v>
      </c>
      <c r="N764" s="41">
        <f>IO!$B$5*Model!L764-IO!$B$6*Model!M764</f>
        <v>4080</v>
      </c>
    </row>
    <row r="765" spans="1:14" x14ac:dyDescent="0.35">
      <c r="A765" s="30">
        <v>764</v>
      </c>
      <c r="B765" s="31">
        <v>1</v>
      </c>
      <c r="C765" s="32">
        <f>(IO!$B$4+IO!$B$8)</f>
        <v>102</v>
      </c>
      <c r="D765" s="32">
        <f>IF(B765&gt;IO!$B$8,0,IO!$B$8-Model!B765)</f>
        <v>1</v>
      </c>
      <c r="E765" s="33">
        <f>IO!$B$5*C765-IO!$B$6*D765</f>
        <v>3980</v>
      </c>
      <c r="G765" s="47">
        <v>764</v>
      </c>
      <c r="H765" s="38" t="s">
        <v>8</v>
      </c>
      <c r="I765" s="38">
        <v>1</v>
      </c>
      <c r="J765" s="39">
        <v>0.28750529276707493</v>
      </c>
      <c r="K765" s="40">
        <f>ROUND(NORMINV(J765,IO!$B$10,IO!$B$11),0)</f>
        <v>100</v>
      </c>
      <c r="L765" s="40">
        <f>MIN(K765,IO!$B$4+IO!$B$8)</f>
        <v>100</v>
      </c>
      <c r="M765" s="40">
        <f>IF(L765-I765&gt;IO!$B$4,Model!L765-Model!I765-IO!$B$4,0)</f>
        <v>0</v>
      </c>
      <c r="N765" s="41">
        <f>IO!$B$5*Model!L765-IO!$B$6*Model!M765</f>
        <v>4000</v>
      </c>
    </row>
    <row r="766" spans="1:14" x14ac:dyDescent="0.35">
      <c r="A766" s="30">
        <v>765</v>
      </c>
      <c r="B766" s="31">
        <v>3</v>
      </c>
      <c r="C766" s="32">
        <f>(IO!$B$4+IO!$B$8)</f>
        <v>102</v>
      </c>
      <c r="D766" s="32">
        <f>IF(B766&gt;IO!$B$8,0,IO!$B$8-Model!B766)</f>
        <v>0</v>
      </c>
      <c r="E766" s="33">
        <f>IO!$B$5*C766-IO!$B$6*D766</f>
        <v>4080</v>
      </c>
      <c r="G766" s="47">
        <v>765</v>
      </c>
      <c r="H766" s="38" t="s">
        <v>9</v>
      </c>
      <c r="I766" s="38">
        <v>3</v>
      </c>
      <c r="J766" s="39">
        <v>0.5529617892371369</v>
      </c>
      <c r="K766" s="40">
        <f>ROUND(NORMINV(J766,IO!$B$10,IO!$B$11),0)</f>
        <v>104</v>
      </c>
      <c r="L766" s="40">
        <f>MIN(K766,IO!$B$4+IO!$B$8)</f>
        <v>102</v>
      </c>
      <c r="M766" s="40">
        <f>IF(L766-I766&gt;IO!$B$4,Model!L766-Model!I766-IO!$B$4,0)</f>
        <v>0</v>
      </c>
      <c r="N766" s="41">
        <f>IO!$B$5*Model!L766-IO!$B$6*Model!M766</f>
        <v>4080</v>
      </c>
    </row>
    <row r="767" spans="1:14" x14ac:dyDescent="0.35">
      <c r="A767" s="30">
        <v>766</v>
      </c>
      <c r="B767" s="31">
        <v>1</v>
      </c>
      <c r="C767" s="32">
        <f>(IO!$B$4+IO!$B$8)</f>
        <v>102</v>
      </c>
      <c r="D767" s="32">
        <f>IF(B767&gt;IO!$B$8,0,IO!$B$8-Model!B767)</f>
        <v>1</v>
      </c>
      <c r="E767" s="33">
        <f>IO!$B$5*C767-IO!$B$6*D767</f>
        <v>3980</v>
      </c>
      <c r="G767" s="47">
        <v>766</v>
      </c>
      <c r="H767" s="38" t="s">
        <v>7</v>
      </c>
      <c r="I767" s="38">
        <v>1</v>
      </c>
      <c r="J767" s="39">
        <v>0.30380680954930994</v>
      </c>
      <c r="K767" s="40">
        <f>ROUND(NORMINV(J767,IO!$B$10,IO!$B$11),0)</f>
        <v>100</v>
      </c>
      <c r="L767" s="40">
        <f>MIN(K767,IO!$B$4+IO!$B$8)</f>
        <v>100</v>
      </c>
      <c r="M767" s="40">
        <f>IF(L767-I767&gt;IO!$B$4,Model!L767-Model!I767-IO!$B$4,0)</f>
        <v>0</v>
      </c>
      <c r="N767" s="41">
        <f>IO!$B$5*Model!L767-IO!$B$6*Model!M767</f>
        <v>4000</v>
      </c>
    </row>
    <row r="768" spans="1:14" x14ac:dyDescent="0.35">
      <c r="A768" s="30">
        <v>767</v>
      </c>
      <c r="B768" s="31">
        <v>4</v>
      </c>
      <c r="C768" s="32">
        <f>(IO!$B$4+IO!$B$8)</f>
        <v>102</v>
      </c>
      <c r="D768" s="32">
        <f>IF(B768&gt;IO!$B$8,0,IO!$B$8-Model!B768)</f>
        <v>0</v>
      </c>
      <c r="E768" s="33">
        <f>IO!$B$5*C768-IO!$B$6*D768</f>
        <v>4080</v>
      </c>
      <c r="G768" s="47">
        <v>767</v>
      </c>
      <c r="H768" s="38" t="s">
        <v>8</v>
      </c>
      <c r="I768" s="38">
        <v>4</v>
      </c>
      <c r="J768" s="39">
        <v>0.40295729137125236</v>
      </c>
      <c r="K768" s="40">
        <f>ROUND(NORMINV(J768,IO!$B$10,IO!$B$11),0)</f>
        <v>102</v>
      </c>
      <c r="L768" s="40">
        <f>MIN(K768,IO!$B$4+IO!$B$8)</f>
        <v>102</v>
      </c>
      <c r="M768" s="40">
        <f>IF(L768-I768&gt;IO!$B$4,Model!L768-Model!I768-IO!$B$4,0)</f>
        <v>0</v>
      </c>
      <c r="N768" s="41">
        <f>IO!$B$5*Model!L768-IO!$B$6*Model!M768</f>
        <v>4080</v>
      </c>
    </row>
    <row r="769" spans="1:14" x14ac:dyDescent="0.35">
      <c r="A769" s="30">
        <v>768</v>
      </c>
      <c r="B769" s="31">
        <v>1</v>
      </c>
      <c r="C769" s="32">
        <f>(IO!$B$4+IO!$B$8)</f>
        <v>102</v>
      </c>
      <c r="D769" s="32">
        <f>IF(B769&gt;IO!$B$8,0,IO!$B$8-Model!B769)</f>
        <v>1</v>
      </c>
      <c r="E769" s="33">
        <f>IO!$B$5*C769-IO!$B$6*D769</f>
        <v>3980</v>
      </c>
      <c r="G769" s="47">
        <v>768</v>
      </c>
      <c r="H769" s="38" t="s">
        <v>9</v>
      </c>
      <c r="I769" s="38">
        <v>1</v>
      </c>
      <c r="J769" s="39">
        <v>0.65546223650788249</v>
      </c>
      <c r="K769" s="40">
        <f>ROUND(NORMINV(J769,IO!$B$10,IO!$B$11),0)</f>
        <v>105</v>
      </c>
      <c r="L769" s="40">
        <f>MIN(K769,IO!$B$4+IO!$B$8)</f>
        <v>102</v>
      </c>
      <c r="M769" s="40">
        <f>IF(L769-I769&gt;IO!$B$4,Model!L769-Model!I769-IO!$B$4,0)</f>
        <v>1</v>
      </c>
      <c r="N769" s="41">
        <f>IO!$B$5*Model!L769-IO!$B$6*Model!M769</f>
        <v>3980</v>
      </c>
    </row>
    <row r="770" spans="1:14" x14ac:dyDescent="0.35">
      <c r="A770" s="30">
        <v>769</v>
      </c>
      <c r="B770" s="31">
        <v>4</v>
      </c>
      <c r="C770" s="32">
        <f>(IO!$B$4+IO!$B$8)</f>
        <v>102</v>
      </c>
      <c r="D770" s="32">
        <f>IF(B770&gt;IO!$B$8,0,IO!$B$8-Model!B770)</f>
        <v>0</v>
      </c>
      <c r="E770" s="33">
        <f>IO!$B$5*C770-IO!$B$6*D770</f>
        <v>4080</v>
      </c>
      <c r="G770" s="47">
        <v>769</v>
      </c>
      <c r="H770" s="38" t="s">
        <v>7</v>
      </c>
      <c r="I770" s="38">
        <v>4</v>
      </c>
      <c r="J770" s="39">
        <v>0.1783532106167619</v>
      </c>
      <c r="K770" s="40">
        <f>ROUND(NORMINV(J770,IO!$B$10,IO!$B$11),0)</f>
        <v>98</v>
      </c>
      <c r="L770" s="40">
        <f>MIN(K770,IO!$B$4+IO!$B$8)</f>
        <v>98</v>
      </c>
      <c r="M770" s="40">
        <f>IF(L770-I770&gt;IO!$B$4,Model!L770-Model!I770-IO!$B$4,0)</f>
        <v>0</v>
      </c>
      <c r="N770" s="41">
        <f>IO!$B$5*Model!L770-IO!$B$6*Model!M770</f>
        <v>3920</v>
      </c>
    </row>
    <row r="771" spans="1:14" x14ac:dyDescent="0.35">
      <c r="A771" s="30">
        <v>770</v>
      </c>
      <c r="B771" s="31">
        <v>1</v>
      </c>
      <c r="C771" s="32">
        <f>(IO!$B$4+IO!$B$8)</f>
        <v>102</v>
      </c>
      <c r="D771" s="32">
        <f>IF(B771&gt;IO!$B$8,0,IO!$B$8-Model!B771)</f>
        <v>1</v>
      </c>
      <c r="E771" s="33">
        <f>IO!$B$5*C771-IO!$B$6*D771</f>
        <v>3980</v>
      </c>
      <c r="G771" s="47">
        <v>770</v>
      </c>
      <c r="H771" s="38" t="s">
        <v>8</v>
      </c>
      <c r="I771" s="38">
        <v>1</v>
      </c>
      <c r="J771" s="39">
        <v>0.30531772855444617</v>
      </c>
      <c r="K771" s="40">
        <f>ROUND(NORMINV(J771,IO!$B$10,IO!$B$11),0)</f>
        <v>100</v>
      </c>
      <c r="L771" s="40">
        <f>MIN(K771,IO!$B$4+IO!$B$8)</f>
        <v>100</v>
      </c>
      <c r="M771" s="40">
        <f>IF(L771-I771&gt;IO!$B$4,Model!L771-Model!I771-IO!$B$4,0)</f>
        <v>0</v>
      </c>
      <c r="N771" s="41">
        <f>IO!$B$5*Model!L771-IO!$B$6*Model!M771</f>
        <v>4000</v>
      </c>
    </row>
    <row r="772" spans="1:14" x14ac:dyDescent="0.35">
      <c r="A772" s="30">
        <v>771</v>
      </c>
      <c r="B772" s="31">
        <v>1</v>
      </c>
      <c r="C772" s="32">
        <f>(IO!$B$4+IO!$B$8)</f>
        <v>102</v>
      </c>
      <c r="D772" s="32">
        <f>IF(B772&gt;IO!$B$8,0,IO!$B$8-Model!B772)</f>
        <v>1</v>
      </c>
      <c r="E772" s="33">
        <f>IO!$B$5*C772-IO!$B$6*D772</f>
        <v>3980</v>
      </c>
      <c r="G772" s="47">
        <v>771</v>
      </c>
      <c r="H772" s="38" t="s">
        <v>9</v>
      </c>
      <c r="I772" s="38">
        <v>1</v>
      </c>
      <c r="J772" s="39">
        <v>0.28955200432841843</v>
      </c>
      <c r="K772" s="40">
        <f>ROUND(NORMINV(J772,IO!$B$10,IO!$B$11),0)</f>
        <v>100</v>
      </c>
      <c r="L772" s="40">
        <f>MIN(K772,IO!$B$4+IO!$B$8)</f>
        <v>100</v>
      </c>
      <c r="M772" s="40">
        <f>IF(L772-I772&gt;IO!$B$4,Model!L772-Model!I772-IO!$B$4,0)</f>
        <v>0</v>
      </c>
      <c r="N772" s="41">
        <f>IO!$B$5*Model!L772-IO!$B$6*Model!M772</f>
        <v>4000</v>
      </c>
    </row>
    <row r="773" spans="1:14" x14ac:dyDescent="0.35">
      <c r="A773" s="30">
        <v>772</v>
      </c>
      <c r="B773" s="31">
        <v>3</v>
      </c>
      <c r="C773" s="32">
        <f>(IO!$B$4+IO!$B$8)</f>
        <v>102</v>
      </c>
      <c r="D773" s="32">
        <f>IF(B773&gt;IO!$B$8,0,IO!$B$8-Model!B773)</f>
        <v>0</v>
      </c>
      <c r="E773" s="33">
        <f>IO!$B$5*C773-IO!$B$6*D773</f>
        <v>4080</v>
      </c>
      <c r="G773" s="47">
        <v>772</v>
      </c>
      <c r="H773" s="38" t="s">
        <v>7</v>
      </c>
      <c r="I773" s="38">
        <v>3</v>
      </c>
      <c r="J773" s="39">
        <v>0.74049332774109089</v>
      </c>
      <c r="K773" s="40">
        <f>ROUND(NORMINV(J773,IO!$B$10,IO!$B$11),0)</f>
        <v>106</v>
      </c>
      <c r="L773" s="40">
        <f>MIN(K773,IO!$B$4+IO!$B$8)</f>
        <v>102</v>
      </c>
      <c r="M773" s="40">
        <f>IF(L773-I773&gt;IO!$B$4,Model!L773-Model!I773-IO!$B$4,0)</f>
        <v>0</v>
      </c>
      <c r="N773" s="41">
        <f>IO!$B$5*Model!L773-IO!$B$6*Model!M773</f>
        <v>4080</v>
      </c>
    </row>
    <row r="774" spans="1:14" x14ac:dyDescent="0.35">
      <c r="A774" s="30">
        <v>773</v>
      </c>
      <c r="B774" s="31">
        <v>5</v>
      </c>
      <c r="C774" s="32">
        <f>(IO!$B$4+IO!$B$8)</f>
        <v>102</v>
      </c>
      <c r="D774" s="32">
        <f>IF(B774&gt;IO!$B$8,0,IO!$B$8-Model!B774)</f>
        <v>0</v>
      </c>
      <c r="E774" s="33">
        <f>IO!$B$5*C774-IO!$B$6*D774</f>
        <v>4080</v>
      </c>
      <c r="G774" s="47">
        <v>773</v>
      </c>
      <c r="H774" s="38" t="s">
        <v>8</v>
      </c>
      <c r="I774" s="38">
        <v>5</v>
      </c>
      <c r="J774" s="39">
        <v>0.93844756048244626</v>
      </c>
      <c r="K774" s="40">
        <f>ROUND(NORMINV(J774,IO!$B$10,IO!$B$11),0)</f>
        <v>111</v>
      </c>
      <c r="L774" s="40">
        <f>MIN(K774,IO!$B$4+IO!$B$8)</f>
        <v>102</v>
      </c>
      <c r="M774" s="40">
        <f>IF(L774-I774&gt;IO!$B$4,Model!L774-Model!I774-IO!$B$4,0)</f>
        <v>0</v>
      </c>
      <c r="N774" s="41">
        <f>IO!$B$5*Model!L774-IO!$B$6*Model!M774</f>
        <v>4080</v>
      </c>
    </row>
    <row r="775" spans="1:14" x14ac:dyDescent="0.35">
      <c r="A775" s="30">
        <v>774</v>
      </c>
      <c r="B775" s="31">
        <v>1</v>
      </c>
      <c r="C775" s="32">
        <f>(IO!$B$4+IO!$B$8)</f>
        <v>102</v>
      </c>
      <c r="D775" s="32">
        <f>IF(B775&gt;IO!$B$8,0,IO!$B$8-Model!B775)</f>
        <v>1</v>
      </c>
      <c r="E775" s="33">
        <f>IO!$B$5*C775-IO!$B$6*D775</f>
        <v>3980</v>
      </c>
      <c r="G775" s="47">
        <v>774</v>
      </c>
      <c r="H775" s="38" t="s">
        <v>9</v>
      </c>
      <c r="I775" s="38">
        <v>1</v>
      </c>
      <c r="J775" s="39">
        <v>0.39822066262794598</v>
      </c>
      <c r="K775" s="40">
        <f>ROUND(NORMINV(J775,IO!$B$10,IO!$B$11),0)</f>
        <v>102</v>
      </c>
      <c r="L775" s="40">
        <f>MIN(K775,IO!$B$4+IO!$B$8)</f>
        <v>102</v>
      </c>
      <c r="M775" s="40">
        <f>IF(L775-I775&gt;IO!$B$4,Model!L775-Model!I775-IO!$B$4,0)</f>
        <v>1</v>
      </c>
      <c r="N775" s="41">
        <f>IO!$B$5*Model!L775-IO!$B$6*Model!M775</f>
        <v>3980</v>
      </c>
    </row>
    <row r="776" spans="1:14" x14ac:dyDescent="0.35">
      <c r="A776" s="30">
        <v>775</v>
      </c>
      <c r="B776" s="31">
        <v>2</v>
      </c>
      <c r="C776" s="32">
        <f>(IO!$B$4+IO!$B$8)</f>
        <v>102</v>
      </c>
      <c r="D776" s="32">
        <f>IF(B776&gt;IO!$B$8,0,IO!$B$8-Model!B776)</f>
        <v>0</v>
      </c>
      <c r="E776" s="33">
        <f>IO!$B$5*C776-IO!$B$6*D776</f>
        <v>4080</v>
      </c>
      <c r="G776" s="47">
        <v>775</v>
      </c>
      <c r="H776" s="38" t="s">
        <v>7</v>
      </c>
      <c r="I776" s="38">
        <v>2</v>
      </c>
      <c r="J776" s="39">
        <v>8.9509837239917234E-2</v>
      </c>
      <c r="K776" s="40">
        <f>ROUND(NORMINV(J776,IO!$B$10,IO!$B$11),0)</f>
        <v>96</v>
      </c>
      <c r="L776" s="40">
        <f>MIN(K776,IO!$B$4+IO!$B$8)</f>
        <v>96</v>
      </c>
      <c r="M776" s="40">
        <f>IF(L776-I776&gt;IO!$B$4,Model!L776-Model!I776-IO!$B$4,0)</f>
        <v>0</v>
      </c>
      <c r="N776" s="41">
        <f>IO!$B$5*Model!L776-IO!$B$6*Model!M776</f>
        <v>3840</v>
      </c>
    </row>
    <row r="777" spans="1:14" x14ac:dyDescent="0.35">
      <c r="A777" s="30">
        <v>776</v>
      </c>
      <c r="B777" s="31">
        <v>2</v>
      </c>
      <c r="C777" s="32">
        <f>(IO!$B$4+IO!$B$8)</f>
        <v>102</v>
      </c>
      <c r="D777" s="32">
        <f>IF(B777&gt;IO!$B$8,0,IO!$B$8-Model!B777)</f>
        <v>0</v>
      </c>
      <c r="E777" s="33">
        <f>IO!$B$5*C777-IO!$B$6*D777</f>
        <v>4080</v>
      </c>
      <c r="G777" s="47">
        <v>776</v>
      </c>
      <c r="H777" s="38" t="s">
        <v>8</v>
      </c>
      <c r="I777" s="38">
        <v>2</v>
      </c>
      <c r="J777" s="39">
        <v>0.35639667166168809</v>
      </c>
      <c r="K777" s="40">
        <f>ROUND(NORMINV(J777,IO!$B$10,IO!$B$11),0)</f>
        <v>101</v>
      </c>
      <c r="L777" s="40">
        <f>MIN(K777,IO!$B$4+IO!$B$8)</f>
        <v>101</v>
      </c>
      <c r="M777" s="40">
        <f>IF(L777-I777&gt;IO!$B$4,Model!L777-Model!I777-IO!$B$4,0)</f>
        <v>0</v>
      </c>
      <c r="N777" s="41">
        <f>IO!$B$5*Model!L777-IO!$B$6*Model!M777</f>
        <v>4040</v>
      </c>
    </row>
    <row r="778" spans="1:14" x14ac:dyDescent="0.35">
      <c r="A778" s="30">
        <v>777</v>
      </c>
      <c r="B778" s="31">
        <v>2</v>
      </c>
      <c r="C778" s="32">
        <f>(IO!$B$4+IO!$B$8)</f>
        <v>102</v>
      </c>
      <c r="D778" s="32">
        <f>IF(B778&gt;IO!$B$8,0,IO!$B$8-Model!B778)</f>
        <v>0</v>
      </c>
      <c r="E778" s="33">
        <f>IO!$B$5*C778-IO!$B$6*D778</f>
        <v>4080</v>
      </c>
      <c r="G778" s="47">
        <v>777</v>
      </c>
      <c r="H778" s="38" t="s">
        <v>9</v>
      </c>
      <c r="I778" s="38">
        <v>2</v>
      </c>
      <c r="J778" s="39">
        <v>0.72203486777518255</v>
      </c>
      <c r="K778" s="40">
        <f>ROUND(NORMINV(J778,IO!$B$10,IO!$B$11),0)</f>
        <v>106</v>
      </c>
      <c r="L778" s="40">
        <f>MIN(K778,IO!$B$4+IO!$B$8)</f>
        <v>102</v>
      </c>
      <c r="M778" s="40">
        <f>IF(L778-I778&gt;IO!$B$4,Model!L778-Model!I778-IO!$B$4,0)</f>
        <v>0</v>
      </c>
      <c r="N778" s="41">
        <f>IO!$B$5*Model!L778-IO!$B$6*Model!M778</f>
        <v>4080</v>
      </c>
    </row>
    <row r="779" spans="1:14" x14ac:dyDescent="0.35">
      <c r="A779" s="30">
        <v>778</v>
      </c>
      <c r="B779" s="31">
        <v>3</v>
      </c>
      <c r="C779" s="32">
        <f>(IO!$B$4+IO!$B$8)</f>
        <v>102</v>
      </c>
      <c r="D779" s="32">
        <f>IF(B779&gt;IO!$B$8,0,IO!$B$8-Model!B779)</f>
        <v>0</v>
      </c>
      <c r="E779" s="33">
        <f>IO!$B$5*C779-IO!$B$6*D779</f>
        <v>4080</v>
      </c>
      <c r="G779" s="47">
        <v>778</v>
      </c>
      <c r="H779" s="38" t="s">
        <v>7</v>
      </c>
      <c r="I779" s="38">
        <v>3</v>
      </c>
      <c r="J779" s="39">
        <v>0.41310841814448929</v>
      </c>
      <c r="K779" s="40">
        <f>ROUND(NORMINV(J779,IO!$B$10,IO!$B$11),0)</f>
        <v>102</v>
      </c>
      <c r="L779" s="40">
        <f>MIN(K779,IO!$B$4+IO!$B$8)</f>
        <v>102</v>
      </c>
      <c r="M779" s="40">
        <f>IF(L779-I779&gt;IO!$B$4,Model!L779-Model!I779-IO!$B$4,0)</f>
        <v>0</v>
      </c>
      <c r="N779" s="41">
        <f>IO!$B$5*Model!L779-IO!$B$6*Model!M779</f>
        <v>4080</v>
      </c>
    </row>
    <row r="780" spans="1:14" x14ac:dyDescent="0.35">
      <c r="A780" s="30">
        <v>779</v>
      </c>
      <c r="B780" s="31">
        <v>2</v>
      </c>
      <c r="C780" s="32">
        <f>(IO!$B$4+IO!$B$8)</f>
        <v>102</v>
      </c>
      <c r="D780" s="32">
        <f>IF(B780&gt;IO!$B$8,0,IO!$B$8-Model!B780)</f>
        <v>0</v>
      </c>
      <c r="E780" s="33">
        <f>IO!$B$5*C780-IO!$B$6*D780</f>
        <v>4080</v>
      </c>
      <c r="G780" s="47">
        <v>779</v>
      </c>
      <c r="H780" s="38" t="s">
        <v>8</v>
      </c>
      <c r="I780" s="38">
        <v>2</v>
      </c>
      <c r="J780" s="39">
        <v>0.39303095828454537</v>
      </c>
      <c r="K780" s="40">
        <f>ROUND(NORMINV(J780,IO!$B$10,IO!$B$11),0)</f>
        <v>102</v>
      </c>
      <c r="L780" s="40">
        <f>MIN(K780,IO!$B$4+IO!$B$8)</f>
        <v>102</v>
      </c>
      <c r="M780" s="40">
        <f>IF(L780-I780&gt;IO!$B$4,Model!L780-Model!I780-IO!$B$4,0)</f>
        <v>0</v>
      </c>
      <c r="N780" s="41">
        <f>IO!$B$5*Model!L780-IO!$B$6*Model!M780</f>
        <v>4080</v>
      </c>
    </row>
    <row r="781" spans="1:14" x14ac:dyDescent="0.35">
      <c r="A781" s="30">
        <v>780</v>
      </c>
      <c r="B781" s="31">
        <v>2</v>
      </c>
      <c r="C781" s="32">
        <f>(IO!$B$4+IO!$B$8)</f>
        <v>102</v>
      </c>
      <c r="D781" s="32">
        <f>IF(B781&gt;IO!$B$8,0,IO!$B$8-Model!B781)</f>
        <v>0</v>
      </c>
      <c r="E781" s="33">
        <f>IO!$B$5*C781-IO!$B$6*D781</f>
        <v>4080</v>
      </c>
      <c r="G781" s="47">
        <v>780</v>
      </c>
      <c r="H781" s="38" t="s">
        <v>9</v>
      </c>
      <c r="I781" s="38">
        <v>2</v>
      </c>
      <c r="J781" s="39">
        <v>0.71596468966957627</v>
      </c>
      <c r="K781" s="40">
        <f>ROUND(NORMINV(J781,IO!$B$10,IO!$B$11),0)</f>
        <v>106</v>
      </c>
      <c r="L781" s="40">
        <f>MIN(K781,IO!$B$4+IO!$B$8)</f>
        <v>102</v>
      </c>
      <c r="M781" s="40">
        <f>IF(L781-I781&gt;IO!$B$4,Model!L781-Model!I781-IO!$B$4,0)</f>
        <v>0</v>
      </c>
      <c r="N781" s="41">
        <f>IO!$B$5*Model!L781-IO!$B$6*Model!M781</f>
        <v>4080</v>
      </c>
    </row>
    <row r="782" spans="1:14" x14ac:dyDescent="0.35">
      <c r="A782" s="30">
        <v>781</v>
      </c>
      <c r="B782" s="31">
        <v>5</v>
      </c>
      <c r="C782" s="32">
        <f>(IO!$B$4+IO!$B$8)</f>
        <v>102</v>
      </c>
      <c r="D782" s="32">
        <f>IF(B782&gt;IO!$B$8,0,IO!$B$8-Model!B782)</f>
        <v>0</v>
      </c>
      <c r="E782" s="33">
        <f>IO!$B$5*C782-IO!$B$6*D782</f>
        <v>4080</v>
      </c>
      <c r="G782" s="47">
        <v>781</v>
      </c>
      <c r="H782" s="38" t="s">
        <v>7</v>
      </c>
      <c r="I782" s="38">
        <v>5</v>
      </c>
      <c r="J782" s="39">
        <v>0.12686495669143849</v>
      </c>
      <c r="K782" s="40">
        <f>ROUND(NORMINV(J782,IO!$B$10,IO!$B$11),0)</f>
        <v>97</v>
      </c>
      <c r="L782" s="40">
        <f>MIN(K782,IO!$B$4+IO!$B$8)</f>
        <v>97</v>
      </c>
      <c r="M782" s="40">
        <f>IF(L782-I782&gt;IO!$B$4,Model!L782-Model!I782-IO!$B$4,0)</f>
        <v>0</v>
      </c>
      <c r="N782" s="41">
        <f>IO!$B$5*Model!L782-IO!$B$6*Model!M782</f>
        <v>3880</v>
      </c>
    </row>
    <row r="783" spans="1:14" x14ac:dyDescent="0.35">
      <c r="A783" s="30">
        <v>782</v>
      </c>
      <c r="B783" s="31">
        <v>0</v>
      </c>
      <c r="C783" s="32">
        <f>(IO!$B$4+IO!$B$8)</f>
        <v>102</v>
      </c>
      <c r="D783" s="32">
        <f>IF(B783&gt;IO!$B$8,0,IO!$B$8-Model!B783)</f>
        <v>2</v>
      </c>
      <c r="E783" s="33">
        <f>IO!$B$5*C783-IO!$B$6*D783</f>
        <v>3880</v>
      </c>
      <c r="G783" s="47">
        <v>782</v>
      </c>
      <c r="H783" s="38" t="s">
        <v>8</v>
      </c>
      <c r="I783" s="38">
        <v>0</v>
      </c>
      <c r="J783" s="39">
        <v>9.6843572847269521E-2</v>
      </c>
      <c r="K783" s="40">
        <f>ROUND(NORMINV(J783,IO!$B$10,IO!$B$11),0)</f>
        <v>97</v>
      </c>
      <c r="L783" s="40">
        <f>MIN(K783,IO!$B$4+IO!$B$8)</f>
        <v>97</v>
      </c>
      <c r="M783" s="40">
        <f>IF(L783-I783&gt;IO!$B$4,Model!L783-Model!I783-IO!$B$4,0)</f>
        <v>0</v>
      </c>
      <c r="N783" s="41">
        <f>IO!$B$5*Model!L783-IO!$B$6*Model!M783</f>
        <v>3880</v>
      </c>
    </row>
    <row r="784" spans="1:14" x14ac:dyDescent="0.35">
      <c r="A784" s="30">
        <v>783</v>
      </c>
      <c r="B784" s="31">
        <v>0</v>
      </c>
      <c r="C784" s="32">
        <f>(IO!$B$4+IO!$B$8)</f>
        <v>102</v>
      </c>
      <c r="D784" s="32">
        <f>IF(B784&gt;IO!$B$8,0,IO!$B$8-Model!B784)</f>
        <v>2</v>
      </c>
      <c r="E784" s="33">
        <f>IO!$B$5*C784-IO!$B$6*D784</f>
        <v>3880</v>
      </c>
      <c r="G784" s="47">
        <v>783</v>
      </c>
      <c r="H784" s="38" t="s">
        <v>9</v>
      </c>
      <c r="I784" s="38">
        <v>0</v>
      </c>
      <c r="J784" s="39">
        <v>7.5307965744036087E-2</v>
      </c>
      <c r="K784" s="40">
        <f>ROUND(NORMINV(J784,IO!$B$10,IO!$B$11),0)</f>
        <v>96</v>
      </c>
      <c r="L784" s="40">
        <f>MIN(K784,IO!$B$4+IO!$B$8)</f>
        <v>96</v>
      </c>
      <c r="M784" s="40">
        <f>IF(L784-I784&gt;IO!$B$4,Model!L784-Model!I784-IO!$B$4,0)</f>
        <v>0</v>
      </c>
      <c r="N784" s="41">
        <f>IO!$B$5*Model!L784-IO!$B$6*Model!M784</f>
        <v>3840</v>
      </c>
    </row>
    <row r="785" spans="1:14" x14ac:dyDescent="0.35">
      <c r="A785" s="30">
        <v>784</v>
      </c>
      <c r="B785" s="31">
        <v>3</v>
      </c>
      <c r="C785" s="32">
        <f>(IO!$B$4+IO!$B$8)</f>
        <v>102</v>
      </c>
      <c r="D785" s="32">
        <f>IF(B785&gt;IO!$B$8,0,IO!$B$8-Model!B785)</f>
        <v>0</v>
      </c>
      <c r="E785" s="33">
        <f>IO!$B$5*C785-IO!$B$6*D785</f>
        <v>4080</v>
      </c>
      <c r="G785" s="47">
        <v>784</v>
      </c>
      <c r="H785" s="38" t="s">
        <v>7</v>
      </c>
      <c r="I785" s="38">
        <v>3</v>
      </c>
      <c r="J785" s="39">
        <v>0.29879678434100587</v>
      </c>
      <c r="K785" s="40">
        <f>ROUND(NORMINV(J785,IO!$B$10,IO!$B$11),0)</f>
        <v>100</v>
      </c>
      <c r="L785" s="40">
        <f>MIN(K785,IO!$B$4+IO!$B$8)</f>
        <v>100</v>
      </c>
      <c r="M785" s="40">
        <f>IF(L785-I785&gt;IO!$B$4,Model!L785-Model!I785-IO!$B$4,0)</f>
        <v>0</v>
      </c>
      <c r="N785" s="41">
        <f>IO!$B$5*Model!L785-IO!$B$6*Model!M785</f>
        <v>4000</v>
      </c>
    </row>
    <row r="786" spans="1:14" x14ac:dyDescent="0.35">
      <c r="A786" s="30">
        <v>785</v>
      </c>
      <c r="B786" s="31">
        <v>2</v>
      </c>
      <c r="C786" s="32">
        <f>(IO!$B$4+IO!$B$8)</f>
        <v>102</v>
      </c>
      <c r="D786" s="32">
        <f>IF(B786&gt;IO!$B$8,0,IO!$B$8-Model!B786)</f>
        <v>0</v>
      </c>
      <c r="E786" s="33">
        <f>IO!$B$5*C786-IO!$B$6*D786</f>
        <v>4080</v>
      </c>
      <c r="G786" s="47">
        <v>785</v>
      </c>
      <c r="H786" s="38" t="s">
        <v>8</v>
      </c>
      <c r="I786" s="38">
        <v>2</v>
      </c>
      <c r="J786" s="39">
        <v>0.43777695193119748</v>
      </c>
      <c r="K786" s="40">
        <f>ROUND(NORMINV(J786,IO!$B$10,IO!$B$11),0)</f>
        <v>102</v>
      </c>
      <c r="L786" s="40">
        <f>MIN(K786,IO!$B$4+IO!$B$8)</f>
        <v>102</v>
      </c>
      <c r="M786" s="40">
        <f>IF(L786-I786&gt;IO!$B$4,Model!L786-Model!I786-IO!$B$4,0)</f>
        <v>0</v>
      </c>
      <c r="N786" s="41">
        <f>IO!$B$5*Model!L786-IO!$B$6*Model!M786</f>
        <v>4080</v>
      </c>
    </row>
    <row r="787" spans="1:14" x14ac:dyDescent="0.35">
      <c r="A787" s="30">
        <v>786</v>
      </c>
      <c r="B787" s="31">
        <v>3</v>
      </c>
      <c r="C787" s="32">
        <f>(IO!$B$4+IO!$B$8)</f>
        <v>102</v>
      </c>
      <c r="D787" s="32">
        <f>IF(B787&gt;IO!$B$8,0,IO!$B$8-Model!B787)</f>
        <v>0</v>
      </c>
      <c r="E787" s="33">
        <f>IO!$B$5*C787-IO!$B$6*D787</f>
        <v>4080</v>
      </c>
      <c r="G787" s="47">
        <v>786</v>
      </c>
      <c r="H787" s="38" t="s">
        <v>9</v>
      </c>
      <c r="I787" s="38">
        <v>3</v>
      </c>
      <c r="J787" s="39">
        <v>0.40538320121447124</v>
      </c>
      <c r="K787" s="40">
        <f>ROUND(NORMINV(J787,IO!$B$10,IO!$B$11),0)</f>
        <v>102</v>
      </c>
      <c r="L787" s="40">
        <f>MIN(K787,IO!$B$4+IO!$B$8)</f>
        <v>102</v>
      </c>
      <c r="M787" s="40">
        <f>IF(L787-I787&gt;IO!$B$4,Model!L787-Model!I787-IO!$B$4,0)</f>
        <v>0</v>
      </c>
      <c r="N787" s="41">
        <f>IO!$B$5*Model!L787-IO!$B$6*Model!M787</f>
        <v>4080</v>
      </c>
    </row>
    <row r="788" spans="1:14" x14ac:dyDescent="0.35">
      <c r="A788" s="30">
        <v>787</v>
      </c>
      <c r="B788" s="31">
        <v>3</v>
      </c>
      <c r="C788" s="32">
        <f>(IO!$B$4+IO!$B$8)</f>
        <v>102</v>
      </c>
      <c r="D788" s="32">
        <f>IF(B788&gt;IO!$B$8,0,IO!$B$8-Model!B788)</f>
        <v>0</v>
      </c>
      <c r="E788" s="33">
        <f>IO!$B$5*C788-IO!$B$6*D788</f>
        <v>4080</v>
      </c>
      <c r="G788" s="47">
        <v>787</v>
      </c>
      <c r="H788" s="38" t="s">
        <v>7</v>
      </c>
      <c r="I788" s="38">
        <v>3</v>
      </c>
      <c r="J788" s="39">
        <v>6.3893994038830448E-2</v>
      </c>
      <c r="K788" s="40">
        <f>ROUND(NORMINV(J788,IO!$B$10,IO!$B$11),0)</f>
        <v>95</v>
      </c>
      <c r="L788" s="40">
        <f>MIN(K788,IO!$B$4+IO!$B$8)</f>
        <v>95</v>
      </c>
      <c r="M788" s="40">
        <f>IF(L788-I788&gt;IO!$B$4,Model!L788-Model!I788-IO!$B$4,0)</f>
        <v>0</v>
      </c>
      <c r="N788" s="41">
        <f>IO!$B$5*Model!L788-IO!$B$6*Model!M788</f>
        <v>3800</v>
      </c>
    </row>
    <row r="789" spans="1:14" x14ac:dyDescent="0.35">
      <c r="A789" s="30">
        <v>788</v>
      </c>
      <c r="B789" s="31">
        <v>2</v>
      </c>
      <c r="C789" s="32">
        <f>(IO!$B$4+IO!$B$8)</f>
        <v>102</v>
      </c>
      <c r="D789" s="32">
        <f>IF(B789&gt;IO!$B$8,0,IO!$B$8-Model!B789)</f>
        <v>0</v>
      </c>
      <c r="E789" s="33">
        <f>IO!$B$5*C789-IO!$B$6*D789</f>
        <v>4080</v>
      </c>
      <c r="G789" s="47">
        <v>788</v>
      </c>
      <c r="H789" s="38" t="s">
        <v>8</v>
      </c>
      <c r="I789" s="38">
        <v>2</v>
      </c>
      <c r="J789" s="39">
        <v>0.24288558007472283</v>
      </c>
      <c r="K789" s="40">
        <f>ROUND(NORMINV(J789,IO!$B$10,IO!$B$11),0)</f>
        <v>100</v>
      </c>
      <c r="L789" s="40">
        <f>MIN(K789,IO!$B$4+IO!$B$8)</f>
        <v>100</v>
      </c>
      <c r="M789" s="40">
        <f>IF(L789-I789&gt;IO!$B$4,Model!L789-Model!I789-IO!$B$4,0)</f>
        <v>0</v>
      </c>
      <c r="N789" s="41">
        <f>IO!$B$5*Model!L789-IO!$B$6*Model!M789</f>
        <v>4000</v>
      </c>
    </row>
    <row r="790" spans="1:14" x14ac:dyDescent="0.35">
      <c r="A790" s="30">
        <v>789</v>
      </c>
      <c r="B790" s="31">
        <v>1</v>
      </c>
      <c r="C790" s="32">
        <f>(IO!$B$4+IO!$B$8)</f>
        <v>102</v>
      </c>
      <c r="D790" s="32">
        <f>IF(B790&gt;IO!$B$8,0,IO!$B$8-Model!B790)</f>
        <v>1</v>
      </c>
      <c r="E790" s="33">
        <f>IO!$B$5*C790-IO!$B$6*D790</f>
        <v>3980</v>
      </c>
      <c r="G790" s="47">
        <v>789</v>
      </c>
      <c r="H790" s="38" t="s">
        <v>9</v>
      </c>
      <c r="I790" s="38">
        <v>1</v>
      </c>
      <c r="J790" s="39">
        <v>0.33377474242161875</v>
      </c>
      <c r="K790" s="40">
        <f>ROUND(NORMINV(J790,IO!$B$10,IO!$B$11),0)</f>
        <v>101</v>
      </c>
      <c r="L790" s="40">
        <f>MIN(K790,IO!$B$4+IO!$B$8)</f>
        <v>101</v>
      </c>
      <c r="M790" s="40">
        <f>IF(L790-I790&gt;IO!$B$4,Model!L790-Model!I790-IO!$B$4,0)</f>
        <v>0</v>
      </c>
      <c r="N790" s="41">
        <f>IO!$B$5*Model!L790-IO!$B$6*Model!M790</f>
        <v>4040</v>
      </c>
    </row>
    <row r="791" spans="1:14" x14ac:dyDescent="0.35">
      <c r="A791" s="30">
        <v>790</v>
      </c>
      <c r="B791" s="31">
        <v>2</v>
      </c>
      <c r="C791" s="32">
        <f>(IO!$B$4+IO!$B$8)</f>
        <v>102</v>
      </c>
      <c r="D791" s="32">
        <f>IF(B791&gt;IO!$B$8,0,IO!$B$8-Model!B791)</f>
        <v>0</v>
      </c>
      <c r="E791" s="33">
        <f>IO!$B$5*C791-IO!$B$6*D791</f>
        <v>4080</v>
      </c>
      <c r="G791" s="47">
        <v>790</v>
      </c>
      <c r="H791" s="38" t="s">
        <v>7</v>
      </c>
      <c r="I791" s="38">
        <v>2</v>
      </c>
      <c r="J791" s="39">
        <v>0.47655944839511177</v>
      </c>
      <c r="K791" s="40">
        <f>ROUND(NORMINV(J791,IO!$B$10,IO!$B$11),0)</f>
        <v>103</v>
      </c>
      <c r="L791" s="40">
        <f>MIN(K791,IO!$B$4+IO!$B$8)</f>
        <v>102</v>
      </c>
      <c r="M791" s="40">
        <f>IF(L791-I791&gt;IO!$B$4,Model!L791-Model!I791-IO!$B$4,0)</f>
        <v>0</v>
      </c>
      <c r="N791" s="41">
        <f>IO!$B$5*Model!L791-IO!$B$6*Model!M791</f>
        <v>4080</v>
      </c>
    </row>
    <row r="792" spans="1:14" x14ac:dyDescent="0.35">
      <c r="A792" s="30">
        <v>791</v>
      </c>
      <c r="B792" s="31">
        <v>1</v>
      </c>
      <c r="C792" s="32">
        <f>(IO!$B$4+IO!$B$8)</f>
        <v>102</v>
      </c>
      <c r="D792" s="32">
        <f>IF(B792&gt;IO!$B$8,0,IO!$B$8-Model!B792)</f>
        <v>1</v>
      </c>
      <c r="E792" s="33">
        <f>IO!$B$5*C792-IO!$B$6*D792</f>
        <v>3980</v>
      </c>
      <c r="G792" s="47">
        <v>791</v>
      </c>
      <c r="H792" s="38" t="s">
        <v>8</v>
      </c>
      <c r="I792" s="38">
        <v>1</v>
      </c>
      <c r="J792" s="39">
        <v>0.15297030186020244</v>
      </c>
      <c r="K792" s="40">
        <f>ROUND(NORMINV(J792,IO!$B$10,IO!$B$11),0)</f>
        <v>98</v>
      </c>
      <c r="L792" s="40">
        <f>MIN(K792,IO!$B$4+IO!$B$8)</f>
        <v>98</v>
      </c>
      <c r="M792" s="40">
        <f>IF(L792-I792&gt;IO!$B$4,Model!L792-Model!I792-IO!$B$4,0)</f>
        <v>0</v>
      </c>
      <c r="N792" s="41">
        <f>IO!$B$5*Model!L792-IO!$B$6*Model!M792</f>
        <v>3920</v>
      </c>
    </row>
    <row r="793" spans="1:14" x14ac:dyDescent="0.35">
      <c r="A793" s="30">
        <v>792</v>
      </c>
      <c r="B793" s="31">
        <v>1</v>
      </c>
      <c r="C793" s="32">
        <f>(IO!$B$4+IO!$B$8)</f>
        <v>102</v>
      </c>
      <c r="D793" s="32">
        <f>IF(B793&gt;IO!$B$8,0,IO!$B$8-Model!B793)</f>
        <v>1</v>
      </c>
      <c r="E793" s="33">
        <f>IO!$B$5*C793-IO!$B$6*D793</f>
        <v>3980</v>
      </c>
      <c r="G793" s="47">
        <v>792</v>
      </c>
      <c r="H793" s="38" t="s">
        <v>9</v>
      </c>
      <c r="I793" s="38">
        <v>1</v>
      </c>
      <c r="J793" s="39">
        <v>0.62116228616220093</v>
      </c>
      <c r="K793" s="40">
        <f>ROUND(NORMINV(J793,IO!$B$10,IO!$B$11),0)</f>
        <v>105</v>
      </c>
      <c r="L793" s="40">
        <f>MIN(K793,IO!$B$4+IO!$B$8)</f>
        <v>102</v>
      </c>
      <c r="M793" s="40">
        <f>IF(L793-I793&gt;IO!$B$4,Model!L793-Model!I793-IO!$B$4,0)</f>
        <v>1</v>
      </c>
      <c r="N793" s="41">
        <f>IO!$B$5*Model!L793-IO!$B$6*Model!M793</f>
        <v>3980</v>
      </c>
    </row>
    <row r="794" spans="1:14" x14ac:dyDescent="0.35">
      <c r="A794" s="30">
        <v>793</v>
      </c>
      <c r="B794" s="31">
        <v>5</v>
      </c>
      <c r="C794" s="32">
        <f>(IO!$B$4+IO!$B$8)</f>
        <v>102</v>
      </c>
      <c r="D794" s="32">
        <f>IF(B794&gt;IO!$B$8,0,IO!$B$8-Model!B794)</f>
        <v>0</v>
      </c>
      <c r="E794" s="33">
        <f>IO!$B$5*C794-IO!$B$6*D794</f>
        <v>4080</v>
      </c>
      <c r="G794" s="47">
        <v>793</v>
      </c>
      <c r="H794" s="38" t="s">
        <v>7</v>
      </c>
      <c r="I794" s="38">
        <v>5</v>
      </c>
      <c r="J794" s="39">
        <v>0.75538205920414669</v>
      </c>
      <c r="K794" s="40">
        <f>ROUND(NORMINV(J794,IO!$B$10,IO!$B$11),0)</f>
        <v>106</v>
      </c>
      <c r="L794" s="40">
        <f>MIN(K794,IO!$B$4+IO!$B$8)</f>
        <v>102</v>
      </c>
      <c r="M794" s="40">
        <f>IF(L794-I794&gt;IO!$B$4,Model!L794-Model!I794-IO!$B$4,0)</f>
        <v>0</v>
      </c>
      <c r="N794" s="41">
        <f>IO!$B$5*Model!L794-IO!$B$6*Model!M794</f>
        <v>4080</v>
      </c>
    </row>
    <row r="795" spans="1:14" x14ac:dyDescent="0.35">
      <c r="A795" s="30">
        <v>794</v>
      </c>
      <c r="B795" s="31">
        <v>2</v>
      </c>
      <c r="C795" s="32">
        <f>(IO!$B$4+IO!$B$8)</f>
        <v>102</v>
      </c>
      <c r="D795" s="32">
        <f>IF(B795&gt;IO!$B$8,0,IO!$B$8-Model!B795)</f>
        <v>0</v>
      </c>
      <c r="E795" s="33">
        <f>IO!$B$5*C795-IO!$B$6*D795</f>
        <v>4080</v>
      </c>
      <c r="G795" s="47">
        <v>794</v>
      </c>
      <c r="H795" s="38" t="s">
        <v>8</v>
      </c>
      <c r="I795" s="38">
        <v>2</v>
      </c>
      <c r="J795" s="39">
        <v>0.38683631547492481</v>
      </c>
      <c r="K795" s="40">
        <f>ROUND(NORMINV(J795,IO!$B$10,IO!$B$11),0)</f>
        <v>102</v>
      </c>
      <c r="L795" s="40">
        <f>MIN(K795,IO!$B$4+IO!$B$8)</f>
        <v>102</v>
      </c>
      <c r="M795" s="40">
        <f>IF(L795-I795&gt;IO!$B$4,Model!L795-Model!I795-IO!$B$4,0)</f>
        <v>0</v>
      </c>
      <c r="N795" s="41">
        <f>IO!$B$5*Model!L795-IO!$B$6*Model!M795</f>
        <v>4080</v>
      </c>
    </row>
    <row r="796" spans="1:14" x14ac:dyDescent="0.35">
      <c r="A796" s="30">
        <v>795</v>
      </c>
      <c r="B796" s="31">
        <v>0</v>
      </c>
      <c r="C796" s="32">
        <f>(IO!$B$4+IO!$B$8)</f>
        <v>102</v>
      </c>
      <c r="D796" s="32">
        <f>IF(B796&gt;IO!$B$8,0,IO!$B$8-Model!B796)</f>
        <v>2</v>
      </c>
      <c r="E796" s="33">
        <f>IO!$B$5*C796-IO!$B$6*D796</f>
        <v>3880</v>
      </c>
      <c r="G796" s="47">
        <v>795</v>
      </c>
      <c r="H796" s="38" t="s">
        <v>9</v>
      </c>
      <c r="I796" s="38">
        <v>0</v>
      </c>
      <c r="J796" s="39">
        <v>0.12435948884802572</v>
      </c>
      <c r="K796" s="40">
        <f>ROUND(NORMINV(J796,IO!$B$10,IO!$B$11),0)</f>
        <v>97</v>
      </c>
      <c r="L796" s="40">
        <f>MIN(K796,IO!$B$4+IO!$B$8)</f>
        <v>97</v>
      </c>
      <c r="M796" s="40">
        <f>IF(L796-I796&gt;IO!$B$4,Model!L796-Model!I796-IO!$B$4,0)</f>
        <v>0</v>
      </c>
      <c r="N796" s="41">
        <f>IO!$B$5*Model!L796-IO!$B$6*Model!M796</f>
        <v>3880</v>
      </c>
    </row>
    <row r="797" spans="1:14" x14ac:dyDescent="0.35">
      <c r="A797" s="30">
        <v>796</v>
      </c>
      <c r="B797" s="31">
        <v>2</v>
      </c>
      <c r="C797" s="32">
        <f>(IO!$B$4+IO!$B$8)</f>
        <v>102</v>
      </c>
      <c r="D797" s="32">
        <f>IF(B797&gt;IO!$B$8,0,IO!$B$8-Model!B797)</f>
        <v>0</v>
      </c>
      <c r="E797" s="33">
        <f>IO!$B$5*C797-IO!$B$6*D797</f>
        <v>4080</v>
      </c>
      <c r="G797" s="47">
        <v>796</v>
      </c>
      <c r="H797" s="38" t="s">
        <v>7</v>
      </c>
      <c r="I797" s="38">
        <v>2</v>
      </c>
      <c r="J797" s="39">
        <v>0.46433715207039794</v>
      </c>
      <c r="K797" s="40">
        <f>ROUND(NORMINV(J797,IO!$B$10,IO!$B$11),0)</f>
        <v>103</v>
      </c>
      <c r="L797" s="40">
        <f>MIN(K797,IO!$B$4+IO!$B$8)</f>
        <v>102</v>
      </c>
      <c r="M797" s="40">
        <f>IF(L797-I797&gt;IO!$B$4,Model!L797-Model!I797-IO!$B$4,0)</f>
        <v>0</v>
      </c>
      <c r="N797" s="41">
        <f>IO!$B$5*Model!L797-IO!$B$6*Model!M797</f>
        <v>4080</v>
      </c>
    </row>
    <row r="798" spans="1:14" x14ac:dyDescent="0.35">
      <c r="A798" s="30">
        <v>797</v>
      </c>
      <c r="B798" s="31">
        <v>2</v>
      </c>
      <c r="C798" s="32">
        <f>(IO!$B$4+IO!$B$8)</f>
        <v>102</v>
      </c>
      <c r="D798" s="32">
        <f>IF(B798&gt;IO!$B$8,0,IO!$B$8-Model!B798)</f>
        <v>0</v>
      </c>
      <c r="E798" s="33">
        <f>IO!$B$5*C798-IO!$B$6*D798</f>
        <v>4080</v>
      </c>
      <c r="G798" s="47">
        <v>797</v>
      </c>
      <c r="H798" s="38" t="s">
        <v>8</v>
      </c>
      <c r="I798" s="38">
        <v>2</v>
      </c>
      <c r="J798" s="39">
        <v>0.16889936719025356</v>
      </c>
      <c r="K798" s="40">
        <f>ROUND(NORMINV(J798,IO!$B$10,IO!$B$11),0)</f>
        <v>98</v>
      </c>
      <c r="L798" s="40">
        <f>MIN(K798,IO!$B$4+IO!$B$8)</f>
        <v>98</v>
      </c>
      <c r="M798" s="40">
        <f>IF(L798-I798&gt;IO!$B$4,Model!L798-Model!I798-IO!$B$4,0)</f>
        <v>0</v>
      </c>
      <c r="N798" s="41">
        <f>IO!$B$5*Model!L798-IO!$B$6*Model!M798</f>
        <v>3920</v>
      </c>
    </row>
    <row r="799" spans="1:14" x14ac:dyDescent="0.35">
      <c r="A799" s="30">
        <v>798</v>
      </c>
      <c r="B799" s="31">
        <v>1</v>
      </c>
      <c r="C799" s="32">
        <f>(IO!$B$4+IO!$B$8)</f>
        <v>102</v>
      </c>
      <c r="D799" s="32">
        <f>IF(B799&gt;IO!$B$8,0,IO!$B$8-Model!B799)</f>
        <v>1</v>
      </c>
      <c r="E799" s="33">
        <f>IO!$B$5*C799-IO!$B$6*D799</f>
        <v>3980</v>
      </c>
      <c r="G799" s="47">
        <v>798</v>
      </c>
      <c r="H799" s="38" t="s">
        <v>9</v>
      </c>
      <c r="I799" s="38">
        <v>1</v>
      </c>
      <c r="J799" s="39">
        <v>0.14261979851906958</v>
      </c>
      <c r="K799" s="40">
        <f>ROUND(NORMINV(J799,IO!$B$10,IO!$B$11),0)</f>
        <v>98</v>
      </c>
      <c r="L799" s="40">
        <f>MIN(K799,IO!$B$4+IO!$B$8)</f>
        <v>98</v>
      </c>
      <c r="M799" s="40">
        <f>IF(L799-I799&gt;IO!$B$4,Model!L799-Model!I799-IO!$B$4,0)</f>
        <v>0</v>
      </c>
      <c r="N799" s="41">
        <f>IO!$B$5*Model!L799-IO!$B$6*Model!M799</f>
        <v>3920</v>
      </c>
    </row>
    <row r="800" spans="1:14" x14ac:dyDescent="0.35">
      <c r="A800" s="30">
        <v>799</v>
      </c>
      <c r="B800" s="31">
        <v>2</v>
      </c>
      <c r="C800" s="32">
        <f>(IO!$B$4+IO!$B$8)</f>
        <v>102</v>
      </c>
      <c r="D800" s="32">
        <f>IF(B800&gt;IO!$B$8,0,IO!$B$8-Model!B800)</f>
        <v>0</v>
      </c>
      <c r="E800" s="33">
        <f>IO!$B$5*C800-IO!$B$6*D800</f>
        <v>4080</v>
      </c>
      <c r="G800" s="47">
        <v>799</v>
      </c>
      <c r="H800" s="38" t="s">
        <v>7</v>
      </c>
      <c r="I800" s="38">
        <v>2</v>
      </c>
      <c r="J800" s="39">
        <v>0.91059590227801779</v>
      </c>
      <c r="K800" s="40">
        <f>ROUND(NORMINV(J800,IO!$B$10,IO!$B$11),0)</f>
        <v>110</v>
      </c>
      <c r="L800" s="40">
        <f>MIN(K800,IO!$B$4+IO!$B$8)</f>
        <v>102</v>
      </c>
      <c r="M800" s="40">
        <f>IF(L800-I800&gt;IO!$B$4,Model!L800-Model!I800-IO!$B$4,0)</f>
        <v>0</v>
      </c>
      <c r="N800" s="41">
        <f>IO!$B$5*Model!L800-IO!$B$6*Model!M800</f>
        <v>4080</v>
      </c>
    </row>
    <row r="801" spans="1:14" x14ac:dyDescent="0.35">
      <c r="A801" s="30">
        <v>800</v>
      </c>
      <c r="B801" s="31">
        <v>0</v>
      </c>
      <c r="C801" s="32">
        <f>(IO!$B$4+IO!$B$8)</f>
        <v>102</v>
      </c>
      <c r="D801" s="32">
        <f>IF(B801&gt;IO!$B$8,0,IO!$B$8-Model!B801)</f>
        <v>2</v>
      </c>
      <c r="E801" s="33">
        <f>IO!$B$5*C801-IO!$B$6*D801</f>
        <v>3880</v>
      </c>
      <c r="G801" s="47">
        <v>800</v>
      </c>
      <c r="H801" s="38" t="s">
        <v>8</v>
      </c>
      <c r="I801" s="38">
        <v>0</v>
      </c>
      <c r="J801" s="39">
        <v>0.91179464020908152</v>
      </c>
      <c r="K801" s="40">
        <f>ROUND(NORMINV(J801,IO!$B$10,IO!$B$11),0)</f>
        <v>110</v>
      </c>
      <c r="L801" s="40">
        <f>MIN(K801,IO!$B$4+IO!$B$8)</f>
        <v>102</v>
      </c>
      <c r="M801" s="40">
        <f>IF(L801-I801&gt;IO!$B$4,Model!L801-Model!I801-IO!$B$4,0)</f>
        <v>2</v>
      </c>
      <c r="N801" s="41">
        <f>IO!$B$5*Model!L801-IO!$B$6*Model!M801</f>
        <v>3880</v>
      </c>
    </row>
    <row r="802" spans="1:14" x14ac:dyDescent="0.35">
      <c r="A802" s="30">
        <v>801</v>
      </c>
      <c r="B802" s="31">
        <v>0</v>
      </c>
      <c r="C802" s="32">
        <f>(IO!$B$4+IO!$B$8)</f>
        <v>102</v>
      </c>
      <c r="D802" s="32">
        <f>IF(B802&gt;IO!$B$8,0,IO!$B$8-Model!B802)</f>
        <v>2</v>
      </c>
      <c r="E802" s="33">
        <f>IO!$B$5*C802-IO!$B$6*D802</f>
        <v>3880</v>
      </c>
      <c r="G802" s="47">
        <v>801</v>
      </c>
      <c r="H802" s="38" t="s">
        <v>9</v>
      </c>
      <c r="I802" s="38">
        <v>0</v>
      </c>
      <c r="J802" s="39">
        <v>0.44893781708909786</v>
      </c>
      <c r="K802" s="40">
        <f>ROUND(NORMINV(J802,IO!$B$10,IO!$B$11),0)</f>
        <v>102</v>
      </c>
      <c r="L802" s="40">
        <f>MIN(K802,IO!$B$4+IO!$B$8)</f>
        <v>102</v>
      </c>
      <c r="M802" s="40">
        <f>IF(L802-I802&gt;IO!$B$4,Model!L802-Model!I802-IO!$B$4,0)</f>
        <v>2</v>
      </c>
      <c r="N802" s="41">
        <f>IO!$B$5*Model!L802-IO!$B$6*Model!M802</f>
        <v>3880</v>
      </c>
    </row>
    <row r="803" spans="1:14" x14ac:dyDescent="0.35">
      <c r="A803" s="30">
        <v>802</v>
      </c>
      <c r="B803" s="31">
        <v>0</v>
      </c>
      <c r="C803" s="32">
        <f>(IO!$B$4+IO!$B$8)</f>
        <v>102</v>
      </c>
      <c r="D803" s="32">
        <f>IF(B803&gt;IO!$B$8,0,IO!$B$8-Model!B803)</f>
        <v>2</v>
      </c>
      <c r="E803" s="33">
        <f>IO!$B$5*C803-IO!$B$6*D803</f>
        <v>3880</v>
      </c>
      <c r="G803" s="47">
        <v>802</v>
      </c>
      <c r="H803" s="38" t="s">
        <v>7</v>
      </c>
      <c r="I803" s="38">
        <v>0</v>
      </c>
      <c r="J803" s="39">
        <v>0.72606229753159235</v>
      </c>
      <c r="K803" s="40">
        <f>ROUND(NORMINV(J803,IO!$B$10,IO!$B$11),0)</f>
        <v>106</v>
      </c>
      <c r="L803" s="40">
        <f>MIN(K803,IO!$B$4+IO!$B$8)</f>
        <v>102</v>
      </c>
      <c r="M803" s="40">
        <f>IF(L803-I803&gt;IO!$B$4,Model!L803-Model!I803-IO!$B$4,0)</f>
        <v>2</v>
      </c>
      <c r="N803" s="41">
        <f>IO!$B$5*Model!L803-IO!$B$6*Model!M803</f>
        <v>3880</v>
      </c>
    </row>
    <row r="804" spans="1:14" x14ac:dyDescent="0.35">
      <c r="A804" s="30">
        <v>803</v>
      </c>
      <c r="B804" s="31">
        <v>1</v>
      </c>
      <c r="C804" s="32">
        <f>(IO!$B$4+IO!$B$8)</f>
        <v>102</v>
      </c>
      <c r="D804" s="32">
        <f>IF(B804&gt;IO!$B$8,0,IO!$B$8-Model!B804)</f>
        <v>1</v>
      </c>
      <c r="E804" s="33">
        <f>IO!$B$5*C804-IO!$B$6*D804</f>
        <v>3980</v>
      </c>
      <c r="G804" s="47">
        <v>803</v>
      </c>
      <c r="H804" s="38" t="s">
        <v>8</v>
      </c>
      <c r="I804" s="38">
        <v>1</v>
      </c>
      <c r="J804" s="39">
        <v>0.64610558750544778</v>
      </c>
      <c r="K804" s="40">
        <f>ROUND(NORMINV(J804,IO!$B$10,IO!$B$11),0)</f>
        <v>105</v>
      </c>
      <c r="L804" s="40">
        <f>MIN(K804,IO!$B$4+IO!$B$8)</f>
        <v>102</v>
      </c>
      <c r="M804" s="40">
        <f>IF(L804-I804&gt;IO!$B$4,Model!L804-Model!I804-IO!$B$4,0)</f>
        <v>1</v>
      </c>
      <c r="N804" s="41">
        <f>IO!$B$5*Model!L804-IO!$B$6*Model!M804</f>
        <v>3980</v>
      </c>
    </row>
    <row r="805" spans="1:14" x14ac:dyDescent="0.35">
      <c r="A805" s="30">
        <v>804</v>
      </c>
      <c r="B805" s="31">
        <v>1</v>
      </c>
      <c r="C805" s="32">
        <f>(IO!$B$4+IO!$B$8)</f>
        <v>102</v>
      </c>
      <c r="D805" s="32">
        <f>IF(B805&gt;IO!$B$8,0,IO!$B$8-Model!B805)</f>
        <v>1</v>
      </c>
      <c r="E805" s="33">
        <f>IO!$B$5*C805-IO!$B$6*D805</f>
        <v>3980</v>
      </c>
      <c r="G805" s="47">
        <v>804</v>
      </c>
      <c r="H805" s="38" t="s">
        <v>9</v>
      </c>
      <c r="I805" s="38">
        <v>1</v>
      </c>
      <c r="J805" s="39">
        <v>0.79633746712663334</v>
      </c>
      <c r="K805" s="40">
        <f>ROUND(NORMINV(J805,IO!$B$10,IO!$B$11),0)</f>
        <v>107</v>
      </c>
      <c r="L805" s="40">
        <f>MIN(K805,IO!$B$4+IO!$B$8)</f>
        <v>102</v>
      </c>
      <c r="M805" s="40">
        <f>IF(L805-I805&gt;IO!$B$4,Model!L805-Model!I805-IO!$B$4,0)</f>
        <v>1</v>
      </c>
      <c r="N805" s="41">
        <f>IO!$B$5*Model!L805-IO!$B$6*Model!M805</f>
        <v>3980</v>
      </c>
    </row>
    <row r="806" spans="1:14" x14ac:dyDescent="0.35">
      <c r="A806" s="30">
        <v>805</v>
      </c>
      <c r="B806" s="31">
        <v>2</v>
      </c>
      <c r="C806" s="32">
        <f>(IO!$B$4+IO!$B$8)</f>
        <v>102</v>
      </c>
      <c r="D806" s="32">
        <f>IF(B806&gt;IO!$B$8,0,IO!$B$8-Model!B806)</f>
        <v>0</v>
      </c>
      <c r="E806" s="33">
        <f>IO!$B$5*C806-IO!$B$6*D806</f>
        <v>4080</v>
      </c>
      <c r="G806" s="47">
        <v>805</v>
      </c>
      <c r="H806" s="38" t="s">
        <v>7</v>
      </c>
      <c r="I806" s="38">
        <v>2</v>
      </c>
      <c r="J806" s="39">
        <v>0.70641470614894142</v>
      </c>
      <c r="K806" s="40">
        <f>ROUND(NORMINV(J806,IO!$B$10,IO!$B$11),0)</f>
        <v>106</v>
      </c>
      <c r="L806" s="40">
        <f>MIN(K806,IO!$B$4+IO!$B$8)</f>
        <v>102</v>
      </c>
      <c r="M806" s="40">
        <f>IF(L806-I806&gt;IO!$B$4,Model!L806-Model!I806-IO!$B$4,0)</f>
        <v>0</v>
      </c>
      <c r="N806" s="41">
        <f>IO!$B$5*Model!L806-IO!$B$6*Model!M806</f>
        <v>4080</v>
      </c>
    </row>
    <row r="807" spans="1:14" x14ac:dyDescent="0.35">
      <c r="A807" s="30">
        <v>806</v>
      </c>
      <c r="B807" s="31">
        <v>1</v>
      </c>
      <c r="C807" s="32">
        <f>(IO!$B$4+IO!$B$8)</f>
        <v>102</v>
      </c>
      <c r="D807" s="32">
        <f>IF(B807&gt;IO!$B$8,0,IO!$B$8-Model!B807)</f>
        <v>1</v>
      </c>
      <c r="E807" s="33">
        <f>IO!$B$5*C807-IO!$B$6*D807</f>
        <v>3980</v>
      </c>
      <c r="G807" s="47">
        <v>806</v>
      </c>
      <c r="H807" s="38" t="s">
        <v>8</v>
      </c>
      <c r="I807" s="38">
        <v>1</v>
      </c>
      <c r="J807" s="39">
        <v>0.49249393715188028</v>
      </c>
      <c r="K807" s="40">
        <f>ROUND(NORMINV(J807,IO!$B$10,IO!$B$11),0)</f>
        <v>103</v>
      </c>
      <c r="L807" s="40">
        <f>MIN(K807,IO!$B$4+IO!$B$8)</f>
        <v>102</v>
      </c>
      <c r="M807" s="40">
        <f>IF(L807-I807&gt;IO!$B$4,Model!L807-Model!I807-IO!$B$4,0)</f>
        <v>1</v>
      </c>
      <c r="N807" s="41">
        <f>IO!$B$5*Model!L807-IO!$B$6*Model!M807</f>
        <v>3980</v>
      </c>
    </row>
    <row r="808" spans="1:14" x14ac:dyDescent="0.35">
      <c r="A808" s="30">
        <v>807</v>
      </c>
      <c r="B808" s="31">
        <v>0</v>
      </c>
      <c r="C808" s="32">
        <f>(IO!$B$4+IO!$B$8)</f>
        <v>102</v>
      </c>
      <c r="D808" s="32">
        <f>IF(B808&gt;IO!$B$8,0,IO!$B$8-Model!B808)</f>
        <v>2</v>
      </c>
      <c r="E808" s="33">
        <f>IO!$B$5*C808-IO!$B$6*D808</f>
        <v>3880</v>
      </c>
      <c r="G808" s="47">
        <v>807</v>
      </c>
      <c r="H808" s="38" t="s">
        <v>9</v>
      </c>
      <c r="I808" s="38">
        <v>0</v>
      </c>
      <c r="J808" s="39">
        <v>0.6202045526897636</v>
      </c>
      <c r="K808" s="40">
        <f>ROUND(NORMINV(J808,IO!$B$10,IO!$B$11),0)</f>
        <v>105</v>
      </c>
      <c r="L808" s="40">
        <f>MIN(K808,IO!$B$4+IO!$B$8)</f>
        <v>102</v>
      </c>
      <c r="M808" s="40">
        <f>IF(L808-I808&gt;IO!$B$4,Model!L808-Model!I808-IO!$B$4,0)</f>
        <v>2</v>
      </c>
      <c r="N808" s="41">
        <f>IO!$B$5*Model!L808-IO!$B$6*Model!M808</f>
        <v>3880</v>
      </c>
    </row>
    <row r="809" spans="1:14" x14ac:dyDescent="0.35">
      <c r="A809" s="30">
        <v>808</v>
      </c>
      <c r="B809" s="31">
        <v>2</v>
      </c>
      <c r="C809" s="32">
        <f>(IO!$B$4+IO!$B$8)</f>
        <v>102</v>
      </c>
      <c r="D809" s="32">
        <f>IF(B809&gt;IO!$B$8,0,IO!$B$8-Model!B809)</f>
        <v>0</v>
      </c>
      <c r="E809" s="33">
        <f>IO!$B$5*C809-IO!$B$6*D809</f>
        <v>4080</v>
      </c>
      <c r="G809" s="47">
        <v>808</v>
      </c>
      <c r="H809" s="38" t="s">
        <v>7</v>
      </c>
      <c r="I809" s="38">
        <v>2</v>
      </c>
      <c r="J809" s="39">
        <v>0.76712220169251677</v>
      </c>
      <c r="K809" s="40">
        <f>ROUND(NORMINV(J809,IO!$B$10,IO!$B$11),0)</f>
        <v>107</v>
      </c>
      <c r="L809" s="40">
        <f>MIN(K809,IO!$B$4+IO!$B$8)</f>
        <v>102</v>
      </c>
      <c r="M809" s="40">
        <f>IF(L809-I809&gt;IO!$B$4,Model!L809-Model!I809-IO!$B$4,0)</f>
        <v>0</v>
      </c>
      <c r="N809" s="41">
        <f>IO!$B$5*Model!L809-IO!$B$6*Model!M809</f>
        <v>4080</v>
      </c>
    </row>
    <row r="810" spans="1:14" x14ac:dyDescent="0.35">
      <c r="A810" s="30">
        <v>809</v>
      </c>
      <c r="B810" s="31">
        <v>1</v>
      </c>
      <c r="C810" s="32">
        <f>(IO!$B$4+IO!$B$8)</f>
        <v>102</v>
      </c>
      <c r="D810" s="32">
        <f>IF(B810&gt;IO!$B$8,0,IO!$B$8-Model!B810)</f>
        <v>1</v>
      </c>
      <c r="E810" s="33">
        <f>IO!$B$5*C810-IO!$B$6*D810</f>
        <v>3980</v>
      </c>
      <c r="G810" s="47">
        <v>809</v>
      </c>
      <c r="H810" s="38" t="s">
        <v>8</v>
      </c>
      <c r="I810" s="38">
        <v>1</v>
      </c>
      <c r="J810" s="39">
        <v>0.76289010456526662</v>
      </c>
      <c r="K810" s="40">
        <f>ROUND(NORMINV(J810,IO!$B$10,IO!$B$11),0)</f>
        <v>107</v>
      </c>
      <c r="L810" s="40">
        <f>MIN(K810,IO!$B$4+IO!$B$8)</f>
        <v>102</v>
      </c>
      <c r="M810" s="40">
        <f>IF(L810-I810&gt;IO!$B$4,Model!L810-Model!I810-IO!$B$4,0)</f>
        <v>1</v>
      </c>
      <c r="N810" s="41">
        <f>IO!$B$5*Model!L810-IO!$B$6*Model!M810</f>
        <v>3980</v>
      </c>
    </row>
    <row r="811" spans="1:14" x14ac:dyDescent="0.35">
      <c r="A811" s="30">
        <v>810</v>
      </c>
      <c r="B811" s="31">
        <v>0</v>
      </c>
      <c r="C811" s="32">
        <f>(IO!$B$4+IO!$B$8)</f>
        <v>102</v>
      </c>
      <c r="D811" s="32">
        <f>IF(B811&gt;IO!$B$8,0,IO!$B$8-Model!B811)</f>
        <v>2</v>
      </c>
      <c r="E811" s="33">
        <f>IO!$B$5*C811-IO!$B$6*D811</f>
        <v>3880</v>
      </c>
      <c r="G811" s="47">
        <v>810</v>
      </c>
      <c r="H811" s="38" t="s">
        <v>9</v>
      </c>
      <c r="I811" s="38">
        <v>0</v>
      </c>
      <c r="J811" s="39">
        <v>3.4074625397803038E-3</v>
      </c>
      <c r="K811" s="40">
        <f>ROUND(NORMINV(J811,IO!$B$10,IO!$B$11),0)</f>
        <v>89</v>
      </c>
      <c r="L811" s="40">
        <f>MIN(K811,IO!$B$4+IO!$B$8)</f>
        <v>89</v>
      </c>
      <c r="M811" s="40">
        <f>IF(L811-I811&gt;IO!$B$4,Model!L811-Model!I811-IO!$B$4,0)</f>
        <v>0</v>
      </c>
      <c r="N811" s="41">
        <f>IO!$B$5*Model!L811-IO!$B$6*Model!M811</f>
        <v>3560</v>
      </c>
    </row>
    <row r="812" spans="1:14" x14ac:dyDescent="0.35">
      <c r="A812" s="30">
        <v>811</v>
      </c>
      <c r="B812" s="31">
        <v>5</v>
      </c>
      <c r="C812" s="32">
        <f>(IO!$B$4+IO!$B$8)</f>
        <v>102</v>
      </c>
      <c r="D812" s="32">
        <f>IF(B812&gt;IO!$B$8,0,IO!$B$8-Model!B812)</f>
        <v>0</v>
      </c>
      <c r="E812" s="33">
        <f>IO!$B$5*C812-IO!$B$6*D812</f>
        <v>4080</v>
      </c>
      <c r="G812" s="47">
        <v>811</v>
      </c>
      <c r="H812" s="38" t="s">
        <v>7</v>
      </c>
      <c r="I812" s="38">
        <v>5</v>
      </c>
      <c r="J812" s="39">
        <v>0.51417043469522072</v>
      </c>
      <c r="K812" s="40">
        <f>ROUND(NORMINV(J812,IO!$B$10,IO!$B$11),0)</f>
        <v>103</v>
      </c>
      <c r="L812" s="40">
        <f>MIN(K812,IO!$B$4+IO!$B$8)</f>
        <v>102</v>
      </c>
      <c r="M812" s="40">
        <f>IF(L812-I812&gt;IO!$B$4,Model!L812-Model!I812-IO!$B$4,0)</f>
        <v>0</v>
      </c>
      <c r="N812" s="41">
        <f>IO!$B$5*Model!L812-IO!$B$6*Model!M812</f>
        <v>4080</v>
      </c>
    </row>
    <row r="813" spans="1:14" x14ac:dyDescent="0.35">
      <c r="A813" s="30">
        <v>812</v>
      </c>
      <c r="B813" s="31">
        <v>2</v>
      </c>
      <c r="C813" s="32">
        <f>(IO!$B$4+IO!$B$8)</f>
        <v>102</v>
      </c>
      <c r="D813" s="32">
        <f>IF(B813&gt;IO!$B$8,0,IO!$B$8-Model!B813)</f>
        <v>0</v>
      </c>
      <c r="E813" s="33">
        <f>IO!$B$5*C813-IO!$B$6*D813</f>
        <v>4080</v>
      </c>
      <c r="G813" s="47">
        <v>812</v>
      </c>
      <c r="H813" s="38" t="s">
        <v>8</v>
      </c>
      <c r="I813" s="38">
        <v>2</v>
      </c>
      <c r="J813" s="39">
        <v>0.91386240098019866</v>
      </c>
      <c r="K813" s="40">
        <f>ROUND(NORMINV(J813,IO!$B$10,IO!$B$11),0)</f>
        <v>110</v>
      </c>
      <c r="L813" s="40">
        <f>MIN(K813,IO!$B$4+IO!$B$8)</f>
        <v>102</v>
      </c>
      <c r="M813" s="40">
        <f>IF(L813-I813&gt;IO!$B$4,Model!L813-Model!I813-IO!$B$4,0)</f>
        <v>0</v>
      </c>
      <c r="N813" s="41">
        <f>IO!$B$5*Model!L813-IO!$B$6*Model!M813</f>
        <v>4080</v>
      </c>
    </row>
    <row r="814" spans="1:14" x14ac:dyDescent="0.35">
      <c r="A814" s="30">
        <v>813</v>
      </c>
      <c r="B814" s="31">
        <v>0</v>
      </c>
      <c r="C814" s="32">
        <f>(IO!$B$4+IO!$B$8)</f>
        <v>102</v>
      </c>
      <c r="D814" s="32">
        <f>IF(B814&gt;IO!$B$8,0,IO!$B$8-Model!B814)</f>
        <v>2</v>
      </c>
      <c r="E814" s="33">
        <f>IO!$B$5*C814-IO!$B$6*D814</f>
        <v>3880</v>
      </c>
      <c r="G814" s="47">
        <v>813</v>
      </c>
      <c r="H814" s="38" t="s">
        <v>9</v>
      </c>
      <c r="I814" s="38">
        <v>0</v>
      </c>
      <c r="J814" s="39">
        <v>0.86061253056696574</v>
      </c>
      <c r="K814" s="40">
        <f>ROUND(NORMINV(J814,IO!$B$10,IO!$B$11),0)</f>
        <v>108</v>
      </c>
      <c r="L814" s="40">
        <f>MIN(K814,IO!$B$4+IO!$B$8)</f>
        <v>102</v>
      </c>
      <c r="M814" s="40">
        <f>IF(L814-I814&gt;IO!$B$4,Model!L814-Model!I814-IO!$B$4,0)</f>
        <v>2</v>
      </c>
      <c r="N814" s="41">
        <f>IO!$B$5*Model!L814-IO!$B$6*Model!M814</f>
        <v>3880</v>
      </c>
    </row>
    <row r="815" spans="1:14" x14ac:dyDescent="0.35">
      <c r="A815" s="30">
        <v>814</v>
      </c>
      <c r="B815" s="31">
        <v>3</v>
      </c>
      <c r="C815" s="32">
        <f>(IO!$B$4+IO!$B$8)</f>
        <v>102</v>
      </c>
      <c r="D815" s="32">
        <f>IF(B815&gt;IO!$B$8,0,IO!$B$8-Model!B815)</f>
        <v>0</v>
      </c>
      <c r="E815" s="33">
        <f>IO!$B$5*C815-IO!$B$6*D815</f>
        <v>4080</v>
      </c>
      <c r="G815" s="47">
        <v>814</v>
      </c>
      <c r="H815" s="38" t="s">
        <v>7</v>
      </c>
      <c r="I815" s="38">
        <v>3</v>
      </c>
      <c r="J815" s="39">
        <v>0.93179889544945671</v>
      </c>
      <c r="K815" s="40">
        <f>ROUND(NORMINV(J815,IO!$B$10,IO!$B$11),0)</f>
        <v>110</v>
      </c>
      <c r="L815" s="40">
        <f>MIN(K815,IO!$B$4+IO!$B$8)</f>
        <v>102</v>
      </c>
      <c r="M815" s="40">
        <f>IF(L815-I815&gt;IO!$B$4,Model!L815-Model!I815-IO!$B$4,0)</f>
        <v>0</v>
      </c>
      <c r="N815" s="41">
        <f>IO!$B$5*Model!L815-IO!$B$6*Model!M815</f>
        <v>4080</v>
      </c>
    </row>
    <row r="816" spans="1:14" x14ac:dyDescent="0.35">
      <c r="A816" s="30">
        <v>815</v>
      </c>
      <c r="B816" s="31">
        <v>0</v>
      </c>
      <c r="C816" s="32">
        <f>(IO!$B$4+IO!$B$8)</f>
        <v>102</v>
      </c>
      <c r="D816" s="32">
        <f>IF(B816&gt;IO!$B$8,0,IO!$B$8-Model!B816)</f>
        <v>2</v>
      </c>
      <c r="E816" s="33">
        <f>IO!$B$5*C816-IO!$B$6*D816</f>
        <v>3880</v>
      </c>
      <c r="G816" s="47">
        <v>815</v>
      </c>
      <c r="H816" s="38" t="s">
        <v>8</v>
      </c>
      <c r="I816" s="38">
        <v>0</v>
      </c>
      <c r="J816" s="39">
        <v>0.44362853439732386</v>
      </c>
      <c r="K816" s="40">
        <f>ROUND(NORMINV(J816,IO!$B$10,IO!$B$11),0)</f>
        <v>102</v>
      </c>
      <c r="L816" s="40">
        <f>MIN(K816,IO!$B$4+IO!$B$8)</f>
        <v>102</v>
      </c>
      <c r="M816" s="40">
        <f>IF(L816-I816&gt;IO!$B$4,Model!L816-Model!I816-IO!$B$4,0)</f>
        <v>2</v>
      </c>
      <c r="N816" s="41">
        <f>IO!$B$5*Model!L816-IO!$B$6*Model!M816</f>
        <v>3880</v>
      </c>
    </row>
    <row r="817" spans="1:14" x14ac:dyDescent="0.35">
      <c r="A817" s="30">
        <v>816</v>
      </c>
      <c r="B817" s="31">
        <v>1</v>
      </c>
      <c r="C817" s="32">
        <f>(IO!$B$4+IO!$B$8)</f>
        <v>102</v>
      </c>
      <c r="D817" s="32">
        <f>IF(B817&gt;IO!$B$8,0,IO!$B$8-Model!B817)</f>
        <v>1</v>
      </c>
      <c r="E817" s="33">
        <f>IO!$B$5*C817-IO!$B$6*D817</f>
        <v>3980</v>
      </c>
      <c r="G817" s="47">
        <v>816</v>
      </c>
      <c r="H817" s="38" t="s">
        <v>9</v>
      </c>
      <c r="I817" s="38">
        <v>1</v>
      </c>
      <c r="J817" s="39">
        <v>7.3174307234218139E-2</v>
      </c>
      <c r="K817" s="40">
        <f>ROUND(NORMINV(J817,IO!$B$10,IO!$B$11),0)</f>
        <v>96</v>
      </c>
      <c r="L817" s="40">
        <f>MIN(K817,IO!$B$4+IO!$B$8)</f>
        <v>96</v>
      </c>
      <c r="M817" s="40">
        <f>IF(L817-I817&gt;IO!$B$4,Model!L817-Model!I817-IO!$B$4,0)</f>
        <v>0</v>
      </c>
      <c r="N817" s="41">
        <f>IO!$B$5*Model!L817-IO!$B$6*Model!M817</f>
        <v>3840</v>
      </c>
    </row>
    <row r="818" spans="1:14" x14ac:dyDescent="0.35">
      <c r="A818" s="30">
        <v>817</v>
      </c>
      <c r="B818" s="31">
        <v>3</v>
      </c>
      <c r="C818" s="32">
        <f>(IO!$B$4+IO!$B$8)</f>
        <v>102</v>
      </c>
      <c r="D818" s="32">
        <f>IF(B818&gt;IO!$B$8,0,IO!$B$8-Model!B818)</f>
        <v>0</v>
      </c>
      <c r="E818" s="33">
        <f>IO!$B$5*C818-IO!$B$6*D818</f>
        <v>4080</v>
      </c>
      <c r="G818" s="47">
        <v>817</v>
      </c>
      <c r="H818" s="38" t="s">
        <v>7</v>
      </c>
      <c r="I818" s="38">
        <v>3</v>
      </c>
      <c r="J818" s="39">
        <v>0.51746793195889884</v>
      </c>
      <c r="K818" s="40">
        <f>ROUND(NORMINV(J818,IO!$B$10,IO!$B$11),0)</f>
        <v>103</v>
      </c>
      <c r="L818" s="40">
        <f>MIN(K818,IO!$B$4+IO!$B$8)</f>
        <v>102</v>
      </c>
      <c r="M818" s="40">
        <f>IF(L818-I818&gt;IO!$B$4,Model!L818-Model!I818-IO!$B$4,0)</f>
        <v>0</v>
      </c>
      <c r="N818" s="41">
        <f>IO!$B$5*Model!L818-IO!$B$6*Model!M818</f>
        <v>4080</v>
      </c>
    </row>
    <row r="819" spans="1:14" x14ac:dyDescent="0.35">
      <c r="A819" s="30">
        <v>818</v>
      </c>
      <c r="B819" s="31">
        <v>1</v>
      </c>
      <c r="C819" s="32">
        <f>(IO!$B$4+IO!$B$8)</f>
        <v>102</v>
      </c>
      <c r="D819" s="32">
        <f>IF(B819&gt;IO!$B$8,0,IO!$B$8-Model!B819)</f>
        <v>1</v>
      </c>
      <c r="E819" s="33">
        <f>IO!$B$5*C819-IO!$B$6*D819</f>
        <v>3980</v>
      </c>
      <c r="G819" s="47">
        <v>818</v>
      </c>
      <c r="H819" s="38" t="s">
        <v>8</v>
      </c>
      <c r="I819" s="38">
        <v>1</v>
      </c>
      <c r="J819" s="39">
        <v>0.23591683923456142</v>
      </c>
      <c r="K819" s="40">
        <f>ROUND(NORMINV(J819,IO!$B$10,IO!$B$11),0)</f>
        <v>99</v>
      </c>
      <c r="L819" s="40">
        <f>MIN(K819,IO!$B$4+IO!$B$8)</f>
        <v>99</v>
      </c>
      <c r="M819" s="40">
        <f>IF(L819-I819&gt;IO!$B$4,Model!L819-Model!I819-IO!$B$4,0)</f>
        <v>0</v>
      </c>
      <c r="N819" s="41">
        <f>IO!$B$5*Model!L819-IO!$B$6*Model!M819</f>
        <v>3960</v>
      </c>
    </row>
    <row r="820" spans="1:14" x14ac:dyDescent="0.35">
      <c r="A820" s="30">
        <v>819</v>
      </c>
      <c r="B820" s="31">
        <v>0</v>
      </c>
      <c r="C820" s="32">
        <f>(IO!$B$4+IO!$B$8)</f>
        <v>102</v>
      </c>
      <c r="D820" s="32">
        <f>IF(B820&gt;IO!$B$8,0,IO!$B$8-Model!B820)</f>
        <v>2</v>
      </c>
      <c r="E820" s="33">
        <f>IO!$B$5*C820-IO!$B$6*D820</f>
        <v>3880</v>
      </c>
      <c r="G820" s="47">
        <v>819</v>
      </c>
      <c r="H820" s="38" t="s">
        <v>9</v>
      </c>
      <c r="I820" s="38">
        <v>0</v>
      </c>
      <c r="J820" s="39">
        <v>0.76188403165043228</v>
      </c>
      <c r="K820" s="40">
        <f>ROUND(NORMINV(J820,IO!$B$10,IO!$B$11),0)</f>
        <v>107</v>
      </c>
      <c r="L820" s="40">
        <f>MIN(K820,IO!$B$4+IO!$B$8)</f>
        <v>102</v>
      </c>
      <c r="M820" s="40">
        <f>IF(L820-I820&gt;IO!$B$4,Model!L820-Model!I820-IO!$B$4,0)</f>
        <v>2</v>
      </c>
      <c r="N820" s="41">
        <f>IO!$B$5*Model!L820-IO!$B$6*Model!M820</f>
        <v>3880</v>
      </c>
    </row>
    <row r="821" spans="1:14" x14ac:dyDescent="0.35">
      <c r="A821" s="30">
        <v>820</v>
      </c>
      <c r="B821" s="31">
        <v>5</v>
      </c>
      <c r="C821" s="32">
        <f>(IO!$B$4+IO!$B$8)</f>
        <v>102</v>
      </c>
      <c r="D821" s="32">
        <f>IF(B821&gt;IO!$B$8,0,IO!$B$8-Model!B821)</f>
        <v>0</v>
      </c>
      <c r="E821" s="33">
        <f>IO!$B$5*C821-IO!$B$6*D821</f>
        <v>4080</v>
      </c>
      <c r="G821" s="47">
        <v>820</v>
      </c>
      <c r="H821" s="38" t="s">
        <v>7</v>
      </c>
      <c r="I821" s="38">
        <v>5</v>
      </c>
      <c r="J821" s="39">
        <v>0.46878801848013507</v>
      </c>
      <c r="K821" s="40">
        <f>ROUND(NORMINV(J821,IO!$B$10,IO!$B$11),0)</f>
        <v>103</v>
      </c>
      <c r="L821" s="40">
        <f>MIN(K821,IO!$B$4+IO!$B$8)</f>
        <v>102</v>
      </c>
      <c r="M821" s="40">
        <f>IF(L821-I821&gt;IO!$B$4,Model!L821-Model!I821-IO!$B$4,0)</f>
        <v>0</v>
      </c>
      <c r="N821" s="41">
        <f>IO!$B$5*Model!L821-IO!$B$6*Model!M821</f>
        <v>4080</v>
      </c>
    </row>
    <row r="822" spans="1:14" x14ac:dyDescent="0.35">
      <c r="A822" s="30">
        <v>821</v>
      </c>
      <c r="B822" s="31">
        <v>5</v>
      </c>
      <c r="C822" s="32">
        <f>(IO!$B$4+IO!$B$8)</f>
        <v>102</v>
      </c>
      <c r="D822" s="32">
        <f>IF(B822&gt;IO!$B$8,0,IO!$B$8-Model!B822)</f>
        <v>0</v>
      </c>
      <c r="E822" s="33">
        <f>IO!$B$5*C822-IO!$B$6*D822</f>
        <v>4080</v>
      </c>
      <c r="G822" s="47">
        <v>821</v>
      </c>
      <c r="H822" s="38" t="s">
        <v>8</v>
      </c>
      <c r="I822" s="38">
        <v>5</v>
      </c>
      <c r="J822" s="39">
        <v>0.26384132364607027</v>
      </c>
      <c r="K822" s="40">
        <f>ROUND(NORMINV(J822,IO!$B$10,IO!$B$11),0)</f>
        <v>100</v>
      </c>
      <c r="L822" s="40">
        <f>MIN(K822,IO!$B$4+IO!$B$8)</f>
        <v>100</v>
      </c>
      <c r="M822" s="40">
        <f>IF(L822-I822&gt;IO!$B$4,Model!L822-Model!I822-IO!$B$4,0)</f>
        <v>0</v>
      </c>
      <c r="N822" s="41">
        <f>IO!$B$5*Model!L822-IO!$B$6*Model!M822</f>
        <v>4000</v>
      </c>
    </row>
    <row r="823" spans="1:14" x14ac:dyDescent="0.35">
      <c r="A823" s="30">
        <v>822</v>
      </c>
      <c r="B823" s="31">
        <v>0</v>
      </c>
      <c r="C823" s="32">
        <f>(IO!$B$4+IO!$B$8)</f>
        <v>102</v>
      </c>
      <c r="D823" s="32">
        <f>IF(B823&gt;IO!$B$8,0,IO!$B$8-Model!B823)</f>
        <v>2</v>
      </c>
      <c r="E823" s="33">
        <f>IO!$B$5*C823-IO!$B$6*D823</f>
        <v>3880</v>
      </c>
      <c r="G823" s="47">
        <v>822</v>
      </c>
      <c r="H823" s="38" t="s">
        <v>9</v>
      </c>
      <c r="I823" s="38">
        <v>0</v>
      </c>
      <c r="J823" s="39">
        <v>0.4800129646440755</v>
      </c>
      <c r="K823" s="40">
        <f>ROUND(NORMINV(J823,IO!$B$10,IO!$B$11),0)</f>
        <v>103</v>
      </c>
      <c r="L823" s="40">
        <f>MIN(K823,IO!$B$4+IO!$B$8)</f>
        <v>102</v>
      </c>
      <c r="M823" s="40">
        <f>IF(L823-I823&gt;IO!$B$4,Model!L823-Model!I823-IO!$B$4,0)</f>
        <v>2</v>
      </c>
      <c r="N823" s="41">
        <f>IO!$B$5*Model!L823-IO!$B$6*Model!M823</f>
        <v>3880</v>
      </c>
    </row>
    <row r="824" spans="1:14" x14ac:dyDescent="0.35">
      <c r="A824" s="30">
        <v>823</v>
      </c>
      <c r="B824" s="31">
        <v>4</v>
      </c>
      <c r="C824" s="32">
        <f>(IO!$B$4+IO!$B$8)</f>
        <v>102</v>
      </c>
      <c r="D824" s="32">
        <f>IF(B824&gt;IO!$B$8,0,IO!$B$8-Model!B824)</f>
        <v>0</v>
      </c>
      <c r="E824" s="33">
        <f>IO!$B$5*C824-IO!$B$6*D824</f>
        <v>4080</v>
      </c>
      <c r="G824" s="47">
        <v>823</v>
      </c>
      <c r="H824" s="38" t="s">
        <v>7</v>
      </c>
      <c r="I824" s="38">
        <v>4</v>
      </c>
      <c r="J824" s="39">
        <v>0.41292771961243002</v>
      </c>
      <c r="K824" s="40">
        <f>ROUND(NORMINV(J824,IO!$B$10,IO!$B$11),0)</f>
        <v>102</v>
      </c>
      <c r="L824" s="40">
        <f>MIN(K824,IO!$B$4+IO!$B$8)</f>
        <v>102</v>
      </c>
      <c r="M824" s="40">
        <f>IF(L824-I824&gt;IO!$B$4,Model!L824-Model!I824-IO!$B$4,0)</f>
        <v>0</v>
      </c>
      <c r="N824" s="41">
        <f>IO!$B$5*Model!L824-IO!$B$6*Model!M824</f>
        <v>4080</v>
      </c>
    </row>
    <row r="825" spans="1:14" x14ac:dyDescent="0.35">
      <c r="A825" s="30">
        <v>824</v>
      </c>
      <c r="B825" s="31">
        <v>3</v>
      </c>
      <c r="C825" s="32">
        <f>(IO!$B$4+IO!$B$8)</f>
        <v>102</v>
      </c>
      <c r="D825" s="32">
        <f>IF(B825&gt;IO!$B$8,0,IO!$B$8-Model!B825)</f>
        <v>0</v>
      </c>
      <c r="E825" s="33">
        <f>IO!$B$5*C825-IO!$B$6*D825</f>
        <v>4080</v>
      </c>
      <c r="G825" s="47">
        <v>824</v>
      </c>
      <c r="H825" s="38" t="s">
        <v>8</v>
      </c>
      <c r="I825" s="38">
        <v>3</v>
      </c>
      <c r="J825" s="39">
        <v>0.62061483755219238</v>
      </c>
      <c r="K825" s="40">
        <f>ROUND(NORMINV(J825,IO!$B$10,IO!$B$11),0)</f>
        <v>105</v>
      </c>
      <c r="L825" s="40">
        <f>MIN(K825,IO!$B$4+IO!$B$8)</f>
        <v>102</v>
      </c>
      <c r="M825" s="40">
        <f>IF(L825-I825&gt;IO!$B$4,Model!L825-Model!I825-IO!$B$4,0)</f>
        <v>0</v>
      </c>
      <c r="N825" s="41">
        <f>IO!$B$5*Model!L825-IO!$B$6*Model!M825</f>
        <v>4080</v>
      </c>
    </row>
    <row r="826" spans="1:14" x14ac:dyDescent="0.35">
      <c r="A826" s="30">
        <v>825</v>
      </c>
      <c r="B826" s="31">
        <v>0</v>
      </c>
      <c r="C826" s="32">
        <f>(IO!$B$4+IO!$B$8)</f>
        <v>102</v>
      </c>
      <c r="D826" s="32">
        <f>IF(B826&gt;IO!$B$8,0,IO!$B$8-Model!B826)</f>
        <v>2</v>
      </c>
      <c r="E826" s="33">
        <f>IO!$B$5*C826-IO!$B$6*D826</f>
        <v>3880</v>
      </c>
      <c r="G826" s="47">
        <v>825</v>
      </c>
      <c r="H826" s="38" t="s">
        <v>9</v>
      </c>
      <c r="I826" s="38">
        <v>0</v>
      </c>
      <c r="J826" s="39">
        <v>0.69246910067104328</v>
      </c>
      <c r="K826" s="40">
        <f>ROUND(NORMINV(J826,IO!$B$10,IO!$B$11),0)</f>
        <v>106</v>
      </c>
      <c r="L826" s="40">
        <f>MIN(K826,IO!$B$4+IO!$B$8)</f>
        <v>102</v>
      </c>
      <c r="M826" s="40">
        <f>IF(L826-I826&gt;IO!$B$4,Model!L826-Model!I826-IO!$B$4,0)</f>
        <v>2</v>
      </c>
      <c r="N826" s="41">
        <f>IO!$B$5*Model!L826-IO!$B$6*Model!M826</f>
        <v>3880</v>
      </c>
    </row>
    <row r="827" spans="1:14" x14ac:dyDescent="0.35">
      <c r="A827" s="30">
        <v>826</v>
      </c>
      <c r="B827" s="31">
        <v>3</v>
      </c>
      <c r="C827" s="32">
        <f>(IO!$B$4+IO!$B$8)</f>
        <v>102</v>
      </c>
      <c r="D827" s="32">
        <f>IF(B827&gt;IO!$B$8,0,IO!$B$8-Model!B827)</f>
        <v>0</v>
      </c>
      <c r="E827" s="33">
        <f>IO!$B$5*C827-IO!$B$6*D827</f>
        <v>4080</v>
      </c>
      <c r="G827" s="47">
        <v>826</v>
      </c>
      <c r="H827" s="38" t="s">
        <v>7</v>
      </c>
      <c r="I827" s="38">
        <v>3</v>
      </c>
      <c r="J827" s="39">
        <v>0.62164828870678979</v>
      </c>
      <c r="K827" s="40">
        <f>ROUND(NORMINV(J827,IO!$B$10,IO!$B$11),0)</f>
        <v>105</v>
      </c>
      <c r="L827" s="40">
        <f>MIN(K827,IO!$B$4+IO!$B$8)</f>
        <v>102</v>
      </c>
      <c r="M827" s="40">
        <f>IF(L827-I827&gt;IO!$B$4,Model!L827-Model!I827-IO!$B$4,0)</f>
        <v>0</v>
      </c>
      <c r="N827" s="41">
        <f>IO!$B$5*Model!L827-IO!$B$6*Model!M827</f>
        <v>4080</v>
      </c>
    </row>
    <row r="828" spans="1:14" x14ac:dyDescent="0.35">
      <c r="A828" s="30">
        <v>827</v>
      </c>
      <c r="B828" s="31">
        <v>3</v>
      </c>
      <c r="C828" s="32">
        <f>(IO!$B$4+IO!$B$8)</f>
        <v>102</v>
      </c>
      <c r="D828" s="32">
        <f>IF(B828&gt;IO!$B$8,0,IO!$B$8-Model!B828)</f>
        <v>0</v>
      </c>
      <c r="E828" s="33">
        <f>IO!$B$5*C828-IO!$B$6*D828</f>
        <v>4080</v>
      </c>
      <c r="G828" s="47">
        <v>827</v>
      </c>
      <c r="H828" s="38" t="s">
        <v>8</v>
      </c>
      <c r="I828" s="38">
        <v>3</v>
      </c>
      <c r="J828" s="39">
        <v>0.61306484067398304</v>
      </c>
      <c r="K828" s="40">
        <f>ROUND(NORMINV(J828,IO!$B$10,IO!$B$11),0)</f>
        <v>104</v>
      </c>
      <c r="L828" s="40">
        <f>MIN(K828,IO!$B$4+IO!$B$8)</f>
        <v>102</v>
      </c>
      <c r="M828" s="40">
        <f>IF(L828-I828&gt;IO!$B$4,Model!L828-Model!I828-IO!$B$4,0)</f>
        <v>0</v>
      </c>
      <c r="N828" s="41">
        <f>IO!$B$5*Model!L828-IO!$B$6*Model!M828</f>
        <v>4080</v>
      </c>
    </row>
    <row r="829" spans="1:14" x14ac:dyDescent="0.35">
      <c r="A829" s="30">
        <v>828</v>
      </c>
      <c r="B829" s="31">
        <v>1</v>
      </c>
      <c r="C829" s="32">
        <f>(IO!$B$4+IO!$B$8)</f>
        <v>102</v>
      </c>
      <c r="D829" s="32">
        <f>IF(B829&gt;IO!$B$8,0,IO!$B$8-Model!B829)</f>
        <v>1</v>
      </c>
      <c r="E829" s="33">
        <f>IO!$B$5*C829-IO!$B$6*D829</f>
        <v>3980</v>
      </c>
      <c r="G829" s="47">
        <v>828</v>
      </c>
      <c r="H829" s="38" t="s">
        <v>9</v>
      </c>
      <c r="I829" s="38">
        <v>1</v>
      </c>
      <c r="J829" s="39">
        <v>0.33260510660760345</v>
      </c>
      <c r="K829" s="40">
        <f>ROUND(NORMINV(J829,IO!$B$10,IO!$B$11),0)</f>
        <v>101</v>
      </c>
      <c r="L829" s="40">
        <f>MIN(K829,IO!$B$4+IO!$B$8)</f>
        <v>101</v>
      </c>
      <c r="M829" s="40">
        <f>IF(L829-I829&gt;IO!$B$4,Model!L829-Model!I829-IO!$B$4,0)</f>
        <v>0</v>
      </c>
      <c r="N829" s="41">
        <f>IO!$B$5*Model!L829-IO!$B$6*Model!M829</f>
        <v>4040</v>
      </c>
    </row>
    <row r="830" spans="1:14" x14ac:dyDescent="0.35">
      <c r="A830" s="30">
        <v>829</v>
      </c>
      <c r="B830" s="31">
        <v>1</v>
      </c>
      <c r="C830" s="32">
        <f>(IO!$B$4+IO!$B$8)</f>
        <v>102</v>
      </c>
      <c r="D830" s="32">
        <f>IF(B830&gt;IO!$B$8,0,IO!$B$8-Model!B830)</f>
        <v>1</v>
      </c>
      <c r="E830" s="33">
        <f>IO!$B$5*C830-IO!$B$6*D830</f>
        <v>3980</v>
      </c>
      <c r="G830" s="47">
        <v>829</v>
      </c>
      <c r="H830" s="38" t="s">
        <v>7</v>
      </c>
      <c r="I830" s="38">
        <v>1</v>
      </c>
      <c r="J830" s="39">
        <v>0.47363101338370872</v>
      </c>
      <c r="K830" s="40">
        <f>ROUND(NORMINV(J830,IO!$B$10,IO!$B$11),0)</f>
        <v>103</v>
      </c>
      <c r="L830" s="40">
        <f>MIN(K830,IO!$B$4+IO!$B$8)</f>
        <v>102</v>
      </c>
      <c r="M830" s="40">
        <f>IF(L830-I830&gt;IO!$B$4,Model!L830-Model!I830-IO!$B$4,0)</f>
        <v>1</v>
      </c>
      <c r="N830" s="41">
        <f>IO!$B$5*Model!L830-IO!$B$6*Model!M830</f>
        <v>3980</v>
      </c>
    </row>
    <row r="831" spans="1:14" x14ac:dyDescent="0.35">
      <c r="A831" s="30">
        <v>830</v>
      </c>
      <c r="B831" s="31">
        <v>4</v>
      </c>
      <c r="C831" s="32">
        <f>(IO!$B$4+IO!$B$8)</f>
        <v>102</v>
      </c>
      <c r="D831" s="32">
        <f>IF(B831&gt;IO!$B$8,0,IO!$B$8-Model!B831)</f>
        <v>0</v>
      </c>
      <c r="E831" s="33">
        <f>IO!$B$5*C831-IO!$B$6*D831</f>
        <v>4080</v>
      </c>
      <c r="G831" s="47">
        <v>830</v>
      </c>
      <c r="H831" s="38" t="s">
        <v>8</v>
      </c>
      <c r="I831" s="38">
        <v>4</v>
      </c>
      <c r="J831" s="39">
        <v>0.76687956935510826</v>
      </c>
      <c r="K831" s="40">
        <f>ROUND(NORMINV(J831,IO!$B$10,IO!$B$11),0)</f>
        <v>107</v>
      </c>
      <c r="L831" s="40">
        <f>MIN(K831,IO!$B$4+IO!$B$8)</f>
        <v>102</v>
      </c>
      <c r="M831" s="40">
        <f>IF(L831-I831&gt;IO!$B$4,Model!L831-Model!I831-IO!$B$4,0)</f>
        <v>0</v>
      </c>
      <c r="N831" s="41">
        <f>IO!$B$5*Model!L831-IO!$B$6*Model!M831</f>
        <v>4080</v>
      </c>
    </row>
    <row r="832" spans="1:14" x14ac:dyDescent="0.35">
      <c r="A832" s="30">
        <v>831</v>
      </c>
      <c r="B832" s="31">
        <v>2</v>
      </c>
      <c r="C832" s="32">
        <f>(IO!$B$4+IO!$B$8)</f>
        <v>102</v>
      </c>
      <c r="D832" s="32">
        <f>IF(B832&gt;IO!$B$8,0,IO!$B$8-Model!B832)</f>
        <v>0</v>
      </c>
      <c r="E832" s="33">
        <f>IO!$B$5*C832-IO!$B$6*D832</f>
        <v>4080</v>
      </c>
      <c r="G832" s="47">
        <v>831</v>
      </c>
      <c r="H832" s="38" t="s">
        <v>9</v>
      </c>
      <c r="I832" s="38">
        <v>2</v>
      </c>
      <c r="J832" s="39">
        <v>7.2342024480825939E-2</v>
      </c>
      <c r="K832" s="40">
        <f>ROUND(NORMINV(J832,IO!$B$10,IO!$B$11),0)</f>
        <v>96</v>
      </c>
      <c r="L832" s="40">
        <f>MIN(K832,IO!$B$4+IO!$B$8)</f>
        <v>96</v>
      </c>
      <c r="M832" s="40">
        <f>IF(L832-I832&gt;IO!$B$4,Model!L832-Model!I832-IO!$B$4,0)</f>
        <v>0</v>
      </c>
      <c r="N832" s="41">
        <f>IO!$B$5*Model!L832-IO!$B$6*Model!M832</f>
        <v>3840</v>
      </c>
    </row>
    <row r="833" spans="1:14" x14ac:dyDescent="0.35">
      <c r="A833" s="30">
        <v>832</v>
      </c>
      <c r="B833" s="31">
        <v>4</v>
      </c>
      <c r="C833" s="32">
        <f>(IO!$B$4+IO!$B$8)</f>
        <v>102</v>
      </c>
      <c r="D833" s="32">
        <f>IF(B833&gt;IO!$B$8,0,IO!$B$8-Model!B833)</f>
        <v>0</v>
      </c>
      <c r="E833" s="33">
        <f>IO!$B$5*C833-IO!$B$6*D833</f>
        <v>4080</v>
      </c>
      <c r="G833" s="47">
        <v>832</v>
      </c>
      <c r="H833" s="38" t="s">
        <v>7</v>
      </c>
      <c r="I833" s="38">
        <v>4</v>
      </c>
      <c r="J833" s="39">
        <v>0.49973601408294044</v>
      </c>
      <c r="K833" s="40">
        <f>ROUND(NORMINV(J833,IO!$B$10,IO!$B$11),0)</f>
        <v>103</v>
      </c>
      <c r="L833" s="40">
        <f>MIN(K833,IO!$B$4+IO!$B$8)</f>
        <v>102</v>
      </c>
      <c r="M833" s="40">
        <f>IF(L833-I833&gt;IO!$B$4,Model!L833-Model!I833-IO!$B$4,0)</f>
        <v>0</v>
      </c>
      <c r="N833" s="41">
        <f>IO!$B$5*Model!L833-IO!$B$6*Model!M833</f>
        <v>4080</v>
      </c>
    </row>
    <row r="834" spans="1:14" x14ac:dyDescent="0.35">
      <c r="A834" s="30">
        <v>833</v>
      </c>
      <c r="B834" s="31">
        <v>1</v>
      </c>
      <c r="C834" s="32">
        <f>(IO!$B$4+IO!$B$8)</f>
        <v>102</v>
      </c>
      <c r="D834" s="32">
        <f>IF(B834&gt;IO!$B$8,0,IO!$B$8-Model!B834)</f>
        <v>1</v>
      </c>
      <c r="E834" s="33">
        <f>IO!$B$5*C834-IO!$B$6*D834</f>
        <v>3980</v>
      </c>
      <c r="G834" s="47">
        <v>833</v>
      </c>
      <c r="H834" s="38" t="s">
        <v>8</v>
      </c>
      <c r="I834" s="38">
        <v>1</v>
      </c>
      <c r="J834" s="39">
        <v>0.70041627515044846</v>
      </c>
      <c r="K834" s="40">
        <f>ROUND(NORMINV(J834,IO!$B$10,IO!$B$11),0)</f>
        <v>106</v>
      </c>
      <c r="L834" s="40">
        <f>MIN(K834,IO!$B$4+IO!$B$8)</f>
        <v>102</v>
      </c>
      <c r="M834" s="40">
        <f>IF(L834-I834&gt;IO!$B$4,Model!L834-Model!I834-IO!$B$4,0)</f>
        <v>1</v>
      </c>
      <c r="N834" s="41">
        <f>IO!$B$5*Model!L834-IO!$B$6*Model!M834</f>
        <v>3980</v>
      </c>
    </row>
    <row r="835" spans="1:14" x14ac:dyDescent="0.35">
      <c r="A835" s="30">
        <v>834</v>
      </c>
      <c r="B835" s="31">
        <v>0</v>
      </c>
      <c r="C835" s="32">
        <f>(IO!$B$4+IO!$B$8)</f>
        <v>102</v>
      </c>
      <c r="D835" s="32">
        <f>IF(B835&gt;IO!$B$8,0,IO!$B$8-Model!B835)</f>
        <v>2</v>
      </c>
      <c r="E835" s="33">
        <f>IO!$B$5*C835-IO!$B$6*D835</f>
        <v>3880</v>
      </c>
      <c r="G835" s="47">
        <v>834</v>
      </c>
      <c r="H835" s="38" t="s">
        <v>9</v>
      </c>
      <c r="I835" s="38">
        <v>0</v>
      </c>
      <c r="J835" s="39">
        <v>0.5299994644079733</v>
      </c>
      <c r="K835" s="40">
        <f>ROUND(NORMINV(J835,IO!$B$10,IO!$B$11),0)</f>
        <v>103</v>
      </c>
      <c r="L835" s="40">
        <f>MIN(K835,IO!$B$4+IO!$B$8)</f>
        <v>102</v>
      </c>
      <c r="M835" s="40">
        <f>IF(L835-I835&gt;IO!$B$4,Model!L835-Model!I835-IO!$B$4,0)</f>
        <v>2</v>
      </c>
      <c r="N835" s="41">
        <f>IO!$B$5*Model!L835-IO!$B$6*Model!M835</f>
        <v>3880</v>
      </c>
    </row>
    <row r="836" spans="1:14" x14ac:dyDescent="0.35">
      <c r="A836" s="30">
        <v>835</v>
      </c>
      <c r="B836" s="31">
        <v>4</v>
      </c>
      <c r="C836" s="32">
        <f>(IO!$B$4+IO!$B$8)</f>
        <v>102</v>
      </c>
      <c r="D836" s="32">
        <f>IF(B836&gt;IO!$B$8,0,IO!$B$8-Model!B836)</f>
        <v>0</v>
      </c>
      <c r="E836" s="33">
        <f>IO!$B$5*C836-IO!$B$6*D836</f>
        <v>4080</v>
      </c>
      <c r="G836" s="47">
        <v>835</v>
      </c>
      <c r="H836" s="38" t="s">
        <v>7</v>
      </c>
      <c r="I836" s="38">
        <v>4</v>
      </c>
      <c r="J836" s="39">
        <v>2.765238686020266E-2</v>
      </c>
      <c r="K836" s="40">
        <f>ROUND(NORMINV(J836,IO!$B$10,IO!$B$11),0)</f>
        <v>93</v>
      </c>
      <c r="L836" s="40">
        <f>MIN(K836,IO!$B$4+IO!$B$8)</f>
        <v>93</v>
      </c>
      <c r="M836" s="40">
        <f>IF(L836-I836&gt;IO!$B$4,Model!L836-Model!I836-IO!$B$4,0)</f>
        <v>0</v>
      </c>
      <c r="N836" s="41">
        <f>IO!$B$5*Model!L836-IO!$B$6*Model!M836</f>
        <v>3720</v>
      </c>
    </row>
    <row r="837" spans="1:14" x14ac:dyDescent="0.35">
      <c r="A837" s="30">
        <v>836</v>
      </c>
      <c r="B837" s="31">
        <v>1</v>
      </c>
      <c r="C837" s="32">
        <f>(IO!$B$4+IO!$B$8)</f>
        <v>102</v>
      </c>
      <c r="D837" s="32">
        <f>IF(B837&gt;IO!$B$8,0,IO!$B$8-Model!B837)</f>
        <v>1</v>
      </c>
      <c r="E837" s="33">
        <f>IO!$B$5*C837-IO!$B$6*D837</f>
        <v>3980</v>
      </c>
      <c r="G837" s="47">
        <v>836</v>
      </c>
      <c r="H837" s="38" t="s">
        <v>8</v>
      </c>
      <c r="I837" s="38">
        <v>1</v>
      </c>
      <c r="J837" s="39">
        <v>0.34657557942931316</v>
      </c>
      <c r="K837" s="40">
        <f>ROUND(NORMINV(J837,IO!$B$10,IO!$B$11),0)</f>
        <v>101</v>
      </c>
      <c r="L837" s="40">
        <f>MIN(K837,IO!$B$4+IO!$B$8)</f>
        <v>101</v>
      </c>
      <c r="M837" s="40">
        <f>IF(L837-I837&gt;IO!$B$4,Model!L837-Model!I837-IO!$B$4,0)</f>
        <v>0</v>
      </c>
      <c r="N837" s="41">
        <f>IO!$B$5*Model!L837-IO!$B$6*Model!M837</f>
        <v>4040</v>
      </c>
    </row>
    <row r="838" spans="1:14" x14ac:dyDescent="0.35">
      <c r="A838" s="30">
        <v>837</v>
      </c>
      <c r="B838" s="31">
        <v>1</v>
      </c>
      <c r="C838" s="32">
        <f>(IO!$B$4+IO!$B$8)</f>
        <v>102</v>
      </c>
      <c r="D838" s="32">
        <f>IF(B838&gt;IO!$B$8,0,IO!$B$8-Model!B838)</f>
        <v>1</v>
      </c>
      <c r="E838" s="33">
        <f>IO!$B$5*C838-IO!$B$6*D838</f>
        <v>3980</v>
      </c>
      <c r="G838" s="47">
        <v>837</v>
      </c>
      <c r="H838" s="38" t="s">
        <v>9</v>
      </c>
      <c r="I838" s="38">
        <v>1</v>
      </c>
      <c r="J838" s="39">
        <v>0.67691210813754132</v>
      </c>
      <c r="K838" s="40">
        <f>ROUND(NORMINV(J838,IO!$B$10,IO!$B$11),0)</f>
        <v>105</v>
      </c>
      <c r="L838" s="40">
        <f>MIN(K838,IO!$B$4+IO!$B$8)</f>
        <v>102</v>
      </c>
      <c r="M838" s="40">
        <f>IF(L838-I838&gt;IO!$B$4,Model!L838-Model!I838-IO!$B$4,0)</f>
        <v>1</v>
      </c>
      <c r="N838" s="41">
        <f>IO!$B$5*Model!L838-IO!$B$6*Model!M838</f>
        <v>3980</v>
      </c>
    </row>
    <row r="839" spans="1:14" x14ac:dyDescent="0.35">
      <c r="A839" s="30">
        <v>838</v>
      </c>
      <c r="B839" s="31">
        <v>5</v>
      </c>
      <c r="C839" s="32">
        <f>(IO!$B$4+IO!$B$8)</f>
        <v>102</v>
      </c>
      <c r="D839" s="32">
        <f>IF(B839&gt;IO!$B$8,0,IO!$B$8-Model!B839)</f>
        <v>0</v>
      </c>
      <c r="E839" s="33">
        <f>IO!$B$5*C839-IO!$B$6*D839</f>
        <v>4080</v>
      </c>
      <c r="G839" s="47">
        <v>838</v>
      </c>
      <c r="H839" s="38" t="s">
        <v>7</v>
      </c>
      <c r="I839" s="38">
        <v>5</v>
      </c>
      <c r="J839" s="39">
        <v>0.19540187772916662</v>
      </c>
      <c r="K839" s="40">
        <f>ROUND(NORMINV(J839,IO!$B$10,IO!$B$11),0)</f>
        <v>99</v>
      </c>
      <c r="L839" s="40">
        <f>MIN(K839,IO!$B$4+IO!$B$8)</f>
        <v>99</v>
      </c>
      <c r="M839" s="40">
        <f>IF(L839-I839&gt;IO!$B$4,Model!L839-Model!I839-IO!$B$4,0)</f>
        <v>0</v>
      </c>
      <c r="N839" s="41">
        <f>IO!$B$5*Model!L839-IO!$B$6*Model!M839</f>
        <v>3960</v>
      </c>
    </row>
    <row r="840" spans="1:14" x14ac:dyDescent="0.35">
      <c r="A840" s="30">
        <v>839</v>
      </c>
      <c r="B840" s="31">
        <v>3</v>
      </c>
      <c r="C840" s="32">
        <f>(IO!$B$4+IO!$B$8)</f>
        <v>102</v>
      </c>
      <c r="D840" s="32">
        <f>IF(B840&gt;IO!$B$8,0,IO!$B$8-Model!B840)</f>
        <v>0</v>
      </c>
      <c r="E840" s="33">
        <f>IO!$B$5*C840-IO!$B$6*D840</f>
        <v>4080</v>
      </c>
      <c r="G840" s="47">
        <v>839</v>
      </c>
      <c r="H840" s="38" t="s">
        <v>8</v>
      </c>
      <c r="I840" s="38">
        <v>3</v>
      </c>
      <c r="J840" s="39">
        <v>0.15985884934079264</v>
      </c>
      <c r="K840" s="40">
        <f>ROUND(NORMINV(J840,IO!$B$10,IO!$B$11),0)</f>
        <v>98</v>
      </c>
      <c r="L840" s="40">
        <f>MIN(K840,IO!$B$4+IO!$B$8)</f>
        <v>98</v>
      </c>
      <c r="M840" s="40">
        <f>IF(L840-I840&gt;IO!$B$4,Model!L840-Model!I840-IO!$B$4,0)</f>
        <v>0</v>
      </c>
      <c r="N840" s="41">
        <f>IO!$B$5*Model!L840-IO!$B$6*Model!M840</f>
        <v>3920</v>
      </c>
    </row>
    <row r="841" spans="1:14" x14ac:dyDescent="0.35">
      <c r="A841" s="30">
        <v>840</v>
      </c>
      <c r="B841" s="31">
        <v>0</v>
      </c>
      <c r="C841" s="32">
        <f>(IO!$B$4+IO!$B$8)</f>
        <v>102</v>
      </c>
      <c r="D841" s="32">
        <f>IF(B841&gt;IO!$B$8,0,IO!$B$8-Model!B841)</f>
        <v>2</v>
      </c>
      <c r="E841" s="33">
        <f>IO!$B$5*C841-IO!$B$6*D841</f>
        <v>3880</v>
      </c>
      <c r="G841" s="47">
        <v>840</v>
      </c>
      <c r="H841" s="38" t="s">
        <v>9</v>
      </c>
      <c r="I841" s="38">
        <v>0</v>
      </c>
      <c r="J841" s="39">
        <v>0.38997408644183906</v>
      </c>
      <c r="K841" s="40">
        <f>ROUND(NORMINV(J841,IO!$B$10,IO!$B$11),0)</f>
        <v>102</v>
      </c>
      <c r="L841" s="40">
        <f>MIN(K841,IO!$B$4+IO!$B$8)</f>
        <v>102</v>
      </c>
      <c r="M841" s="40">
        <f>IF(L841-I841&gt;IO!$B$4,Model!L841-Model!I841-IO!$B$4,0)</f>
        <v>2</v>
      </c>
      <c r="N841" s="41">
        <f>IO!$B$5*Model!L841-IO!$B$6*Model!M841</f>
        <v>3880</v>
      </c>
    </row>
    <row r="842" spans="1:14" x14ac:dyDescent="0.35">
      <c r="A842" s="30">
        <v>841</v>
      </c>
      <c r="B842" s="31">
        <v>4</v>
      </c>
      <c r="C842" s="32">
        <f>(IO!$B$4+IO!$B$8)</f>
        <v>102</v>
      </c>
      <c r="D842" s="32">
        <f>IF(B842&gt;IO!$B$8,0,IO!$B$8-Model!B842)</f>
        <v>0</v>
      </c>
      <c r="E842" s="33">
        <f>IO!$B$5*C842-IO!$B$6*D842</f>
        <v>4080</v>
      </c>
      <c r="G842" s="47">
        <v>841</v>
      </c>
      <c r="H842" s="38" t="s">
        <v>7</v>
      </c>
      <c r="I842" s="38">
        <v>4</v>
      </c>
      <c r="J842" s="39">
        <v>0.46055151542877015</v>
      </c>
      <c r="K842" s="40">
        <f>ROUND(NORMINV(J842,IO!$B$10,IO!$B$11),0)</f>
        <v>103</v>
      </c>
      <c r="L842" s="40">
        <f>MIN(K842,IO!$B$4+IO!$B$8)</f>
        <v>102</v>
      </c>
      <c r="M842" s="40">
        <f>IF(L842-I842&gt;IO!$B$4,Model!L842-Model!I842-IO!$B$4,0)</f>
        <v>0</v>
      </c>
      <c r="N842" s="41">
        <f>IO!$B$5*Model!L842-IO!$B$6*Model!M842</f>
        <v>4080</v>
      </c>
    </row>
    <row r="843" spans="1:14" x14ac:dyDescent="0.35">
      <c r="A843" s="30">
        <v>842</v>
      </c>
      <c r="B843" s="31">
        <v>4</v>
      </c>
      <c r="C843" s="32">
        <f>(IO!$B$4+IO!$B$8)</f>
        <v>102</v>
      </c>
      <c r="D843" s="32">
        <f>IF(B843&gt;IO!$B$8,0,IO!$B$8-Model!B843)</f>
        <v>0</v>
      </c>
      <c r="E843" s="33">
        <f>IO!$B$5*C843-IO!$B$6*D843</f>
        <v>4080</v>
      </c>
      <c r="G843" s="47">
        <v>842</v>
      </c>
      <c r="H843" s="38" t="s">
        <v>8</v>
      </c>
      <c r="I843" s="38">
        <v>4</v>
      </c>
      <c r="J843" s="39">
        <v>0.73554298430039955</v>
      </c>
      <c r="K843" s="40">
        <f>ROUND(NORMINV(J843,IO!$B$10,IO!$B$11),0)</f>
        <v>106</v>
      </c>
      <c r="L843" s="40">
        <f>MIN(K843,IO!$B$4+IO!$B$8)</f>
        <v>102</v>
      </c>
      <c r="M843" s="40">
        <f>IF(L843-I843&gt;IO!$B$4,Model!L843-Model!I843-IO!$B$4,0)</f>
        <v>0</v>
      </c>
      <c r="N843" s="41">
        <f>IO!$B$5*Model!L843-IO!$B$6*Model!M843</f>
        <v>4080</v>
      </c>
    </row>
    <row r="844" spans="1:14" x14ac:dyDescent="0.35">
      <c r="A844" s="30">
        <v>843</v>
      </c>
      <c r="B844" s="31">
        <v>1</v>
      </c>
      <c r="C844" s="32">
        <f>(IO!$B$4+IO!$B$8)</f>
        <v>102</v>
      </c>
      <c r="D844" s="32">
        <f>IF(B844&gt;IO!$B$8,0,IO!$B$8-Model!B844)</f>
        <v>1</v>
      </c>
      <c r="E844" s="33">
        <f>IO!$B$5*C844-IO!$B$6*D844</f>
        <v>3980</v>
      </c>
      <c r="G844" s="47">
        <v>843</v>
      </c>
      <c r="H844" s="38" t="s">
        <v>9</v>
      </c>
      <c r="I844" s="38">
        <v>1</v>
      </c>
      <c r="J844" s="39">
        <v>0.4088984919858123</v>
      </c>
      <c r="K844" s="40">
        <f>ROUND(NORMINV(J844,IO!$B$10,IO!$B$11),0)</f>
        <v>102</v>
      </c>
      <c r="L844" s="40">
        <f>MIN(K844,IO!$B$4+IO!$B$8)</f>
        <v>102</v>
      </c>
      <c r="M844" s="40">
        <f>IF(L844-I844&gt;IO!$B$4,Model!L844-Model!I844-IO!$B$4,0)</f>
        <v>1</v>
      </c>
      <c r="N844" s="41">
        <f>IO!$B$5*Model!L844-IO!$B$6*Model!M844</f>
        <v>3980</v>
      </c>
    </row>
    <row r="845" spans="1:14" x14ac:dyDescent="0.35">
      <c r="A845" s="30">
        <v>844</v>
      </c>
      <c r="B845" s="31">
        <v>2</v>
      </c>
      <c r="C845" s="32">
        <f>(IO!$B$4+IO!$B$8)</f>
        <v>102</v>
      </c>
      <c r="D845" s="32">
        <f>IF(B845&gt;IO!$B$8,0,IO!$B$8-Model!B845)</f>
        <v>0</v>
      </c>
      <c r="E845" s="33">
        <f>IO!$B$5*C845-IO!$B$6*D845</f>
        <v>4080</v>
      </c>
      <c r="G845" s="47">
        <v>844</v>
      </c>
      <c r="H845" s="38" t="s">
        <v>7</v>
      </c>
      <c r="I845" s="38">
        <v>2</v>
      </c>
      <c r="J845" s="39">
        <v>0.88726640073916085</v>
      </c>
      <c r="K845" s="40">
        <f>ROUND(NORMINV(J845,IO!$B$10,IO!$B$11),0)</f>
        <v>109</v>
      </c>
      <c r="L845" s="40">
        <f>MIN(K845,IO!$B$4+IO!$B$8)</f>
        <v>102</v>
      </c>
      <c r="M845" s="40">
        <f>IF(L845-I845&gt;IO!$B$4,Model!L845-Model!I845-IO!$B$4,0)</f>
        <v>0</v>
      </c>
      <c r="N845" s="41">
        <f>IO!$B$5*Model!L845-IO!$B$6*Model!M845</f>
        <v>4080</v>
      </c>
    </row>
    <row r="846" spans="1:14" x14ac:dyDescent="0.35">
      <c r="A846" s="30">
        <v>845</v>
      </c>
      <c r="B846" s="31">
        <v>5</v>
      </c>
      <c r="C846" s="32">
        <f>(IO!$B$4+IO!$B$8)</f>
        <v>102</v>
      </c>
      <c r="D846" s="32">
        <f>IF(B846&gt;IO!$B$8,0,IO!$B$8-Model!B846)</f>
        <v>0</v>
      </c>
      <c r="E846" s="33">
        <f>IO!$B$5*C846-IO!$B$6*D846</f>
        <v>4080</v>
      </c>
      <c r="G846" s="47">
        <v>845</v>
      </c>
      <c r="H846" s="38" t="s">
        <v>8</v>
      </c>
      <c r="I846" s="38">
        <v>5</v>
      </c>
      <c r="J846" s="39">
        <v>0.37539012931834037</v>
      </c>
      <c r="K846" s="40">
        <f>ROUND(NORMINV(J846,IO!$B$10,IO!$B$11),0)</f>
        <v>101</v>
      </c>
      <c r="L846" s="40">
        <f>MIN(K846,IO!$B$4+IO!$B$8)</f>
        <v>101</v>
      </c>
      <c r="M846" s="40">
        <f>IF(L846-I846&gt;IO!$B$4,Model!L846-Model!I846-IO!$B$4,0)</f>
        <v>0</v>
      </c>
      <c r="N846" s="41">
        <f>IO!$B$5*Model!L846-IO!$B$6*Model!M846</f>
        <v>4040</v>
      </c>
    </row>
    <row r="847" spans="1:14" x14ac:dyDescent="0.35">
      <c r="A847" s="30">
        <v>846</v>
      </c>
      <c r="B847" s="31">
        <v>1</v>
      </c>
      <c r="C847" s="32">
        <f>(IO!$B$4+IO!$B$8)</f>
        <v>102</v>
      </c>
      <c r="D847" s="32">
        <f>IF(B847&gt;IO!$B$8,0,IO!$B$8-Model!B847)</f>
        <v>1</v>
      </c>
      <c r="E847" s="33">
        <f>IO!$B$5*C847-IO!$B$6*D847</f>
        <v>3980</v>
      </c>
      <c r="G847" s="47">
        <v>846</v>
      </c>
      <c r="H847" s="38" t="s">
        <v>9</v>
      </c>
      <c r="I847" s="38">
        <v>1</v>
      </c>
      <c r="J847" s="39">
        <v>0.81530927112712581</v>
      </c>
      <c r="K847" s="40">
        <f>ROUND(NORMINV(J847,IO!$B$10,IO!$B$11),0)</f>
        <v>107</v>
      </c>
      <c r="L847" s="40">
        <f>MIN(K847,IO!$B$4+IO!$B$8)</f>
        <v>102</v>
      </c>
      <c r="M847" s="40">
        <f>IF(L847-I847&gt;IO!$B$4,Model!L847-Model!I847-IO!$B$4,0)</f>
        <v>1</v>
      </c>
      <c r="N847" s="41">
        <f>IO!$B$5*Model!L847-IO!$B$6*Model!M847</f>
        <v>3980</v>
      </c>
    </row>
    <row r="848" spans="1:14" x14ac:dyDescent="0.35">
      <c r="A848" s="30">
        <v>847</v>
      </c>
      <c r="B848" s="31">
        <v>3</v>
      </c>
      <c r="C848" s="32">
        <f>(IO!$B$4+IO!$B$8)</f>
        <v>102</v>
      </c>
      <c r="D848" s="32">
        <f>IF(B848&gt;IO!$B$8,0,IO!$B$8-Model!B848)</f>
        <v>0</v>
      </c>
      <c r="E848" s="33">
        <f>IO!$B$5*C848-IO!$B$6*D848</f>
        <v>4080</v>
      </c>
      <c r="G848" s="47">
        <v>847</v>
      </c>
      <c r="H848" s="38" t="s">
        <v>7</v>
      </c>
      <c r="I848" s="38">
        <v>3</v>
      </c>
      <c r="J848" s="39">
        <v>0.669948744814852</v>
      </c>
      <c r="K848" s="40">
        <f>ROUND(NORMINV(J848,IO!$B$10,IO!$B$11),0)</f>
        <v>105</v>
      </c>
      <c r="L848" s="40">
        <f>MIN(K848,IO!$B$4+IO!$B$8)</f>
        <v>102</v>
      </c>
      <c r="M848" s="40">
        <f>IF(L848-I848&gt;IO!$B$4,Model!L848-Model!I848-IO!$B$4,0)</f>
        <v>0</v>
      </c>
      <c r="N848" s="41">
        <f>IO!$B$5*Model!L848-IO!$B$6*Model!M848</f>
        <v>4080</v>
      </c>
    </row>
    <row r="849" spans="1:14" x14ac:dyDescent="0.35">
      <c r="A849" s="30">
        <v>848</v>
      </c>
      <c r="B849" s="31">
        <v>0</v>
      </c>
      <c r="C849" s="32">
        <f>(IO!$B$4+IO!$B$8)</f>
        <v>102</v>
      </c>
      <c r="D849" s="32">
        <f>IF(B849&gt;IO!$B$8,0,IO!$B$8-Model!B849)</f>
        <v>2</v>
      </c>
      <c r="E849" s="33">
        <f>IO!$B$5*C849-IO!$B$6*D849</f>
        <v>3880</v>
      </c>
      <c r="G849" s="47">
        <v>848</v>
      </c>
      <c r="H849" s="38" t="s">
        <v>8</v>
      </c>
      <c r="I849" s="38">
        <v>0</v>
      </c>
      <c r="J849" s="39">
        <v>0.96935535482250468</v>
      </c>
      <c r="K849" s="40">
        <f>ROUND(NORMINV(J849,IO!$B$10,IO!$B$11),0)</f>
        <v>112</v>
      </c>
      <c r="L849" s="40">
        <f>MIN(K849,IO!$B$4+IO!$B$8)</f>
        <v>102</v>
      </c>
      <c r="M849" s="40">
        <f>IF(L849-I849&gt;IO!$B$4,Model!L849-Model!I849-IO!$B$4,0)</f>
        <v>2</v>
      </c>
      <c r="N849" s="41">
        <f>IO!$B$5*Model!L849-IO!$B$6*Model!M849</f>
        <v>3880</v>
      </c>
    </row>
    <row r="850" spans="1:14" x14ac:dyDescent="0.35">
      <c r="A850" s="30">
        <v>849</v>
      </c>
      <c r="B850" s="31">
        <v>1</v>
      </c>
      <c r="C850" s="32">
        <f>(IO!$B$4+IO!$B$8)</f>
        <v>102</v>
      </c>
      <c r="D850" s="32">
        <f>IF(B850&gt;IO!$B$8,0,IO!$B$8-Model!B850)</f>
        <v>1</v>
      </c>
      <c r="E850" s="33">
        <f>IO!$B$5*C850-IO!$B$6*D850</f>
        <v>3980</v>
      </c>
      <c r="G850" s="47">
        <v>849</v>
      </c>
      <c r="H850" s="38" t="s">
        <v>9</v>
      </c>
      <c r="I850" s="38">
        <v>1</v>
      </c>
      <c r="J850" s="39">
        <v>0.39765979293820097</v>
      </c>
      <c r="K850" s="40">
        <f>ROUND(NORMINV(J850,IO!$B$10,IO!$B$11),0)</f>
        <v>102</v>
      </c>
      <c r="L850" s="40">
        <f>MIN(K850,IO!$B$4+IO!$B$8)</f>
        <v>102</v>
      </c>
      <c r="M850" s="40">
        <f>IF(L850-I850&gt;IO!$B$4,Model!L850-Model!I850-IO!$B$4,0)</f>
        <v>1</v>
      </c>
      <c r="N850" s="41">
        <f>IO!$B$5*Model!L850-IO!$B$6*Model!M850</f>
        <v>3980</v>
      </c>
    </row>
    <row r="851" spans="1:14" x14ac:dyDescent="0.35">
      <c r="A851" s="30">
        <v>850</v>
      </c>
      <c r="B851" s="31">
        <v>5</v>
      </c>
      <c r="C851" s="32">
        <f>(IO!$B$4+IO!$B$8)</f>
        <v>102</v>
      </c>
      <c r="D851" s="32">
        <f>IF(B851&gt;IO!$B$8,0,IO!$B$8-Model!B851)</f>
        <v>0</v>
      </c>
      <c r="E851" s="33">
        <f>IO!$B$5*C851-IO!$B$6*D851</f>
        <v>4080</v>
      </c>
      <c r="G851" s="47">
        <v>850</v>
      </c>
      <c r="H851" s="38" t="s">
        <v>7</v>
      </c>
      <c r="I851" s="38">
        <v>5</v>
      </c>
      <c r="J851" s="39">
        <v>0.35980073278966185</v>
      </c>
      <c r="K851" s="40">
        <f>ROUND(NORMINV(J851,IO!$B$10,IO!$B$11),0)</f>
        <v>101</v>
      </c>
      <c r="L851" s="40">
        <f>MIN(K851,IO!$B$4+IO!$B$8)</f>
        <v>101</v>
      </c>
      <c r="M851" s="40">
        <f>IF(L851-I851&gt;IO!$B$4,Model!L851-Model!I851-IO!$B$4,0)</f>
        <v>0</v>
      </c>
      <c r="N851" s="41">
        <f>IO!$B$5*Model!L851-IO!$B$6*Model!M851</f>
        <v>4040</v>
      </c>
    </row>
    <row r="852" spans="1:14" x14ac:dyDescent="0.35">
      <c r="A852" s="30">
        <v>851</v>
      </c>
      <c r="B852" s="31">
        <v>2</v>
      </c>
      <c r="C852" s="32">
        <f>(IO!$B$4+IO!$B$8)</f>
        <v>102</v>
      </c>
      <c r="D852" s="32">
        <f>IF(B852&gt;IO!$B$8,0,IO!$B$8-Model!B852)</f>
        <v>0</v>
      </c>
      <c r="E852" s="33">
        <f>IO!$B$5*C852-IO!$B$6*D852</f>
        <v>4080</v>
      </c>
      <c r="G852" s="47">
        <v>851</v>
      </c>
      <c r="H852" s="38" t="s">
        <v>8</v>
      </c>
      <c r="I852" s="38">
        <v>2</v>
      </c>
      <c r="J852" s="39">
        <v>0.73633478131786789</v>
      </c>
      <c r="K852" s="40">
        <f>ROUND(NORMINV(J852,IO!$B$10,IO!$B$11),0)</f>
        <v>106</v>
      </c>
      <c r="L852" s="40">
        <f>MIN(K852,IO!$B$4+IO!$B$8)</f>
        <v>102</v>
      </c>
      <c r="M852" s="40">
        <f>IF(L852-I852&gt;IO!$B$4,Model!L852-Model!I852-IO!$B$4,0)</f>
        <v>0</v>
      </c>
      <c r="N852" s="41">
        <f>IO!$B$5*Model!L852-IO!$B$6*Model!M852</f>
        <v>4080</v>
      </c>
    </row>
    <row r="853" spans="1:14" x14ac:dyDescent="0.35">
      <c r="A853" s="30">
        <v>852</v>
      </c>
      <c r="B853" s="31">
        <v>0</v>
      </c>
      <c r="C853" s="32">
        <f>(IO!$B$4+IO!$B$8)</f>
        <v>102</v>
      </c>
      <c r="D853" s="32">
        <f>IF(B853&gt;IO!$B$8,0,IO!$B$8-Model!B853)</f>
        <v>2</v>
      </c>
      <c r="E853" s="33">
        <f>IO!$B$5*C853-IO!$B$6*D853</f>
        <v>3880</v>
      </c>
      <c r="G853" s="47">
        <v>852</v>
      </c>
      <c r="H853" s="38" t="s">
        <v>9</v>
      </c>
      <c r="I853" s="38">
        <v>0</v>
      </c>
      <c r="J853" s="39">
        <v>0.58033980696140153</v>
      </c>
      <c r="K853" s="40">
        <f>ROUND(NORMINV(J853,IO!$B$10,IO!$B$11),0)</f>
        <v>104</v>
      </c>
      <c r="L853" s="40">
        <f>MIN(K853,IO!$B$4+IO!$B$8)</f>
        <v>102</v>
      </c>
      <c r="M853" s="40">
        <f>IF(L853-I853&gt;IO!$B$4,Model!L853-Model!I853-IO!$B$4,0)</f>
        <v>2</v>
      </c>
      <c r="N853" s="41">
        <f>IO!$B$5*Model!L853-IO!$B$6*Model!M853</f>
        <v>3880</v>
      </c>
    </row>
    <row r="854" spans="1:14" x14ac:dyDescent="0.35">
      <c r="A854" s="30">
        <v>853</v>
      </c>
      <c r="B854" s="31">
        <v>2</v>
      </c>
      <c r="C854" s="32">
        <f>(IO!$B$4+IO!$B$8)</f>
        <v>102</v>
      </c>
      <c r="D854" s="32">
        <f>IF(B854&gt;IO!$B$8,0,IO!$B$8-Model!B854)</f>
        <v>0</v>
      </c>
      <c r="E854" s="33">
        <f>IO!$B$5*C854-IO!$B$6*D854</f>
        <v>4080</v>
      </c>
      <c r="G854" s="47">
        <v>853</v>
      </c>
      <c r="H854" s="38" t="s">
        <v>7</v>
      </c>
      <c r="I854" s="38">
        <v>2</v>
      </c>
      <c r="J854" s="39">
        <v>0.54142235888342605</v>
      </c>
      <c r="K854" s="40">
        <f>ROUND(NORMINV(J854,IO!$B$10,IO!$B$11),0)</f>
        <v>104</v>
      </c>
      <c r="L854" s="40">
        <f>MIN(K854,IO!$B$4+IO!$B$8)</f>
        <v>102</v>
      </c>
      <c r="M854" s="40">
        <f>IF(L854-I854&gt;IO!$B$4,Model!L854-Model!I854-IO!$B$4,0)</f>
        <v>0</v>
      </c>
      <c r="N854" s="41">
        <f>IO!$B$5*Model!L854-IO!$B$6*Model!M854</f>
        <v>4080</v>
      </c>
    </row>
    <row r="855" spans="1:14" x14ac:dyDescent="0.35">
      <c r="A855" s="30">
        <v>854</v>
      </c>
      <c r="B855" s="31">
        <v>2</v>
      </c>
      <c r="C855" s="32">
        <f>(IO!$B$4+IO!$B$8)</f>
        <v>102</v>
      </c>
      <c r="D855" s="32">
        <f>IF(B855&gt;IO!$B$8,0,IO!$B$8-Model!B855)</f>
        <v>0</v>
      </c>
      <c r="E855" s="33">
        <f>IO!$B$5*C855-IO!$B$6*D855</f>
        <v>4080</v>
      </c>
      <c r="G855" s="47">
        <v>854</v>
      </c>
      <c r="H855" s="38" t="s">
        <v>8</v>
      </c>
      <c r="I855" s="38">
        <v>2</v>
      </c>
      <c r="J855" s="39">
        <v>0.57390161774245585</v>
      </c>
      <c r="K855" s="40">
        <f>ROUND(NORMINV(J855,IO!$B$10,IO!$B$11),0)</f>
        <v>104</v>
      </c>
      <c r="L855" s="40">
        <f>MIN(K855,IO!$B$4+IO!$B$8)</f>
        <v>102</v>
      </c>
      <c r="M855" s="40">
        <f>IF(L855-I855&gt;IO!$B$4,Model!L855-Model!I855-IO!$B$4,0)</f>
        <v>0</v>
      </c>
      <c r="N855" s="41">
        <f>IO!$B$5*Model!L855-IO!$B$6*Model!M855</f>
        <v>4080</v>
      </c>
    </row>
    <row r="856" spans="1:14" x14ac:dyDescent="0.35">
      <c r="A856" s="30">
        <v>855</v>
      </c>
      <c r="B856" s="31">
        <v>1</v>
      </c>
      <c r="C856" s="32">
        <f>(IO!$B$4+IO!$B$8)</f>
        <v>102</v>
      </c>
      <c r="D856" s="32">
        <f>IF(B856&gt;IO!$B$8,0,IO!$B$8-Model!B856)</f>
        <v>1</v>
      </c>
      <c r="E856" s="33">
        <f>IO!$B$5*C856-IO!$B$6*D856</f>
        <v>3980</v>
      </c>
      <c r="G856" s="47">
        <v>855</v>
      </c>
      <c r="H856" s="38" t="s">
        <v>9</v>
      </c>
      <c r="I856" s="38">
        <v>1</v>
      </c>
      <c r="J856" s="39">
        <v>0.4091955433915927</v>
      </c>
      <c r="K856" s="40">
        <f>ROUND(NORMINV(J856,IO!$B$10,IO!$B$11),0)</f>
        <v>102</v>
      </c>
      <c r="L856" s="40">
        <f>MIN(K856,IO!$B$4+IO!$B$8)</f>
        <v>102</v>
      </c>
      <c r="M856" s="40">
        <f>IF(L856-I856&gt;IO!$B$4,Model!L856-Model!I856-IO!$B$4,0)</f>
        <v>1</v>
      </c>
      <c r="N856" s="41">
        <f>IO!$B$5*Model!L856-IO!$B$6*Model!M856</f>
        <v>3980</v>
      </c>
    </row>
    <row r="857" spans="1:14" x14ac:dyDescent="0.35">
      <c r="A857" s="30">
        <v>856</v>
      </c>
      <c r="B857" s="31">
        <v>2</v>
      </c>
      <c r="C857" s="32">
        <f>(IO!$B$4+IO!$B$8)</f>
        <v>102</v>
      </c>
      <c r="D857" s="32">
        <f>IF(B857&gt;IO!$B$8,0,IO!$B$8-Model!B857)</f>
        <v>0</v>
      </c>
      <c r="E857" s="33">
        <f>IO!$B$5*C857-IO!$B$6*D857</f>
        <v>4080</v>
      </c>
      <c r="G857" s="47">
        <v>856</v>
      </c>
      <c r="H857" s="38" t="s">
        <v>7</v>
      </c>
      <c r="I857" s="38">
        <v>2</v>
      </c>
      <c r="J857" s="39">
        <v>0.8155574375257354</v>
      </c>
      <c r="K857" s="40">
        <f>ROUND(NORMINV(J857,IO!$B$10,IO!$B$11),0)</f>
        <v>107</v>
      </c>
      <c r="L857" s="40">
        <f>MIN(K857,IO!$B$4+IO!$B$8)</f>
        <v>102</v>
      </c>
      <c r="M857" s="40">
        <f>IF(L857-I857&gt;IO!$B$4,Model!L857-Model!I857-IO!$B$4,0)</f>
        <v>0</v>
      </c>
      <c r="N857" s="41">
        <f>IO!$B$5*Model!L857-IO!$B$6*Model!M857</f>
        <v>4080</v>
      </c>
    </row>
    <row r="858" spans="1:14" x14ac:dyDescent="0.35">
      <c r="A858" s="30">
        <v>857</v>
      </c>
      <c r="B858" s="31">
        <v>1</v>
      </c>
      <c r="C858" s="32">
        <f>(IO!$B$4+IO!$B$8)</f>
        <v>102</v>
      </c>
      <c r="D858" s="32">
        <f>IF(B858&gt;IO!$B$8,0,IO!$B$8-Model!B858)</f>
        <v>1</v>
      </c>
      <c r="E858" s="33">
        <f>IO!$B$5*C858-IO!$B$6*D858</f>
        <v>3980</v>
      </c>
      <c r="G858" s="47">
        <v>857</v>
      </c>
      <c r="H858" s="38" t="s">
        <v>8</v>
      </c>
      <c r="I858" s="38">
        <v>1</v>
      </c>
      <c r="J858" s="39">
        <v>0.23506231505274511</v>
      </c>
      <c r="K858" s="40">
        <f>ROUND(NORMINV(J858,IO!$B$10,IO!$B$11),0)</f>
        <v>99</v>
      </c>
      <c r="L858" s="40">
        <f>MIN(K858,IO!$B$4+IO!$B$8)</f>
        <v>99</v>
      </c>
      <c r="M858" s="40">
        <f>IF(L858-I858&gt;IO!$B$4,Model!L858-Model!I858-IO!$B$4,0)</f>
        <v>0</v>
      </c>
      <c r="N858" s="41">
        <f>IO!$B$5*Model!L858-IO!$B$6*Model!M858</f>
        <v>3960</v>
      </c>
    </row>
    <row r="859" spans="1:14" x14ac:dyDescent="0.35">
      <c r="A859" s="30">
        <v>858</v>
      </c>
      <c r="B859" s="31">
        <v>1</v>
      </c>
      <c r="C859" s="32">
        <f>(IO!$B$4+IO!$B$8)</f>
        <v>102</v>
      </c>
      <c r="D859" s="32">
        <f>IF(B859&gt;IO!$B$8,0,IO!$B$8-Model!B859)</f>
        <v>1</v>
      </c>
      <c r="E859" s="33">
        <f>IO!$B$5*C859-IO!$B$6*D859</f>
        <v>3980</v>
      </c>
      <c r="G859" s="47">
        <v>858</v>
      </c>
      <c r="H859" s="38" t="s">
        <v>9</v>
      </c>
      <c r="I859" s="38">
        <v>1</v>
      </c>
      <c r="J859" s="39">
        <v>0.42930633321360423</v>
      </c>
      <c r="K859" s="40">
        <f>ROUND(NORMINV(J859,IO!$B$10,IO!$B$11),0)</f>
        <v>102</v>
      </c>
      <c r="L859" s="40">
        <f>MIN(K859,IO!$B$4+IO!$B$8)</f>
        <v>102</v>
      </c>
      <c r="M859" s="40">
        <f>IF(L859-I859&gt;IO!$B$4,Model!L859-Model!I859-IO!$B$4,0)</f>
        <v>1</v>
      </c>
      <c r="N859" s="41">
        <f>IO!$B$5*Model!L859-IO!$B$6*Model!M859</f>
        <v>3980</v>
      </c>
    </row>
    <row r="860" spans="1:14" x14ac:dyDescent="0.35">
      <c r="A860" s="30">
        <v>859</v>
      </c>
      <c r="B860" s="31">
        <v>2</v>
      </c>
      <c r="C860" s="32">
        <f>(IO!$B$4+IO!$B$8)</f>
        <v>102</v>
      </c>
      <c r="D860" s="32">
        <f>IF(B860&gt;IO!$B$8,0,IO!$B$8-Model!B860)</f>
        <v>0</v>
      </c>
      <c r="E860" s="33">
        <f>IO!$B$5*C860-IO!$B$6*D860</f>
        <v>4080</v>
      </c>
      <c r="G860" s="47">
        <v>859</v>
      </c>
      <c r="H860" s="38" t="s">
        <v>7</v>
      </c>
      <c r="I860" s="38">
        <v>2</v>
      </c>
      <c r="J860" s="39">
        <v>0.98577968006102878</v>
      </c>
      <c r="K860" s="40">
        <f>ROUND(NORMINV(J860,IO!$B$10,IO!$B$11),0)</f>
        <v>114</v>
      </c>
      <c r="L860" s="40">
        <f>MIN(K860,IO!$B$4+IO!$B$8)</f>
        <v>102</v>
      </c>
      <c r="M860" s="40">
        <f>IF(L860-I860&gt;IO!$B$4,Model!L860-Model!I860-IO!$B$4,0)</f>
        <v>0</v>
      </c>
      <c r="N860" s="41">
        <f>IO!$B$5*Model!L860-IO!$B$6*Model!M860</f>
        <v>4080</v>
      </c>
    </row>
    <row r="861" spans="1:14" x14ac:dyDescent="0.35">
      <c r="A861" s="30">
        <v>860</v>
      </c>
      <c r="B861" s="31">
        <v>5</v>
      </c>
      <c r="C861" s="32">
        <f>(IO!$B$4+IO!$B$8)</f>
        <v>102</v>
      </c>
      <c r="D861" s="32">
        <f>IF(B861&gt;IO!$B$8,0,IO!$B$8-Model!B861)</f>
        <v>0</v>
      </c>
      <c r="E861" s="33">
        <f>IO!$B$5*C861-IO!$B$6*D861</f>
        <v>4080</v>
      </c>
      <c r="G861" s="47">
        <v>860</v>
      </c>
      <c r="H861" s="38" t="s">
        <v>8</v>
      </c>
      <c r="I861" s="38">
        <v>5</v>
      </c>
      <c r="J861" s="39">
        <v>0.44957845839818689</v>
      </c>
      <c r="K861" s="40">
        <f>ROUND(NORMINV(J861,IO!$B$10,IO!$B$11),0)</f>
        <v>102</v>
      </c>
      <c r="L861" s="40">
        <f>MIN(K861,IO!$B$4+IO!$B$8)</f>
        <v>102</v>
      </c>
      <c r="M861" s="40">
        <f>IF(L861-I861&gt;IO!$B$4,Model!L861-Model!I861-IO!$B$4,0)</f>
        <v>0</v>
      </c>
      <c r="N861" s="41">
        <f>IO!$B$5*Model!L861-IO!$B$6*Model!M861</f>
        <v>4080</v>
      </c>
    </row>
    <row r="862" spans="1:14" x14ac:dyDescent="0.35">
      <c r="A862" s="30">
        <v>861</v>
      </c>
      <c r="B862" s="31">
        <v>3</v>
      </c>
      <c r="C862" s="32">
        <f>(IO!$B$4+IO!$B$8)</f>
        <v>102</v>
      </c>
      <c r="D862" s="32">
        <f>IF(B862&gt;IO!$B$8,0,IO!$B$8-Model!B862)</f>
        <v>0</v>
      </c>
      <c r="E862" s="33">
        <f>IO!$B$5*C862-IO!$B$6*D862</f>
        <v>4080</v>
      </c>
      <c r="G862" s="47">
        <v>861</v>
      </c>
      <c r="H862" s="38" t="s">
        <v>9</v>
      </c>
      <c r="I862" s="38">
        <v>3</v>
      </c>
      <c r="J862" s="39">
        <v>0.81490994663192762</v>
      </c>
      <c r="K862" s="40">
        <f>ROUND(NORMINV(J862,IO!$B$10,IO!$B$11),0)</f>
        <v>107</v>
      </c>
      <c r="L862" s="40">
        <f>MIN(K862,IO!$B$4+IO!$B$8)</f>
        <v>102</v>
      </c>
      <c r="M862" s="40">
        <f>IF(L862-I862&gt;IO!$B$4,Model!L862-Model!I862-IO!$B$4,0)</f>
        <v>0</v>
      </c>
      <c r="N862" s="41">
        <f>IO!$B$5*Model!L862-IO!$B$6*Model!M862</f>
        <v>4080</v>
      </c>
    </row>
    <row r="863" spans="1:14" x14ac:dyDescent="0.35">
      <c r="A863" s="30">
        <v>862</v>
      </c>
      <c r="B863" s="31">
        <v>0</v>
      </c>
      <c r="C863" s="32">
        <f>(IO!$B$4+IO!$B$8)</f>
        <v>102</v>
      </c>
      <c r="D863" s="32">
        <f>IF(B863&gt;IO!$B$8,0,IO!$B$8-Model!B863)</f>
        <v>2</v>
      </c>
      <c r="E863" s="33">
        <f>IO!$B$5*C863-IO!$B$6*D863</f>
        <v>3880</v>
      </c>
      <c r="G863" s="47">
        <v>862</v>
      </c>
      <c r="H863" s="38" t="s">
        <v>7</v>
      </c>
      <c r="I863" s="38">
        <v>0</v>
      </c>
      <c r="J863" s="39">
        <v>0.31805534069007013</v>
      </c>
      <c r="K863" s="40">
        <f>ROUND(NORMINV(J863,IO!$B$10,IO!$B$11),0)</f>
        <v>101</v>
      </c>
      <c r="L863" s="40">
        <f>MIN(K863,IO!$B$4+IO!$B$8)</f>
        <v>101</v>
      </c>
      <c r="M863" s="40">
        <f>IF(L863-I863&gt;IO!$B$4,Model!L863-Model!I863-IO!$B$4,0)</f>
        <v>1</v>
      </c>
      <c r="N863" s="41">
        <f>IO!$B$5*Model!L863-IO!$B$6*Model!M863</f>
        <v>3940</v>
      </c>
    </row>
    <row r="864" spans="1:14" x14ac:dyDescent="0.35">
      <c r="A864" s="30">
        <v>863</v>
      </c>
      <c r="B864" s="31">
        <v>6</v>
      </c>
      <c r="C864" s="32">
        <f>(IO!$B$4+IO!$B$8)</f>
        <v>102</v>
      </c>
      <c r="D864" s="32">
        <f>IF(B864&gt;IO!$B$8,0,IO!$B$8-Model!B864)</f>
        <v>0</v>
      </c>
      <c r="E864" s="33">
        <f>IO!$B$5*C864-IO!$B$6*D864</f>
        <v>4080</v>
      </c>
      <c r="G864" s="47">
        <v>863</v>
      </c>
      <c r="H864" s="38" t="s">
        <v>8</v>
      </c>
      <c r="I864" s="38">
        <v>6</v>
      </c>
      <c r="J864" s="39">
        <v>0.17634311905092848</v>
      </c>
      <c r="K864" s="40">
        <f>ROUND(NORMINV(J864,IO!$B$10,IO!$B$11),0)</f>
        <v>98</v>
      </c>
      <c r="L864" s="40">
        <f>MIN(K864,IO!$B$4+IO!$B$8)</f>
        <v>98</v>
      </c>
      <c r="M864" s="40">
        <f>IF(L864-I864&gt;IO!$B$4,Model!L864-Model!I864-IO!$B$4,0)</f>
        <v>0</v>
      </c>
      <c r="N864" s="41">
        <f>IO!$B$5*Model!L864-IO!$B$6*Model!M864</f>
        <v>3920</v>
      </c>
    </row>
    <row r="865" spans="1:14" x14ac:dyDescent="0.35">
      <c r="A865" s="30">
        <v>864</v>
      </c>
      <c r="B865" s="31">
        <v>0</v>
      </c>
      <c r="C865" s="32">
        <f>(IO!$B$4+IO!$B$8)</f>
        <v>102</v>
      </c>
      <c r="D865" s="32">
        <f>IF(B865&gt;IO!$B$8,0,IO!$B$8-Model!B865)</f>
        <v>2</v>
      </c>
      <c r="E865" s="33">
        <f>IO!$B$5*C865-IO!$B$6*D865</f>
        <v>3880</v>
      </c>
      <c r="G865" s="47">
        <v>864</v>
      </c>
      <c r="H865" s="38" t="s">
        <v>9</v>
      </c>
      <c r="I865" s="38">
        <v>0</v>
      </c>
      <c r="J865" s="39">
        <v>0.2986251561581057</v>
      </c>
      <c r="K865" s="40">
        <f>ROUND(NORMINV(J865,IO!$B$10,IO!$B$11),0)</f>
        <v>100</v>
      </c>
      <c r="L865" s="40">
        <f>MIN(K865,IO!$B$4+IO!$B$8)</f>
        <v>100</v>
      </c>
      <c r="M865" s="40">
        <f>IF(L865-I865&gt;IO!$B$4,Model!L865-Model!I865-IO!$B$4,0)</f>
        <v>0</v>
      </c>
      <c r="N865" s="41">
        <f>IO!$B$5*Model!L865-IO!$B$6*Model!M865</f>
        <v>4000</v>
      </c>
    </row>
    <row r="866" spans="1:14" x14ac:dyDescent="0.35">
      <c r="A866" s="30">
        <v>865</v>
      </c>
      <c r="B866" s="31">
        <v>3</v>
      </c>
      <c r="C866" s="32">
        <f>(IO!$B$4+IO!$B$8)</f>
        <v>102</v>
      </c>
      <c r="D866" s="32">
        <f>IF(B866&gt;IO!$B$8,0,IO!$B$8-Model!B866)</f>
        <v>0</v>
      </c>
      <c r="E866" s="33">
        <f>IO!$B$5*C866-IO!$B$6*D866</f>
        <v>4080</v>
      </c>
      <c r="G866" s="47">
        <v>865</v>
      </c>
      <c r="H866" s="38" t="s">
        <v>7</v>
      </c>
      <c r="I866" s="38">
        <v>3</v>
      </c>
      <c r="J866" s="39">
        <v>0.44066518951838696</v>
      </c>
      <c r="K866" s="40">
        <f>ROUND(NORMINV(J866,IO!$B$10,IO!$B$11),0)</f>
        <v>102</v>
      </c>
      <c r="L866" s="40">
        <f>MIN(K866,IO!$B$4+IO!$B$8)</f>
        <v>102</v>
      </c>
      <c r="M866" s="40">
        <f>IF(L866-I866&gt;IO!$B$4,Model!L866-Model!I866-IO!$B$4,0)</f>
        <v>0</v>
      </c>
      <c r="N866" s="41">
        <f>IO!$B$5*Model!L866-IO!$B$6*Model!M866</f>
        <v>4080</v>
      </c>
    </row>
    <row r="867" spans="1:14" x14ac:dyDescent="0.35">
      <c r="A867" s="30">
        <v>866</v>
      </c>
      <c r="B867" s="31">
        <v>4</v>
      </c>
      <c r="C867" s="32">
        <f>(IO!$B$4+IO!$B$8)</f>
        <v>102</v>
      </c>
      <c r="D867" s="32">
        <f>IF(B867&gt;IO!$B$8,0,IO!$B$8-Model!B867)</f>
        <v>0</v>
      </c>
      <c r="E867" s="33">
        <f>IO!$B$5*C867-IO!$B$6*D867</f>
        <v>4080</v>
      </c>
      <c r="G867" s="47">
        <v>866</v>
      </c>
      <c r="H867" s="38" t="s">
        <v>8</v>
      </c>
      <c r="I867" s="38">
        <v>4</v>
      </c>
      <c r="J867" s="39">
        <v>0.5659106501016109</v>
      </c>
      <c r="K867" s="40">
        <f>ROUND(NORMINV(J867,IO!$B$10,IO!$B$11),0)</f>
        <v>104</v>
      </c>
      <c r="L867" s="40">
        <f>MIN(K867,IO!$B$4+IO!$B$8)</f>
        <v>102</v>
      </c>
      <c r="M867" s="40">
        <f>IF(L867-I867&gt;IO!$B$4,Model!L867-Model!I867-IO!$B$4,0)</f>
        <v>0</v>
      </c>
      <c r="N867" s="41">
        <f>IO!$B$5*Model!L867-IO!$B$6*Model!M867</f>
        <v>4080</v>
      </c>
    </row>
    <row r="868" spans="1:14" x14ac:dyDescent="0.35">
      <c r="A868" s="30">
        <v>867</v>
      </c>
      <c r="B868" s="31">
        <v>1</v>
      </c>
      <c r="C868" s="32">
        <f>(IO!$B$4+IO!$B$8)</f>
        <v>102</v>
      </c>
      <c r="D868" s="32">
        <f>IF(B868&gt;IO!$B$8,0,IO!$B$8-Model!B868)</f>
        <v>1</v>
      </c>
      <c r="E868" s="33">
        <f>IO!$B$5*C868-IO!$B$6*D868</f>
        <v>3980</v>
      </c>
      <c r="G868" s="47">
        <v>867</v>
      </c>
      <c r="H868" s="38" t="s">
        <v>9</v>
      </c>
      <c r="I868" s="38">
        <v>1</v>
      </c>
      <c r="J868" s="39">
        <v>0.9355764235303714</v>
      </c>
      <c r="K868" s="40">
        <f>ROUND(NORMINV(J868,IO!$B$10,IO!$B$11),0)</f>
        <v>111</v>
      </c>
      <c r="L868" s="40">
        <f>MIN(K868,IO!$B$4+IO!$B$8)</f>
        <v>102</v>
      </c>
      <c r="M868" s="40">
        <f>IF(L868-I868&gt;IO!$B$4,Model!L868-Model!I868-IO!$B$4,0)</f>
        <v>1</v>
      </c>
      <c r="N868" s="41">
        <f>IO!$B$5*Model!L868-IO!$B$6*Model!M868</f>
        <v>3980</v>
      </c>
    </row>
    <row r="869" spans="1:14" x14ac:dyDescent="0.35">
      <c r="A869" s="30">
        <v>868</v>
      </c>
      <c r="B869" s="31">
        <v>4</v>
      </c>
      <c r="C869" s="32">
        <f>(IO!$B$4+IO!$B$8)</f>
        <v>102</v>
      </c>
      <c r="D869" s="32">
        <f>IF(B869&gt;IO!$B$8,0,IO!$B$8-Model!B869)</f>
        <v>0</v>
      </c>
      <c r="E869" s="33">
        <f>IO!$B$5*C869-IO!$B$6*D869</f>
        <v>4080</v>
      </c>
      <c r="G869" s="47">
        <v>868</v>
      </c>
      <c r="H869" s="38" t="s">
        <v>7</v>
      </c>
      <c r="I869" s="38">
        <v>4</v>
      </c>
      <c r="J869" s="39">
        <v>0.89733895179843493</v>
      </c>
      <c r="K869" s="40">
        <f>ROUND(NORMINV(J869,IO!$B$10,IO!$B$11),0)</f>
        <v>109</v>
      </c>
      <c r="L869" s="40">
        <f>MIN(K869,IO!$B$4+IO!$B$8)</f>
        <v>102</v>
      </c>
      <c r="M869" s="40">
        <f>IF(L869-I869&gt;IO!$B$4,Model!L869-Model!I869-IO!$B$4,0)</f>
        <v>0</v>
      </c>
      <c r="N869" s="41">
        <f>IO!$B$5*Model!L869-IO!$B$6*Model!M869</f>
        <v>4080</v>
      </c>
    </row>
    <row r="870" spans="1:14" x14ac:dyDescent="0.35">
      <c r="A870" s="30">
        <v>869</v>
      </c>
      <c r="B870" s="31">
        <v>2</v>
      </c>
      <c r="C870" s="32">
        <f>(IO!$B$4+IO!$B$8)</f>
        <v>102</v>
      </c>
      <c r="D870" s="32">
        <f>IF(B870&gt;IO!$B$8,0,IO!$B$8-Model!B870)</f>
        <v>0</v>
      </c>
      <c r="E870" s="33">
        <f>IO!$B$5*C870-IO!$B$6*D870</f>
        <v>4080</v>
      </c>
      <c r="G870" s="47">
        <v>869</v>
      </c>
      <c r="H870" s="38" t="s">
        <v>8</v>
      </c>
      <c r="I870" s="38">
        <v>2</v>
      </c>
      <c r="J870" s="39">
        <v>0.38795568632074529</v>
      </c>
      <c r="K870" s="40">
        <f>ROUND(NORMINV(J870,IO!$B$10,IO!$B$11),0)</f>
        <v>102</v>
      </c>
      <c r="L870" s="40">
        <f>MIN(K870,IO!$B$4+IO!$B$8)</f>
        <v>102</v>
      </c>
      <c r="M870" s="40">
        <f>IF(L870-I870&gt;IO!$B$4,Model!L870-Model!I870-IO!$B$4,0)</f>
        <v>0</v>
      </c>
      <c r="N870" s="41">
        <f>IO!$B$5*Model!L870-IO!$B$6*Model!M870</f>
        <v>4080</v>
      </c>
    </row>
    <row r="871" spans="1:14" x14ac:dyDescent="0.35">
      <c r="A871" s="30">
        <v>870</v>
      </c>
      <c r="B871" s="31">
        <v>0</v>
      </c>
      <c r="C871" s="32">
        <f>(IO!$B$4+IO!$B$8)</f>
        <v>102</v>
      </c>
      <c r="D871" s="32">
        <f>IF(B871&gt;IO!$B$8,0,IO!$B$8-Model!B871)</f>
        <v>2</v>
      </c>
      <c r="E871" s="33">
        <f>IO!$B$5*C871-IO!$B$6*D871</f>
        <v>3880</v>
      </c>
      <c r="G871" s="47">
        <v>870</v>
      </c>
      <c r="H871" s="38" t="s">
        <v>9</v>
      </c>
      <c r="I871" s="38">
        <v>0</v>
      </c>
      <c r="J871" s="39">
        <v>0.84462673572882607</v>
      </c>
      <c r="K871" s="40">
        <f>ROUND(NORMINV(J871,IO!$B$10,IO!$B$11),0)</f>
        <v>108</v>
      </c>
      <c r="L871" s="40">
        <f>MIN(K871,IO!$B$4+IO!$B$8)</f>
        <v>102</v>
      </c>
      <c r="M871" s="40">
        <f>IF(L871-I871&gt;IO!$B$4,Model!L871-Model!I871-IO!$B$4,0)</f>
        <v>2</v>
      </c>
      <c r="N871" s="41">
        <f>IO!$B$5*Model!L871-IO!$B$6*Model!M871</f>
        <v>3880</v>
      </c>
    </row>
    <row r="872" spans="1:14" x14ac:dyDescent="0.35">
      <c r="A872" s="30">
        <v>871</v>
      </c>
      <c r="B872" s="31">
        <v>1</v>
      </c>
      <c r="C872" s="32">
        <f>(IO!$B$4+IO!$B$8)</f>
        <v>102</v>
      </c>
      <c r="D872" s="32">
        <f>IF(B872&gt;IO!$B$8,0,IO!$B$8-Model!B872)</f>
        <v>1</v>
      </c>
      <c r="E872" s="33">
        <f>IO!$B$5*C872-IO!$B$6*D872</f>
        <v>3980</v>
      </c>
      <c r="G872" s="47">
        <v>871</v>
      </c>
      <c r="H872" s="38" t="s">
        <v>7</v>
      </c>
      <c r="I872" s="38">
        <v>1</v>
      </c>
      <c r="J872" s="39">
        <v>0.258362713477995</v>
      </c>
      <c r="K872" s="40">
        <f>ROUND(NORMINV(J872,IO!$B$10,IO!$B$11),0)</f>
        <v>100</v>
      </c>
      <c r="L872" s="40">
        <f>MIN(K872,IO!$B$4+IO!$B$8)</f>
        <v>100</v>
      </c>
      <c r="M872" s="40">
        <f>IF(L872-I872&gt;IO!$B$4,Model!L872-Model!I872-IO!$B$4,0)</f>
        <v>0</v>
      </c>
      <c r="N872" s="41">
        <f>IO!$B$5*Model!L872-IO!$B$6*Model!M872</f>
        <v>4000</v>
      </c>
    </row>
    <row r="873" spans="1:14" x14ac:dyDescent="0.35">
      <c r="A873" s="30">
        <v>872</v>
      </c>
      <c r="B873" s="31">
        <v>3</v>
      </c>
      <c r="C873" s="32">
        <f>(IO!$B$4+IO!$B$8)</f>
        <v>102</v>
      </c>
      <c r="D873" s="32">
        <f>IF(B873&gt;IO!$B$8,0,IO!$B$8-Model!B873)</f>
        <v>0</v>
      </c>
      <c r="E873" s="33">
        <f>IO!$B$5*C873-IO!$B$6*D873</f>
        <v>4080</v>
      </c>
      <c r="G873" s="47">
        <v>872</v>
      </c>
      <c r="H873" s="38" t="s">
        <v>8</v>
      </c>
      <c r="I873" s="38">
        <v>3</v>
      </c>
      <c r="J873" s="39">
        <v>0.71229149966556482</v>
      </c>
      <c r="K873" s="40">
        <f>ROUND(NORMINV(J873,IO!$B$10,IO!$B$11),0)</f>
        <v>106</v>
      </c>
      <c r="L873" s="40">
        <f>MIN(K873,IO!$B$4+IO!$B$8)</f>
        <v>102</v>
      </c>
      <c r="M873" s="40">
        <f>IF(L873-I873&gt;IO!$B$4,Model!L873-Model!I873-IO!$B$4,0)</f>
        <v>0</v>
      </c>
      <c r="N873" s="41">
        <f>IO!$B$5*Model!L873-IO!$B$6*Model!M873</f>
        <v>4080</v>
      </c>
    </row>
    <row r="874" spans="1:14" x14ac:dyDescent="0.35">
      <c r="A874" s="30">
        <v>873</v>
      </c>
      <c r="B874" s="31">
        <v>2</v>
      </c>
      <c r="C874" s="32">
        <f>(IO!$B$4+IO!$B$8)</f>
        <v>102</v>
      </c>
      <c r="D874" s="32">
        <f>IF(B874&gt;IO!$B$8,0,IO!$B$8-Model!B874)</f>
        <v>0</v>
      </c>
      <c r="E874" s="33">
        <f>IO!$B$5*C874-IO!$B$6*D874</f>
        <v>4080</v>
      </c>
      <c r="G874" s="47">
        <v>873</v>
      </c>
      <c r="H874" s="38" t="s">
        <v>9</v>
      </c>
      <c r="I874" s="38">
        <v>2</v>
      </c>
      <c r="J874" s="39">
        <v>0.11423873776585092</v>
      </c>
      <c r="K874" s="40">
        <f>ROUND(NORMINV(J874,IO!$B$10,IO!$B$11),0)</f>
        <v>97</v>
      </c>
      <c r="L874" s="40">
        <f>MIN(K874,IO!$B$4+IO!$B$8)</f>
        <v>97</v>
      </c>
      <c r="M874" s="40">
        <f>IF(L874-I874&gt;IO!$B$4,Model!L874-Model!I874-IO!$B$4,0)</f>
        <v>0</v>
      </c>
      <c r="N874" s="41">
        <f>IO!$B$5*Model!L874-IO!$B$6*Model!M874</f>
        <v>3880</v>
      </c>
    </row>
    <row r="875" spans="1:14" x14ac:dyDescent="0.35">
      <c r="A875" s="30">
        <v>874</v>
      </c>
      <c r="B875" s="31">
        <v>6</v>
      </c>
      <c r="C875" s="32">
        <f>(IO!$B$4+IO!$B$8)</f>
        <v>102</v>
      </c>
      <c r="D875" s="32">
        <f>IF(B875&gt;IO!$B$8,0,IO!$B$8-Model!B875)</f>
        <v>0</v>
      </c>
      <c r="E875" s="33">
        <f>IO!$B$5*C875-IO!$B$6*D875</f>
        <v>4080</v>
      </c>
      <c r="G875" s="47">
        <v>874</v>
      </c>
      <c r="H875" s="38" t="s">
        <v>7</v>
      </c>
      <c r="I875" s="38">
        <v>6</v>
      </c>
      <c r="J875" s="39">
        <v>0.72555735151613099</v>
      </c>
      <c r="K875" s="40">
        <f>ROUND(NORMINV(J875,IO!$B$10,IO!$B$11),0)</f>
        <v>106</v>
      </c>
      <c r="L875" s="40">
        <f>MIN(K875,IO!$B$4+IO!$B$8)</f>
        <v>102</v>
      </c>
      <c r="M875" s="40">
        <f>IF(L875-I875&gt;IO!$B$4,Model!L875-Model!I875-IO!$B$4,0)</f>
        <v>0</v>
      </c>
      <c r="N875" s="41">
        <f>IO!$B$5*Model!L875-IO!$B$6*Model!M875</f>
        <v>4080</v>
      </c>
    </row>
    <row r="876" spans="1:14" x14ac:dyDescent="0.35">
      <c r="A876" s="30">
        <v>875</v>
      </c>
      <c r="B876" s="31">
        <v>4</v>
      </c>
      <c r="C876" s="32">
        <f>(IO!$B$4+IO!$B$8)</f>
        <v>102</v>
      </c>
      <c r="D876" s="32">
        <f>IF(B876&gt;IO!$B$8,0,IO!$B$8-Model!B876)</f>
        <v>0</v>
      </c>
      <c r="E876" s="33">
        <f>IO!$B$5*C876-IO!$B$6*D876</f>
        <v>4080</v>
      </c>
      <c r="G876" s="47">
        <v>875</v>
      </c>
      <c r="H876" s="38" t="s">
        <v>8</v>
      </c>
      <c r="I876" s="38">
        <v>4</v>
      </c>
      <c r="J876" s="39">
        <v>0.78531997234732809</v>
      </c>
      <c r="K876" s="40">
        <f>ROUND(NORMINV(J876,IO!$B$10,IO!$B$11),0)</f>
        <v>107</v>
      </c>
      <c r="L876" s="40">
        <f>MIN(K876,IO!$B$4+IO!$B$8)</f>
        <v>102</v>
      </c>
      <c r="M876" s="40">
        <f>IF(L876-I876&gt;IO!$B$4,Model!L876-Model!I876-IO!$B$4,0)</f>
        <v>0</v>
      </c>
      <c r="N876" s="41">
        <f>IO!$B$5*Model!L876-IO!$B$6*Model!M876</f>
        <v>4080</v>
      </c>
    </row>
    <row r="877" spans="1:14" x14ac:dyDescent="0.35">
      <c r="A877" s="30">
        <v>876</v>
      </c>
      <c r="B877" s="31">
        <v>1</v>
      </c>
      <c r="C877" s="32">
        <f>(IO!$B$4+IO!$B$8)</f>
        <v>102</v>
      </c>
      <c r="D877" s="32">
        <f>IF(B877&gt;IO!$B$8,0,IO!$B$8-Model!B877)</f>
        <v>1</v>
      </c>
      <c r="E877" s="33">
        <f>IO!$B$5*C877-IO!$B$6*D877</f>
        <v>3980</v>
      </c>
      <c r="G877" s="47">
        <v>876</v>
      </c>
      <c r="H877" s="38" t="s">
        <v>9</v>
      </c>
      <c r="I877" s="38">
        <v>1</v>
      </c>
      <c r="J877" s="39">
        <v>0.63226392890122729</v>
      </c>
      <c r="K877" s="40">
        <f>ROUND(NORMINV(J877,IO!$B$10,IO!$B$11),0)</f>
        <v>105</v>
      </c>
      <c r="L877" s="40">
        <f>MIN(K877,IO!$B$4+IO!$B$8)</f>
        <v>102</v>
      </c>
      <c r="M877" s="40">
        <f>IF(L877-I877&gt;IO!$B$4,Model!L877-Model!I877-IO!$B$4,0)</f>
        <v>1</v>
      </c>
      <c r="N877" s="41">
        <f>IO!$B$5*Model!L877-IO!$B$6*Model!M877</f>
        <v>3980</v>
      </c>
    </row>
    <row r="878" spans="1:14" x14ac:dyDescent="0.35">
      <c r="A878" s="30">
        <v>877</v>
      </c>
      <c r="B878" s="31">
        <v>8</v>
      </c>
      <c r="C878" s="32">
        <f>(IO!$B$4+IO!$B$8)</f>
        <v>102</v>
      </c>
      <c r="D878" s="32">
        <f>IF(B878&gt;IO!$B$8,0,IO!$B$8-Model!B878)</f>
        <v>0</v>
      </c>
      <c r="E878" s="33">
        <f>IO!$B$5*C878-IO!$B$6*D878</f>
        <v>4080</v>
      </c>
      <c r="G878" s="47">
        <v>877</v>
      </c>
      <c r="H878" s="38" t="s">
        <v>7</v>
      </c>
      <c r="I878" s="38">
        <v>8</v>
      </c>
      <c r="J878" s="39">
        <v>0.11430271427087946</v>
      </c>
      <c r="K878" s="40">
        <f>ROUND(NORMINV(J878,IO!$B$10,IO!$B$11),0)</f>
        <v>97</v>
      </c>
      <c r="L878" s="40">
        <f>MIN(K878,IO!$B$4+IO!$B$8)</f>
        <v>97</v>
      </c>
      <c r="M878" s="40">
        <f>IF(L878-I878&gt;IO!$B$4,Model!L878-Model!I878-IO!$B$4,0)</f>
        <v>0</v>
      </c>
      <c r="N878" s="41">
        <f>IO!$B$5*Model!L878-IO!$B$6*Model!M878</f>
        <v>3880</v>
      </c>
    </row>
    <row r="879" spans="1:14" x14ac:dyDescent="0.35">
      <c r="A879" s="30">
        <v>878</v>
      </c>
      <c r="B879" s="31">
        <v>3</v>
      </c>
      <c r="C879" s="32">
        <f>(IO!$B$4+IO!$B$8)</f>
        <v>102</v>
      </c>
      <c r="D879" s="32">
        <f>IF(B879&gt;IO!$B$8,0,IO!$B$8-Model!B879)</f>
        <v>0</v>
      </c>
      <c r="E879" s="33">
        <f>IO!$B$5*C879-IO!$B$6*D879</f>
        <v>4080</v>
      </c>
      <c r="G879" s="47">
        <v>878</v>
      </c>
      <c r="H879" s="38" t="s">
        <v>8</v>
      </c>
      <c r="I879" s="38">
        <v>3</v>
      </c>
      <c r="J879" s="39">
        <v>0.96540671683479806</v>
      </c>
      <c r="K879" s="40">
        <f>ROUND(NORMINV(J879,IO!$B$10,IO!$B$11),0)</f>
        <v>112</v>
      </c>
      <c r="L879" s="40">
        <f>MIN(K879,IO!$B$4+IO!$B$8)</f>
        <v>102</v>
      </c>
      <c r="M879" s="40">
        <f>IF(L879-I879&gt;IO!$B$4,Model!L879-Model!I879-IO!$B$4,0)</f>
        <v>0</v>
      </c>
      <c r="N879" s="41">
        <f>IO!$B$5*Model!L879-IO!$B$6*Model!M879</f>
        <v>4080</v>
      </c>
    </row>
    <row r="880" spans="1:14" x14ac:dyDescent="0.35">
      <c r="A880" s="30">
        <v>879</v>
      </c>
      <c r="B880" s="31">
        <v>0</v>
      </c>
      <c r="C880" s="32">
        <f>(IO!$B$4+IO!$B$8)</f>
        <v>102</v>
      </c>
      <c r="D880" s="32">
        <f>IF(B880&gt;IO!$B$8,0,IO!$B$8-Model!B880)</f>
        <v>2</v>
      </c>
      <c r="E880" s="33">
        <f>IO!$B$5*C880-IO!$B$6*D880</f>
        <v>3880</v>
      </c>
      <c r="G880" s="47">
        <v>879</v>
      </c>
      <c r="H880" s="38" t="s">
        <v>9</v>
      </c>
      <c r="I880" s="38">
        <v>0</v>
      </c>
      <c r="J880" s="39">
        <v>0.8071202663978303</v>
      </c>
      <c r="K880" s="40">
        <f>ROUND(NORMINV(J880,IO!$B$10,IO!$B$11),0)</f>
        <v>107</v>
      </c>
      <c r="L880" s="40">
        <f>MIN(K880,IO!$B$4+IO!$B$8)</f>
        <v>102</v>
      </c>
      <c r="M880" s="40">
        <f>IF(L880-I880&gt;IO!$B$4,Model!L880-Model!I880-IO!$B$4,0)</f>
        <v>2</v>
      </c>
      <c r="N880" s="41">
        <f>IO!$B$5*Model!L880-IO!$B$6*Model!M880</f>
        <v>3880</v>
      </c>
    </row>
    <row r="881" spans="1:14" x14ac:dyDescent="0.35">
      <c r="A881" s="30">
        <v>880</v>
      </c>
      <c r="B881" s="31">
        <v>1</v>
      </c>
      <c r="C881" s="32">
        <f>(IO!$B$4+IO!$B$8)</f>
        <v>102</v>
      </c>
      <c r="D881" s="32">
        <f>IF(B881&gt;IO!$B$8,0,IO!$B$8-Model!B881)</f>
        <v>1</v>
      </c>
      <c r="E881" s="33">
        <f>IO!$B$5*C881-IO!$B$6*D881</f>
        <v>3980</v>
      </c>
      <c r="G881" s="47">
        <v>880</v>
      </c>
      <c r="H881" s="38" t="s">
        <v>7</v>
      </c>
      <c r="I881" s="38">
        <v>1</v>
      </c>
      <c r="J881" s="39">
        <v>2.6780164208767054E-2</v>
      </c>
      <c r="K881" s="40">
        <f>ROUND(NORMINV(J881,IO!$B$10,IO!$B$11),0)</f>
        <v>93</v>
      </c>
      <c r="L881" s="40">
        <f>MIN(K881,IO!$B$4+IO!$B$8)</f>
        <v>93</v>
      </c>
      <c r="M881" s="40">
        <f>IF(L881-I881&gt;IO!$B$4,Model!L881-Model!I881-IO!$B$4,0)</f>
        <v>0</v>
      </c>
      <c r="N881" s="41">
        <f>IO!$B$5*Model!L881-IO!$B$6*Model!M881</f>
        <v>3720</v>
      </c>
    </row>
    <row r="882" spans="1:14" x14ac:dyDescent="0.35">
      <c r="A882" s="30">
        <v>881</v>
      </c>
      <c r="B882" s="31">
        <v>2</v>
      </c>
      <c r="C882" s="32">
        <f>(IO!$B$4+IO!$B$8)</f>
        <v>102</v>
      </c>
      <c r="D882" s="32">
        <f>IF(B882&gt;IO!$B$8,0,IO!$B$8-Model!B882)</f>
        <v>0</v>
      </c>
      <c r="E882" s="33">
        <f>IO!$B$5*C882-IO!$B$6*D882</f>
        <v>4080</v>
      </c>
      <c r="G882" s="47">
        <v>881</v>
      </c>
      <c r="H882" s="38" t="s">
        <v>8</v>
      </c>
      <c r="I882" s="38">
        <v>2</v>
      </c>
      <c r="J882" s="39">
        <v>0.12085432211808234</v>
      </c>
      <c r="K882" s="40">
        <f>ROUND(NORMINV(J882,IO!$B$10,IO!$B$11),0)</f>
        <v>97</v>
      </c>
      <c r="L882" s="40">
        <f>MIN(K882,IO!$B$4+IO!$B$8)</f>
        <v>97</v>
      </c>
      <c r="M882" s="40">
        <f>IF(L882-I882&gt;IO!$B$4,Model!L882-Model!I882-IO!$B$4,0)</f>
        <v>0</v>
      </c>
      <c r="N882" s="41">
        <f>IO!$B$5*Model!L882-IO!$B$6*Model!M882</f>
        <v>3880</v>
      </c>
    </row>
    <row r="883" spans="1:14" x14ac:dyDescent="0.35">
      <c r="A883" s="30">
        <v>882</v>
      </c>
      <c r="B883" s="31">
        <v>1</v>
      </c>
      <c r="C883" s="32">
        <f>(IO!$B$4+IO!$B$8)</f>
        <v>102</v>
      </c>
      <c r="D883" s="32">
        <f>IF(B883&gt;IO!$B$8,0,IO!$B$8-Model!B883)</f>
        <v>1</v>
      </c>
      <c r="E883" s="33">
        <f>IO!$B$5*C883-IO!$B$6*D883</f>
        <v>3980</v>
      </c>
      <c r="G883" s="47">
        <v>882</v>
      </c>
      <c r="H883" s="38" t="s">
        <v>9</v>
      </c>
      <c r="I883" s="38">
        <v>1</v>
      </c>
      <c r="J883" s="39">
        <v>0.62457309744397382</v>
      </c>
      <c r="K883" s="40">
        <f>ROUND(NORMINV(J883,IO!$B$10,IO!$B$11),0)</f>
        <v>105</v>
      </c>
      <c r="L883" s="40">
        <f>MIN(K883,IO!$B$4+IO!$B$8)</f>
        <v>102</v>
      </c>
      <c r="M883" s="40">
        <f>IF(L883-I883&gt;IO!$B$4,Model!L883-Model!I883-IO!$B$4,0)</f>
        <v>1</v>
      </c>
      <c r="N883" s="41">
        <f>IO!$B$5*Model!L883-IO!$B$6*Model!M883</f>
        <v>3980</v>
      </c>
    </row>
    <row r="884" spans="1:14" x14ac:dyDescent="0.35">
      <c r="A884" s="30">
        <v>883</v>
      </c>
      <c r="B884" s="31">
        <v>6</v>
      </c>
      <c r="C884" s="32">
        <f>(IO!$B$4+IO!$B$8)</f>
        <v>102</v>
      </c>
      <c r="D884" s="32">
        <f>IF(B884&gt;IO!$B$8,0,IO!$B$8-Model!B884)</f>
        <v>0</v>
      </c>
      <c r="E884" s="33">
        <f>IO!$B$5*C884-IO!$B$6*D884</f>
        <v>4080</v>
      </c>
      <c r="G884" s="47">
        <v>883</v>
      </c>
      <c r="H884" s="38" t="s">
        <v>7</v>
      </c>
      <c r="I884" s="38">
        <v>6</v>
      </c>
      <c r="J884" s="39">
        <v>0.69727296114487725</v>
      </c>
      <c r="K884" s="40">
        <f>ROUND(NORMINV(J884,IO!$B$10,IO!$B$11),0)</f>
        <v>106</v>
      </c>
      <c r="L884" s="40">
        <f>MIN(K884,IO!$B$4+IO!$B$8)</f>
        <v>102</v>
      </c>
      <c r="M884" s="40">
        <f>IF(L884-I884&gt;IO!$B$4,Model!L884-Model!I884-IO!$B$4,0)</f>
        <v>0</v>
      </c>
      <c r="N884" s="41">
        <f>IO!$B$5*Model!L884-IO!$B$6*Model!M884</f>
        <v>4080</v>
      </c>
    </row>
    <row r="885" spans="1:14" x14ac:dyDescent="0.35">
      <c r="A885" s="30">
        <v>884</v>
      </c>
      <c r="B885" s="31">
        <v>1</v>
      </c>
      <c r="C885" s="32">
        <f>(IO!$B$4+IO!$B$8)</f>
        <v>102</v>
      </c>
      <c r="D885" s="32">
        <f>IF(B885&gt;IO!$B$8,0,IO!$B$8-Model!B885)</f>
        <v>1</v>
      </c>
      <c r="E885" s="33">
        <f>IO!$B$5*C885-IO!$B$6*D885</f>
        <v>3980</v>
      </c>
      <c r="G885" s="47">
        <v>884</v>
      </c>
      <c r="H885" s="38" t="s">
        <v>8</v>
      </c>
      <c r="I885" s="38">
        <v>1</v>
      </c>
      <c r="J885" s="39">
        <v>6.9596955847623709E-2</v>
      </c>
      <c r="K885" s="40">
        <f>ROUND(NORMINV(J885,IO!$B$10,IO!$B$11),0)</f>
        <v>96</v>
      </c>
      <c r="L885" s="40">
        <f>MIN(K885,IO!$B$4+IO!$B$8)</f>
        <v>96</v>
      </c>
      <c r="M885" s="40">
        <f>IF(L885-I885&gt;IO!$B$4,Model!L885-Model!I885-IO!$B$4,0)</f>
        <v>0</v>
      </c>
      <c r="N885" s="41">
        <f>IO!$B$5*Model!L885-IO!$B$6*Model!M885</f>
        <v>3840</v>
      </c>
    </row>
    <row r="886" spans="1:14" x14ac:dyDescent="0.35">
      <c r="A886" s="30">
        <v>885</v>
      </c>
      <c r="B886" s="31">
        <v>0</v>
      </c>
      <c r="C886" s="32">
        <f>(IO!$B$4+IO!$B$8)</f>
        <v>102</v>
      </c>
      <c r="D886" s="32">
        <f>IF(B886&gt;IO!$B$8,0,IO!$B$8-Model!B886)</f>
        <v>2</v>
      </c>
      <c r="E886" s="33">
        <f>IO!$B$5*C886-IO!$B$6*D886</f>
        <v>3880</v>
      </c>
      <c r="G886" s="47">
        <v>885</v>
      </c>
      <c r="H886" s="38" t="s">
        <v>9</v>
      </c>
      <c r="I886" s="38">
        <v>0</v>
      </c>
      <c r="J886" s="39">
        <v>0.48818637337631887</v>
      </c>
      <c r="K886" s="40">
        <f>ROUND(NORMINV(J886,IO!$B$10,IO!$B$11),0)</f>
        <v>103</v>
      </c>
      <c r="L886" s="40">
        <f>MIN(K886,IO!$B$4+IO!$B$8)</f>
        <v>102</v>
      </c>
      <c r="M886" s="40">
        <f>IF(L886-I886&gt;IO!$B$4,Model!L886-Model!I886-IO!$B$4,0)</f>
        <v>2</v>
      </c>
      <c r="N886" s="41">
        <f>IO!$B$5*Model!L886-IO!$B$6*Model!M886</f>
        <v>3880</v>
      </c>
    </row>
    <row r="887" spans="1:14" x14ac:dyDescent="0.35">
      <c r="A887" s="30">
        <v>886</v>
      </c>
      <c r="B887" s="31">
        <v>2</v>
      </c>
      <c r="C887" s="32">
        <f>(IO!$B$4+IO!$B$8)</f>
        <v>102</v>
      </c>
      <c r="D887" s="32">
        <f>IF(B887&gt;IO!$B$8,0,IO!$B$8-Model!B887)</f>
        <v>0</v>
      </c>
      <c r="E887" s="33">
        <f>IO!$B$5*C887-IO!$B$6*D887</f>
        <v>4080</v>
      </c>
      <c r="G887" s="47">
        <v>886</v>
      </c>
      <c r="H887" s="38" t="s">
        <v>7</v>
      </c>
      <c r="I887" s="38">
        <v>2</v>
      </c>
      <c r="J887" s="39">
        <v>0.12165583476896391</v>
      </c>
      <c r="K887" s="40">
        <f>ROUND(NORMINV(J887,IO!$B$10,IO!$B$11),0)</f>
        <v>97</v>
      </c>
      <c r="L887" s="40">
        <f>MIN(K887,IO!$B$4+IO!$B$8)</f>
        <v>97</v>
      </c>
      <c r="M887" s="40">
        <f>IF(L887-I887&gt;IO!$B$4,Model!L887-Model!I887-IO!$B$4,0)</f>
        <v>0</v>
      </c>
      <c r="N887" s="41">
        <f>IO!$B$5*Model!L887-IO!$B$6*Model!M887</f>
        <v>3880</v>
      </c>
    </row>
    <row r="888" spans="1:14" x14ac:dyDescent="0.35">
      <c r="A888" s="30">
        <v>887</v>
      </c>
      <c r="B888" s="31">
        <v>4</v>
      </c>
      <c r="C888" s="32">
        <f>(IO!$B$4+IO!$B$8)</f>
        <v>102</v>
      </c>
      <c r="D888" s="32">
        <f>IF(B888&gt;IO!$B$8,0,IO!$B$8-Model!B888)</f>
        <v>0</v>
      </c>
      <c r="E888" s="33">
        <f>IO!$B$5*C888-IO!$B$6*D888</f>
        <v>4080</v>
      </c>
      <c r="G888" s="47">
        <v>887</v>
      </c>
      <c r="H888" s="38" t="s">
        <v>8</v>
      </c>
      <c r="I888" s="38">
        <v>4</v>
      </c>
      <c r="J888" s="39">
        <v>0.26869056749699805</v>
      </c>
      <c r="K888" s="40">
        <f>ROUND(NORMINV(J888,IO!$B$10,IO!$B$11),0)</f>
        <v>100</v>
      </c>
      <c r="L888" s="40">
        <f>MIN(K888,IO!$B$4+IO!$B$8)</f>
        <v>100</v>
      </c>
      <c r="M888" s="40">
        <f>IF(L888-I888&gt;IO!$B$4,Model!L888-Model!I888-IO!$B$4,0)</f>
        <v>0</v>
      </c>
      <c r="N888" s="41">
        <f>IO!$B$5*Model!L888-IO!$B$6*Model!M888</f>
        <v>4000</v>
      </c>
    </row>
    <row r="889" spans="1:14" x14ac:dyDescent="0.35">
      <c r="A889" s="30">
        <v>888</v>
      </c>
      <c r="B889" s="31">
        <v>1</v>
      </c>
      <c r="C889" s="32">
        <f>(IO!$B$4+IO!$B$8)</f>
        <v>102</v>
      </c>
      <c r="D889" s="32">
        <f>IF(B889&gt;IO!$B$8,0,IO!$B$8-Model!B889)</f>
        <v>1</v>
      </c>
      <c r="E889" s="33">
        <f>IO!$B$5*C889-IO!$B$6*D889</f>
        <v>3980</v>
      </c>
      <c r="G889" s="47">
        <v>888</v>
      </c>
      <c r="H889" s="38" t="s">
        <v>9</v>
      </c>
      <c r="I889" s="38">
        <v>1</v>
      </c>
      <c r="J889" s="39">
        <v>0.35249556318593867</v>
      </c>
      <c r="K889" s="40">
        <f>ROUND(NORMINV(J889,IO!$B$10,IO!$B$11),0)</f>
        <v>101</v>
      </c>
      <c r="L889" s="40">
        <f>MIN(K889,IO!$B$4+IO!$B$8)</f>
        <v>101</v>
      </c>
      <c r="M889" s="40">
        <f>IF(L889-I889&gt;IO!$B$4,Model!L889-Model!I889-IO!$B$4,0)</f>
        <v>0</v>
      </c>
      <c r="N889" s="41">
        <f>IO!$B$5*Model!L889-IO!$B$6*Model!M889</f>
        <v>4040</v>
      </c>
    </row>
    <row r="890" spans="1:14" x14ac:dyDescent="0.35">
      <c r="A890" s="30">
        <v>889</v>
      </c>
      <c r="B890" s="31">
        <v>3</v>
      </c>
      <c r="C890" s="32">
        <f>(IO!$B$4+IO!$B$8)</f>
        <v>102</v>
      </c>
      <c r="D890" s="32">
        <f>IF(B890&gt;IO!$B$8,0,IO!$B$8-Model!B890)</f>
        <v>0</v>
      </c>
      <c r="E890" s="33">
        <f>IO!$B$5*C890-IO!$B$6*D890</f>
        <v>4080</v>
      </c>
      <c r="G890" s="47">
        <v>889</v>
      </c>
      <c r="H890" s="38" t="s">
        <v>7</v>
      </c>
      <c r="I890" s="38">
        <v>3</v>
      </c>
      <c r="J890" s="39">
        <v>0.96776337545730806</v>
      </c>
      <c r="K890" s="40">
        <f>ROUND(NORMINV(J890,IO!$B$10,IO!$B$11),0)</f>
        <v>112</v>
      </c>
      <c r="L890" s="40">
        <f>MIN(K890,IO!$B$4+IO!$B$8)</f>
        <v>102</v>
      </c>
      <c r="M890" s="40">
        <f>IF(L890-I890&gt;IO!$B$4,Model!L890-Model!I890-IO!$B$4,0)</f>
        <v>0</v>
      </c>
      <c r="N890" s="41">
        <f>IO!$B$5*Model!L890-IO!$B$6*Model!M890</f>
        <v>4080</v>
      </c>
    </row>
    <row r="891" spans="1:14" x14ac:dyDescent="0.35">
      <c r="A891" s="30">
        <v>890</v>
      </c>
      <c r="B891" s="31">
        <v>2</v>
      </c>
      <c r="C891" s="32">
        <f>(IO!$B$4+IO!$B$8)</f>
        <v>102</v>
      </c>
      <c r="D891" s="32">
        <f>IF(B891&gt;IO!$B$8,0,IO!$B$8-Model!B891)</f>
        <v>0</v>
      </c>
      <c r="E891" s="33">
        <f>IO!$B$5*C891-IO!$B$6*D891</f>
        <v>4080</v>
      </c>
      <c r="G891" s="47">
        <v>890</v>
      </c>
      <c r="H891" s="38" t="s">
        <v>8</v>
      </c>
      <c r="I891" s="38">
        <v>2</v>
      </c>
      <c r="J891" s="39">
        <v>5.9232477752288681E-2</v>
      </c>
      <c r="K891" s="40">
        <f>ROUND(NORMINV(J891,IO!$B$10,IO!$B$11),0)</f>
        <v>95</v>
      </c>
      <c r="L891" s="40">
        <f>MIN(K891,IO!$B$4+IO!$B$8)</f>
        <v>95</v>
      </c>
      <c r="M891" s="40">
        <f>IF(L891-I891&gt;IO!$B$4,Model!L891-Model!I891-IO!$B$4,0)</f>
        <v>0</v>
      </c>
      <c r="N891" s="41">
        <f>IO!$B$5*Model!L891-IO!$B$6*Model!M891</f>
        <v>3800</v>
      </c>
    </row>
    <row r="892" spans="1:14" x14ac:dyDescent="0.35">
      <c r="A892" s="30">
        <v>891</v>
      </c>
      <c r="B892" s="31">
        <v>1</v>
      </c>
      <c r="C892" s="32">
        <f>(IO!$B$4+IO!$B$8)</f>
        <v>102</v>
      </c>
      <c r="D892" s="32">
        <f>IF(B892&gt;IO!$B$8,0,IO!$B$8-Model!B892)</f>
        <v>1</v>
      </c>
      <c r="E892" s="33">
        <f>IO!$B$5*C892-IO!$B$6*D892</f>
        <v>3980</v>
      </c>
      <c r="G892" s="47">
        <v>891</v>
      </c>
      <c r="H892" s="38" t="s">
        <v>9</v>
      </c>
      <c r="I892" s="38">
        <v>1</v>
      </c>
      <c r="J892" s="39">
        <v>0.70101669047455228</v>
      </c>
      <c r="K892" s="40">
        <f>ROUND(NORMINV(J892,IO!$B$10,IO!$B$11),0)</f>
        <v>106</v>
      </c>
      <c r="L892" s="40">
        <f>MIN(K892,IO!$B$4+IO!$B$8)</f>
        <v>102</v>
      </c>
      <c r="M892" s="40">
        <f>IF(L892-I892&gt;IO!$B$4,Model!L892-Model!I892-IO!$B$4,0)</f>
        <v>1</v>
      </c>
      <c r="N892" s="41">
        <f>IO!$B$5*Model!L892-IO!$B$6*Model!M892</f>
        <v>3980</v>
      </c>
    </row>
    <row r="893" spans="1:14" x14ac:dyDescent="0.35">
      <c r="A893" s="30">
        <v>892</v>
      </c>
      <c r="B893" s="31">
        <v>2</v>
      </c>
      <c r="C893" s="32">
        <f>(IO!$B$4+IO!$B$8)</f>
        <v>102</v>
      </c>
      <c r="D893" s="32">
        <f>IF(B893&gt;IO!$B$8,0,IO!$B$8-Model!B893)</f>
        <v>0</v>
      </c>
      <c r="E893" s="33">
        <f>IO!$B$5*C893-IO!$B$6*D893</f>
        <v>4080</v>
      </c>
      <c r="G893" s="47">
        <v>892</v>
      </c>
      <c r="H893" s="38" t="s">
        <v>7</v>
      </c>
      <c r="I893" s="38">
        <v>2</v>
      </c>
      <c r="J893" s="39">
        <v>0.25995306667851203</v>
      </c>
      <c r="K893" s="40">
        <f>ROUND(NORMINV(J893,IO!$B$10,IO!$B$11),0)</f>
        <v>100</v>
      </c>
      <c r="L893" s="40">
        <f>MIN(K893,IO!$B$4+IO!$B$8)</f>
        <v>100</v>
      </c>
      <c r="M893" s="40">
        <f>IF(L893-I893&gt;IO!$B$4,Model!L893-Model!I893-IO!$B$4,0)</f>
        <v>0</v>
      </c>
      <c r="N893" s="41">
        <f>IO!$B$5*Model!L893-IO!$B$6*Model!M893</f>
        <v>4000</v>
      </c>
    </row>
    <row r="894" spans="1:14" x14ac:dyDescent="0.35">
      <c r="A894" s="30">
        <v>893</v>
      </c>
      <c r="B894" s="31">
        <v>2</v>
      </c>
      <c r="C894" s="32">
        <f>(IO!$B$4+IO!$B$8)</f>
        <v>102</v>
      </c>
      <c r="D894" s="32">
        <f>IF(B894&gt;IO!$B$8,0,IO!$B$8-Model!B894)</f>
        <v>0</v>
      </c>
      <c r="E894" s="33">
        <f>IO!$B$5*C894-IO!$B$6*D894</f>
        <v>4080</v>
      </c>
      <c r="G894" s="47">
        <v>893</v>
      </c>
      <c r="H894" s="38" t="s">
        <v>8</v>
      </c>
      <c r="I894" s="38">
        <v>2</v>
      </c>
      <c r="J894" s="39">
        <v>0.69569059020537138</v>
      </c>
      <c r="K894" s="40">
        <f>ROUND(NORMINV(J894,IO!$B$10,IO!$B$11),0)</f>
        <v>106</v>
      </c>
      <c r="L894" s="40">
        <f>MIN(K894,IO!$B$4+IO!$B$8)</f>
        <v>102</v>
      </c>
      <c r="M894" s="40">
        <f>IF(L894-I894&gt;IO!$B$4,Model!L894-Model!I894-IO!$B$4,0)</f>
        <v>0</v>
      </c>
      <c r="N894" s="41">
        <f>IO!$B$5*Model!L894-IO!$B$6*Model!M894</f>
        <v>4080</v>
      </c>
    </row>
    <row r="895" spans="1:14" x14ac:dyDescent="0.35">
      <c r="A895" s="30">
        <v>894</v>
      </c>
      <c r="B895" s="31">
        <v>3</v>
      </c>
      <c r="C895" s="32">
        <f>(IO!$B$4+IO!$B$8)</f>
        <v>102</v>
      </c>
      <c r="D895" s="32">
        <f>IF(B895&gt;IO!$B$8,0,IO!$B$8-Model!B895)</f>
        <v>0</v>
      </c>
      <c r="E895" s="33">
        <f>IO!$B$5*C895-IO!$B$6*D895</f>
        <v>4080</v>
      </c>
      <c r="G895" s="47">
        <v>894</v>
      </c>
      <c r="H895" s="38" t="s">
        <v>9</v>
      </c>
      <c r="I895" s="38">
        <v>3</v>
      </c>
      <c r="J895" s="39">
        <v>0.52444386726923031</v>
      </c>
      <c r="K895" s="40">
        <f>ROUND(NORMINV(J895,IO!$B$10,IO!$B$11),0)</f>
        <v>103</v>
      </c>
      <c r="L895" s="40">
        <f>MIN(K895,IO!$B$4+IO!$B$8)</f>
        <v>102</v>
      </c>
      <c r="M895" s="40">
        <f>IF(L895-I895&gt;IO!$B$4,Model!L895-Model!I895-IO!$B$4,0)</f>
        <v>0</v>
      </c>
      <c r="N895" s="41">
        <f>IO!$B$5*Model!L895-IO!$B$6*Model!M895</f>
        <v>4080</v>
      </c>
    </row>
    <row r="896" spans="1:14" x14ac:dyDescent="0.35">
      <c r="A896" s="30">
        <v>895</v>
      </c>
      <c r="B896" s="31">
        <v>6</v>
      </c>
      <c r="C896" s="32">
        <f>(IO!$B$4+IO!$B$8)</f>
        <v>102</v>
      </c>
      <c r="D896" s="32">
        <f>IF(B896&gt;IO!$B$8,0,IO!$B$8-Model!B896)</f>
        <v>0</v>
      </c>
      <c r="E896" s="33">
        <f>IO!$B$5*C896-IO!$B$6*D896</f>
        <v>4080</v>
      </c>
      <c r="G896" s="47">
        <v>895</v>
      </c>
      <c r="H896" s="38" t="s">
        <v>7</v>
      </c>
      <c r="I896" s="38">
        <v>6</v>
      </c>
      <c r="J896" s="39">
        <v>0.32206200191548962</v>
      </c>
      <c r="K896" s="40">
        <f>ROUND(NORMINV(J896,IO!$B$10,IO!$B$11),0)</f>
        <v>101</v>
      </c>
      <c r="L896" s="40">
        <f>MIN(K896,IO!$B$4+IO!$B$8)</f>
        <v>101</v>
      </c>
      <c r="M896" s="40">
        <f>IF(L896-I896&gt;IO!$B$4,Model!L896-Model!I896-IO!$B$4,0)</f>
        <v>0</v>
      </c>
      <c r="N896" s="41">
        <f>IO!$B$5*Model!L896-IO!$B$6*Model!M896</f>
        <v>4040</v>
      </c>
    </row>
    <row r="897" spans="1:14" x14ac:dyDescent="0.35">
      <c r="A897" s="30">
        <v>896</v>
      </c>
      <c r="B897" s="31">
        <v>3</v>
      </c>
      <c r="C897" s="32">
        <f>(IO!$B$4+IO!$B$8)</f>
        <v>102</v>
      </c>
      <c r="D897" s="32">
        <f>IF(B897&gt;IO!$B$8,0,IO!$B$8-Model!B897)</f>
        <v>0</v>
      </c>
      <c r="E897" s="33">
        <f>IO!$B$5*C897-IO!$B$6*D897</f>
        <v>4080</v>
      </c>
      <c r="G897" s="47">
        <v>896</v>
      </c>
      <c r="H897" s="38" t="s">
        <v>8</v>
      </c>
      <c r="I897" s="38">
        <v>3</v>
      </c>
      <c r="J897" s="39">
        <v>8.4348172374901442E-2</v>
      </c>
      <c r="K897" s="40">
        <f>ROUND(NORMINV(J897,IO!$B$10,IO!$B$11),0)</f>
        <v>96</v>
      </c>
      <c r="L897" s="40">
        <f>MIN(K897,IO!$B$4+IO!$B$8)</f>
        <v>96</v>
      </c>
      <c r="M897" s="40">
        <f>IF(L897-I897&gt;IO!$B$4,Model!L897-Model!I897-IO!$B$4,0)</f>
        <v>0</v>
      </c>
      <c r="N897" s="41">
        <f>IO!$B$5*Model!L897-IO!$B$6*Model!M897</f>
        <v>3840</v>
      </c>
    </row>
    <row r="898" spans="1:14" x14ac:dyDescent="0.35">
      <c r="A898" s="30">
        <v>897</v>
      </c>
      <c r="B898" s="31">
        <v>2</v>
      </c>
      <c r="C898" s="32">
        <f>(IO!$B$4+IO!$B$8)</f>
        <v>102</v>
      </c>
      <c r="D898" s="32">
        <f>IF(B898&gt;IO!$B$8,0,IO!$B$8-Model!B898)</f>
        <v>0</v>
      </c>
      <c r="E898" s="33">
        <f>IO!$B$5*C898-IO!$B$6*D898</f>
        <v>4080</v>
      </c>
      <c r="G898" s="47">
        <v>897</v>
      </c>
      <c r="H898" s="38" t="s">
        <v>9</v>
      </c>
      <c r="I898" s="38">
        <v>2</v>
      </c>
      <c r="J898" s="39">
        <v>0.88496650409652866</v>
      </c>
      <c r="K898" s="40">
        <f>ROUND(NORMINV(J898,IO!$B$10,IO!$B$11),0)</f>
        <v>109</v>
      </c>
      <c r="L898" s="40">
        <f>MIN(K898,IO!$B$4+IO!$B$8)</f>
        <v>102</v>
      </c>
      <c r="M898" s="40">
        <f>IF(L898-I898&gt;IO!$B$4,Model!L898-Model!I898-IO!$B$4,0)</f>
        <v>0</v>
      </c>
      <c r="N898" s="41">
        <f>IO!$B$5*Model!L898-IO!$B$6*Model!M898</f>
        <v>4080</v>
      </c>
    </row>
    <row r="899" spans="1:14" x14ac:dyDescent="0.35">
      <c r="A899" s="30">
        <v>898</v>
      </c>
      <c r="B899" s="31">
        <v>2</v>
      </c>
      <c r="C899" s="32">
        <f>(IO!$B$4+IO!$B$8)</f>
        <v>102</v>
      </c>
      <c r="D899" s="32">
        <f>IF(B899&gt;IO!$B$8,0,IO!$B$8-Model!B899)</f>
        <v>0</v>
      </c>
      <c r="E899" s="33">
        <f>IO!$B$5*C899-IO!$B$6*D899</f>
        <v>4080</v>
      </c>
      <c r="G899" s="47">
        <v>898</v>
      </c>
      <c r="H899" s="38" t="s">
        <v>7</v>
      </c>
      <c r="I899" s="38">
        <v>2</v>
      </c>
      <c r="J899" s="39">
        <v>0.77948735215227949</v>
      </c>
      <c r="K899" s="40">
        <f>ROUND(NORMINV(J899,IO!$B$10,IO!$B$11),0)</f>
        <v>107</v>
      </c>
      <c r="L899" s="40">
        <f>MIN(K899,IO!$B$4+IO!$B$8)</f>
        <v>102</v>
      </c>
      <c r="M899" s="40">
        <f>IF(L899-I899&gt;IO!$B$4,Model!L899-Model!I899-IO!$B$4,0)</f>
        <v>0</v>
      </c>
      <c r="N899" s="41">
        <f>IO!$B$5*Model!L899-IO!$B$6*Model!M899</f>
        <v>4080</v>
      </c>
    </row>
    <row r="900" spans="1:14" x14ac:dyDescent="0.35">
      <c r="A900" s="30">
        <v>899</v>
      </c>
      <c r="B900" s="31">
        <v>3</v>
      </c>
      <c r="C900" s="32">
        <f>(IO!$B$4+IO!$B$8)</f>
        <v>102</v>
      </c>
      <c r="D900" s="32">
        <f>IF(B900&gt;IO!$B$8,0,IO!$B$8-Model!B900)</f>
        <v>0</v>
      </c>
      <c r="E900" s="33">
        <f>IO!$B$5*C900-IO!$B$6*D900</f>
        <v>4080</v>
      </c>
      <c r="G900" s="47">
        <v>899</v>
      </c>
      <c r="H900" s="38" t="s">
        <v>8</v>
      </c>
      <c r="I900" s="38">
        <v>3</v>
      </c>
      <c r="J900" s="39">
        <v>0.16095515347518607</v>
      </c>
      <c r="K900" s="40">
        <f>ROUND(NORMINV(J900,IO!$B$10,IO!$B$11),0)</f>
        <v>98</v>
      </c>
      <c r="L900" s="40">
        <f>MIN(K900,IO!$B$4+IO!$B$8)</f>
        <v>98</v>
      </c>
      <c r="M900" s="40">
        <f>IF(L900-I900&gt;IO!$B$4,Model!L900-Model!I900-IO!$B$4,0)</f>
        <v>0</v>
      </c>
      <c r="N900" s="41">
        <f>IO!$B$5*Model!L900-IO!$B$6*Model!M900</f>
        <v>3920</v>
      </c>
    </row>
    <row r="901" spans="1:14" x14ac:dyDescent="0.35">
      <c r="A901" s="30">
        <v>900</v>
      </c>
      <c r="B901" s="31">
        <v>0</v>
      </c>
      <c r="C901" s="32">
        <f>(IO!$B$4+IO!$B$8)</f>
        <v>102</v>
      </c>
      <c r="D901" s="32">
        <f>IF(B901&gt;IO!$B$8,0,IO!$B$8-Model!B901)</f>
        <v>2</v>
      </c>
      <c r="E901" s="33">
        <f>IO!$B$5*C901-IO!$B$6*D901</f>
        <v>3880</v>
      </c>
      <c r="G901" s="47">
        <v>900</v>
      </c>
      <c r="H901" s="38" t="s">
        <v>9</v>
      </c>
      <c r="I901" s="38">
        <v>0</v>
      </c>
      <c r="J901" s="39">
        <v>0.64707252303918084</v>
      </c>
      <c r="K901" s="40">
        <f>ROUND(NORMINV(J901,IO!$B$10,IO!$B$11),0)</f>
        <v>105</v>
      </c>
      <c r="L901" s="40">
        <f>MIN(K901,IO!$B$4+IO!$B$8)</f>
        <v>102</v>
      </c>
      <c r="M901" s="40">
        <f>IF(L901-I901&gt;IO!$B$4,Model!L901-Model!I901-IO!$B$4,0)</f>
        <v>2</v>
      </c>
      <c r="N901" s="41">
        <f>IO!$B$5*Model!L901-IO!$B$6*Model!M901</f>
        <v>3880</v>
      </c>
    </row>
    <row r="902" spans="1:14" x14ac:dyDescent="0.35">
      <c r="A902" s="30">
        <v>901</v>
      </c>
      <c r="B902" s="31">
        <v>3</v>
      </c>
      <c r="C902" s="32">
        <f>(IO!$B$4+IO!$B$8)</f>
        <v>102</v>
      </c>
      <c r="D902" s="32">
        <f>IF(B902&gt;IO!$B$8,0,IO!$B$8-Model!B902)</f>
        <v>0</v>
      </c>
      <c r="E902" s="33">
        <f>IO!$B$5*C902-IO!$B$6*D902</f>
        <v>4080</v>
      </c>
      <c r="G902" s="47">
        <v>901</v>
      </c>
      <c r="H902" s="38" t="s">
        <v>7</v>
      </c>
      <c r="I902" s="38">
        <v>3</v>
      </c>
      <c r="J902" s="39">
        <v>0.3562203584989041</v>
      </c>
      <c r="K902" s="40">
        <f>ROUND(NORMINV(J902,IO!$B$10,IO!$B$11),0)</f>
        <v>101</v>
      </c>
      <c r="L902" s="40">
        <f>MIN(K902,IO!$B$4+IO!$B$8)</f>
        <v>101</v>
      </c>
      <c r="M902" s="40">
        <f>IF(L902-I902&gt;IO!$B$4,Model!L902-Model!I902-IO!$B$4,0)</f>
        <v>0</v>
      </c>
      <c r="N902" s="41">
        <f>IO!$B$5*Model!L902-IO!$B$6*Model!M902</f>
        <v>4040</v>
      </c>
    </row>
    <row r="903" spans="1:14" x14ac:dyDescent="0.35">
      <c r="A903" s="30">
        <v>902</v>
      </c>
      <c r="B903" s="31">
        <v>3</v>
      </c>
      <c r="C903" s="32">
        <f>(IO!$B$4+IO!$B$8)</f>
        <v>102</v>
      </c>
      <c r="D903" s="32">
        <f>IF(B903&gt;IO!$B$8,0,IO!$B$8-Model!B903)</f>
        <v>0</v>
      </c>
      <c r="E903" s="33">
        <f>IO!$B$5*C903-IO!$B$6*D903</f>
        <v>4080</v>
      </c>
      <c r="G903" s="47">
        <v>902</v>
      </c>
      <c r="H903" s="38" t="s">
        <v>8</v>
      </c>
      <c r="I903" s="38">
        <v>3</v>
      </c>
      <c r="J903" s="39">
        <v>0.70649558776612709</v>
      </c>
      <c r="K903" s="40">
        <f>ROUND(NORMINV(J903,IO!$B$10,IO!$B$11),0)</f>
        <v>106</v>
      </c>
      <c r="L903" s="40">
        <f>MIN(K903,IO!$B$4+IO!$B$8)</f>
        <v>102</v>
      </c>
      <c r="M903" s="40">
        <f>IF(L903-I903&gt;IO!$B$4,Model!L903-Model!I903-IO!$B$4,0)</f>
        <v>0</v>
      </c>
      <c r="N903" s="41">
        <f>IO!$B$5*Model!L903-IO!$B$6*Model!M903</f>
        <v>4080</v>
      </c>
    </row>
    <row r="904" spans="1:14" x14ac:dyDescent="0.35">
      <c r="A904" s="30">
        <v>903</v>
      </c>
      <c r="B904" s="31">
        <v>1</v>
      </c>
      <c r="C904" s="32">
        <f>(IO!$B$4+IO!$B$8)</f>
        <v>102</v>
      </c>
      <c r="D904" s="32">
        <f>IF(B904&gt;IO!$B$8,0,IO!$B$8-Model!B904)</f>
        <v>1</v>
      </c>
      <c r="E904" s="33">
        <f>IO!$B$5*C904-IO!$B$6*D904</f>
        <v>3980</v>
      </c>
      <c r="G904" s="47">
        <v>903</v>
      </c>
      <c r="H904" s="38" t="s">
        <v>9</v>
      </c>
      <c r="I904" s="38">
        <v>1</v>
      </c>
      <c r="J904" s="39">
        <v>0.87371792037365004</v>
      </c>
      <c r="K904" s="40">
        <f>ROUND(NORMINV(J904,IO!$B$10,IO!$B$11),0)</f>
        <v>109</v>
      </c>
      <c r="L904" s="40">
        <f>MIN(K904,IO!$B$4+IO!$B$8)</f>
        <v>102</v>
      </c>
      <c r="M904" s="40">
        <f>IF(L904-I904&gt;IO!$B$4,Model!L904-Model!I904-IO!$B$4,0)</f>
        <v>1</v>
      </c>
      <c r="N904" s="41">
        <f>IO!$B$5*Model!L904-IO!$B$6*Model!M904</f>
        <v>3980</v>
      </c>
    </row>
    <row r="905" spans="1:14" x14ac:dyDescent="0.35">
      <c r="A905" s="30">
        <v>904</v>
      </c>
      <c r="B905" s="31">
        <v>3</v>
      </c>
      <c r="C905" s="32">
        <f>(IO!$B$4+IO!$B$8)</f>
        <v>102</v>
      </c>
      <c r="D905" s="32">
        <f>IF(B905&gt;IO!$B$8,0,IO!$B$8-Model!B905)</f>
        <v>0</v>
      </c>
      <c r="E905" s="33">
        <f>IO!$B$5*C905-IO!$B$6*D905</f>
        <v>4080</v>
      </c>
      <c r="G905" s="47">
        <v>904</v>
      </c>
      <c r="H905" s="38" t="s">
        <v>7</v>
      </c>
      <c r="I905" s="38">
        <v>3</v>
      </c>
      <c r="J905" s="39">
        <v>0.77368915571201613</v>
      </c>
      <c r="K905" s="40">
        <f>ROUND(NORMINV(J905,IO!$B$10,IO!$B$11),0)</f>
        <v>107</v>
      </c>
      <c r="L905" s="40">
        <f>MIN(K905,IO!$B$4+IO!$B$8)</f>
        <v>102</v>
      </c>
      <c r="M905" s="40">
        <f>IF(L905-I905&gt;IO!$B$4,Model!L905-Model!I905-IO!$B$4,0)</f>
        <v>0</v>
      </c>
      <c r="N905" s="41">
        <f>IO!$B$5*Model!L905-IO!$B$6*Model!M905</f>
        <v>4080</v>
      </c>
    </row>
    <row r="906" spans="1:14" x14ac:dyDescent="0.35">
      <c r="A906" s="30">
        <v>905</v>
      </c>
      <c r="B906" s="31">
        <v>6</v>
      </c>
      <c r="C906" s="32">
        <f>(IO!$B$4+IO!$B$8)</f>
        <v>102</v>
      </c>
      <c r="D906" s="32">
        <f>IF(B906&gt;IO!$B$8,0,IO!$B$8-Model!B906)</f>
        <v>0</v>
      </c>
      <c r="E906" s="33">
        <f>IO!$B$5*C906-IO!$B$6*D906</f>
        <v>4080</v>
      </c>
      <c r="G906" s="47">
        <v>905</v>
      </c>
      <c r="H906" s="38" t="s">
        <v>8</v>
      </c>
      <c r="I906" s="38">
        <v>6</v>
      </c>
      <c r="J906" s="39">
        <v>0.54606619835499881</v>
      </c>
      <c r="K906" s="40">
        <f>ROUND(NORMINV(J906,IO!$B$10,IO!$B$11),0)</f>
        <v>104</v>
      </c>
      <c r="L906" s="40">
        <f>MIN(K906,IO!$B$4+IO!$B$8)</f>
        <v>102</v>
      </c>
      <c r="M906" s="40">
        <f>IF(L906-I906&gt;IO!$B$4,Model!L906-Model!I906-IO!$B$4,0)</f>
        <v>0</v>
      </c>
      <c r="N906" s="41">
        <f>IO!$B$5*Model!L906-IO!$B$6*Model!M906</f>
        <v>4080</v>
      </c>
    </row>
    <row r="907" spans="1:14" x14ac:dyDescent="0.35">
      <c r="A907" s="30">
        <v>906</v>
      </c>
      <c r="B907" s="31">
        <v>0</v>
      </c>
      <c r="C907" s="32">
        <f>(IO!$B$4+IO!$B$8)</f>
        <v>102</v>
      </c>
      <c r="D907" s="32">
        <f>IF(B907&gt;IO!$B$8,0,IO!$B$8-Model!B907)</f>
        <v>2</v>
      </c>
      <c r="E907" s="33">
        <f>IO!$B$5*C907-IO!$B$6*D907</f>
        <v>3880</v>
      </c>
      <c r="G907" s="47">
        <v>906</v>
      </c>
      <c r="H907" s="38" t="s">
        <v>9</v>
      </c>
      <c r="I907" s="38">
        <v>0</v>
      </c>
      <c r="J907" s="39">
        <v>0.11141439372815909</v>
      </c>
      <c r="K907" s="40">
        <f>ROUND(NORMINV(J907,IO!$B$10,IO!$B$11),0)</f>
        <v>97</v>
      </c>
      <c r="L907" s="40">
        <f>MIN(K907,IO!$B$4+IO!$B$8)</f>
        <v>97</v>
      </c>
      <c r="M907" s="40">
        <f>IF(L907-I907&gt;IO!$B$4,Model!L907-Model!I907-IO!$B$4,0)</f>
        <v>0</v>
      </c>
      <c r="N907" s="41">
        <f>IO!$B$5*Model!L907-IO!$B$6*Model!M907</f>
        <v>3880</v>
      </c>
    </row>
    <row r="908" spans="1:14" x14ac:dyDescent="0.35">
      <c r="A908" s="30">
        <v>907</v>
      </c>
      <c r="B908" s="31">
        <v>2</v>
      </c>
      <c r="C908" s="32">
        <f>(IO!$B$4+IO!$B$8)</f>
        <v>102</v>
      </c>
      <c r="D908" s="32">
        <f>IF(B908&gt;IO!$B$8,0,IO!$B$8-Model!B908)</f>
        <v>0</v>
      </c>
      <c r="E908" s="33">
        <f>IO!$B$5*C908-IO!$B$6*D908</f>
        <v>4080</v>
      </c>
      <c r="G908" s="47">
        <v>907</v>
      </c>
      <c r="H908" s="38" t="s">
        <v>7</v>
      </c>
      <c r="I908" s="38">
        <v>2</v>
      </c>
      <c r="J908" s="39">
        <v>0.17732691282115587</v>
      </c>
      <c r="K908" s="40">
        <f>ROUND(NORMINV(J908,IO!$B$10,IO!$B$11),0)</f>
        <v>98</v>
      </c>
      <c r="L908" s="40">
        <f>MIN(K908,IO!$B$4+IO!$B$8)</f>
        <v>98</v>
      </c>
      <c r="M908" s="40">
        <f>IF(L908-I908&gt;IO!$B$4,Model!L908-Model!I908-IO!$B$4,0)</f>
        <v>0</v>
      </c>
      <c r="N908" s="41">
        <f>IO!$B$5*Model!L908-IO!$B$6*Model!M908</f>
        <v>3920</v>
      </c>
    </row>
    <row r="909" spans="1:14" x14ac:dyDescent="0.35">
      <c r="A909" s="30">
        <v>908</v>
      </c>
      <c r="B909" s="31">
        <v>3</v>
      </c>
      <c r="C909" s="32">
        <f>(IO!$B$4+IO!$B$8)</f>
        <v>102</v>
      </c>
      <c r="D909" s="32">
        <f>IF(B909&gt;IO!$B$8,0,IO!$B$8-Model!B909)</f>
        <v>0</v>
      </c>
      <c r="E909" s="33">
        <f>IO!$B$5*C909-IO!$B$6*D909</f>
        <v>4080</v>
      </c>
      <c r="G909" s="47">
        <v>908</v>
      </c>
      <c r="H909" s="38" t="s">
        <v>8</v>
      </c>
      <c r="I909" s="38">
        <v>3</v>
      </c>
      <c r="J909" s="39">
        <v>0.15243191385787702</v>
      </c>
      <c r="K909" s="40">
        <f>ROUND(NORMINV(J909,IO!$B$10,IO!$B$11),0)</f>
        <v>98</v>
      </c>
      <c r="L909" s="40">
        <f>MIN(K909,IO!$B$4+IO!$B$8)</f>
        <v>98</v>
      </c>
      <c r="M909" s="40">
        <f>IF(L909-I909&gt;IO!$B$4,Model!L909-Model!I909-IO!$B$4,0)</f>
        <v>0</v>
      </c>
      <c r="N909" s="41">
        <f>IO!$B$5*Model!L909-IO!$B$6*Model!M909</f>
        <v>3920</v>
      </c>
    </row>
    <row r="910" spans="1:14" x14ac:dyDescent="0.35">
      <c r="A910" s="30">
        <v>909</v>
      </c>
      <c r="B910" s="31">
        <v>3</v>
      </c>
      <c r="C910" s="32">
        <f>(IO!$B$4+IO!$B$8)</f>
        <v>102</v>
      </c>
      <c r="D910" s="32">
        <f>IF(B910&gt;IO!$B$8,0,IO!$B$8-Model!B910)</f>
        <v>0</v>
      </c>
      <c r="E910" s="33">
        <f>IO!$B$5*C910-IO!$B$6*D910</f>
        <v>4080</v>
      </c>
      <c r="G910" s="47">
        <v>909</v>
      </c>
      <c r="H910" s="38" t="s">
        <v>9</v>
      </c>
      <c r="I910" s="38">
        <v>3</v>
      </c>
      <c r="J910" s="39">
        <v>0.80725633063095348</v>
      </c>
      <c r="K910" s="40">
        <f>ROUND(NORMINV(J910,IO!$B$10,IO!$B$11),0)</f>
        <v>107</v>
      </c>
      <c r="L910" s="40">
        <f>MIN(K910,IO!$B$4+IO!$B$8)</f>
        <v>102</v>
      </c>
      <c r="M910" s="40">
        <f>IF(L910-I910&gt;IO!$B$4,Model!L910-Model!I910-IO!$B$4,0)</f>
        <v>0</v>
      </c>
      <c r="N910" s="41">
        <f>IO!$B$5*Model!L910-IO!$B$6*Model!M910</f>
        <v>4080</v>
      </c>
    </row>
    <row r="911" spans="1:14" x14ac:dyDescent="0.35">
      <c r="A911" s="30">
        <v>910</v>
      </c>
      <c r="B911" s="31">
        <v>6</v>
      </c>
      <c r="C911" s="32">
        <f>(IO!$B$4+IO!$B$8)</f>
        <v>102</v>
      </c>
      <c r="D911" s="32">
        <f>IF(B911&gt;IO!$B$8,0,IO!$B$8-Model!B911)</f>
        <v>0</v>
      </c>
      <c r="E911" s="33">
        <f>IO!$B$5*C911-IO!$B$6*D911</f>
        <v>4080</v>
      </c>
      <c r="G911" s="47">
        <v>910</v>
      </c>
      <c r="H911" s="38" t="s">
        <v>7</v>
      </c>
      <c r="I911" s="38">
        <v>6</v>
      </c>
      <c r="J911" s="39">
        <v>1.1217784577355117E-2</v>
      </c>
      <c r="K911" s="40">
        <f>ROUND(NORMINV(J911,IO!$B$10,IO!$B$11),0)</f>
        <v>92</v>
      </c>
      <c r="L911" s="40">
        <f>MIN(K911,IO!$B$4+IO!$B$8)</f>
        <v>92</v>
      </c>
      <c r="M911" s="40">
        <f>IF(L911-I911&gt;IO!$B$4,Model!L911-Model!I911-IO!$B$4,0)</f>
        <v>0</v>
      </c>
      <c r="N911" s="41">
        <f>IO!$B$5*Model!L911-IO!$B$6*Model!M911</f>
        <v>3680</v>
      </c>
    </row>
    <row r="912" spans="1:14" x14ac:dyDescent="0.35">
      <c r="A912" s="30">
        <v>911</v>
      </c>
      <c r="B912" s="31">
        <v>3</v>
      </c>
      <c r="C912" s="32">
        <f>(IO!$B$4+IO!$B$8)</f>
        <v>102</v>
      </c>
      <c r="D912" s="32">
        <f>IF(B912&gt;IO!$B$8,0,IO!$B$8-Model!B912)</f>
        <v>0</v>
      </c>
      <c r="E912" s="33">
        <f>IO!$B$5*C912-IO!$B$6*D912</f>
        <v>4080</v>
      </c>
      <c r="G912" s="47">
        <v>911</v>
      </c>
      <c r="H912" s="38" t="s">
        <v>8</v>
      </c>
      <c r="I912" s="38">
        <v>3</v>
      </c>
      <c r="J912" s="39">
        <v>0.43308979290064331</v>
      </c>
      <c r="K912" s="40">
        <f>ROUND(NORMINV(J912,IO!$B$10,IO!$B$11),0)</f>
        <v>102</v>
      </c>
      <c r="L912" s="40">
        <f>MIN(K912,IO!$B$4+IO!$B$8)</f>
        <v>102</v>
      </c>
      <c r="M912" s="40">
        <f>IF(L912-I912&gt;IO!$B$4,Model!L912-Model!I912-IO!$B$4,0)</f>
        <v>0</v>
      </c>
      <c r="N912" s="41">
        <f>IO!$B$5*Model!L912-IO!$B$6*Model!M912</f>
        <v>4080</v>
      </c>
    </row>
    <row r="913" spans="1:14" x14ac:dyDescent="0.35">
      <c r="A913" s="30">
        <v>912</v>
      </c>
      <c r="B913" s="31">
        <v>1</v>
      </c>
      <c r="C913" s="32">
        <f>(IO!$B$4+IO!$B$8)</f>
        <v>102</v>
      </c>
      <c r="D913" s="32">
        <f>IF(B913&gt;IO!$B$8,0,IO!$B$8-Model!B913)</f>
        <v>1</v>
      </c>
      <c r="E913" s="33">
        <f>IO!$B$5*C913-IO!$B$6*D913</f>
        <v>3980</v>
      </c>
      <c r="G913" s="47">
        <v>912</v>
      </c>
      <c r="H913" s="38" t="s">
        <v>9</v>
      </c>
      <c r="I913" s="38">
        <v>1</v>
      </c>
      <c r="J913" s="39">
        <v>0.5934171268030729</v>
      </c>
      <c r="K913" s="40">
        <f>ROUND(NORMINV(J913,IO!$B$10,IO!$B$11),0)</f>
        <v>104</v>
      </c>
      <c r="L913" s="40">
        <f>MIN(K913,IO!$B$4+IO!$B$8)</f>
        <v>102</v>
      </c>
      <c r="M913" s="40">
        <f>IF(L913-I913&gt;IO!$B$4,Model!L913-Model!I913-IO!$B$4,0)</f>
        <v>1</v>
      </c>
      <c r="N913" s="41">
        <f>IO!$B$5*Model!L913-IO!$B$6*Model!M913</f>
        <v>3980</v>
      </c>
    </row>
    <row r="914" spans="1:14" x14ac:dyDescent="0.35">
      <c r="A914" s="30">
        <v>913</v>
      </c>
      <c r="B914" s="31">
        <v>2</v>
      </c>
      <c r="C914" s="32">
        <f>(IO!$B$4+IO!$B$8)</f>
        <v>102</v>
      </c>
      <c r="D914" s="32">
        <f>IF(B914&gt;IO!$B$8,0,IO!$B$8-Model!B914)</f>
        <v>0</v>
      </c>
      <c r="E914" s="33">
        <f>IO!$B$5*C914-IO!$B$6*D914</f>
        <v>4080</v>
      </c>
      <c r="G914" s="47">
        <v>913</v>
      </c>
      <c r="H914" s="38" t="s">
        <v>7</v>
      </c>
      <c r="I914" s="38">
        <v>2</v>
      </c>
      <c r="J914" s="39">
        <v>9.754881263643167E-2</v>
      </c>
      <c r="K914" s="40">
        <f>ROUND(NORMINV(J914,IO!$B$10,IO!$B$11),0)</f>
        <v>97</v>
      </c>
      <c r="L914" s="40">
        <f>MIN(K914,IO!$B$4+IO!$B$8)</f>
        <v>97</v>
      </c>
      <c r="M914" s="40">
        <f>IF(L914-I914&gt;IO!$B$4,Model!L914-Model!I914-IO!$B$4,0)</f>
        <v>0</v>
      </c>
      <c r="N914" s="41">
        <f>IO!$B$5*Model!L914-IO!$B$6*Model!M914</f>
        <v>3880</v>
      </c>
    </row>
    <row r="915" spans="1:14" x14ac:dyDescent="0.35">
      <c r="A915" s="30">
        <v>914</v>
      </c>
      <c r="B915" s="31">
        <v>2</v>
      </c>
      <c r="C915" s="32">
        <f>(IO!$B$4+IO!$B$8)</f>
        <v>102</v>
      </c>
      <c r="D915" s="32">
        <f>IF(B915&gt;IO!$B$8,0,IO!$B$8-Model!B915)</f>
        <v>0</v>
      </c>
      <c r="E915" s="33">
        <f>IO!$B$5*C915-IO!$B$6*D915</f>
        <v>4080</v>
      </c>
      <c r="G915" s="47">
        <v>914</v>
      </c>
      <c r="H915" s="38" t="s">
        <v>8</v>
      </c>
      <c r="I915" s="38">
        <v>2</v>
      </c>
      <c r="J915" s="39">
        <v>0.46554202226456176</v>
      </c>
      <c r="K915" s="40">
        <f>ROUND(NORMINV(J915,IO!$B$10,IO!$B$11),0)</f>
        <v>103</v>
      </c>
      <c r="L915" s="40">
        <f>MIN(K915,IO!$B$4+IO!$B$8)</f>
        <v>102</v>
      </c>
      <c r="M915" s="40">
        <f>IF(L915-I915&gt;IO!$B$4,Model!L915-Model!I915-IO!$B$4,0)</f>
        <v>0</v>
      </c>
      <c r="N915" s="41">
        <f>IO!$B$5*Model!L915-IO!$B$6*Model!M915</f>
        <v>4080</v>
      </c>
    </row>
    <row r="916" spans="1:14" x14ac:dyDescent="0.35">
      <c r="A916" s="30">
        <v>915</v>
      </c>
      <c r="B916" s="31">
        <v>1</v>
      </c>
      <c r="C916" s="32">
        <f>(IO!$B$4+IO!$B$8)</f>
        <v>102</v>
      </c>
      <c r="D916" s="32">
        <f>IF(B916&gt;IO!$B$8,0,IO!$B$8-Model!B916)</f>
        <v>1</v>
      </c>
      <c r="E916" s="33">
        <f>IO!$B$5*C916-IO!$B$6*D916</f>
        <v>3980</v>
      </c>
      <c r="G916" s="47">
        <v>915</v>
      </c>
      <c r="H916" s="38" t="s">
        <v>9</v>
      </c>
      <c r="I916" s="38">
        <v>1</v>
      </c>
      <c r="J916" s="39">
        <v>0.82351077494970737</v>
      </c>
      <c r="K916" s="40">
        <f>ROUND(NORMINV(J916,IO!$B$10,IO!$B$11),0)</f>
        <v>108</v>
      </c>
      <c r="L916" s="40">
        <f>MIN(K916,IO!$B$4+IO!$B$8)</f>
        <v>102</v>
      </c>
      <c r="M916" s="40">
        <f>IF(L916-I916&gt;IO!$B$4,Model!L916-Model!I916-IO!$B$4,0)</f>
        <v>1</v>
      </c>
      <c r="N916" s="41">
        <f>IO!$B$5*Model!L916-IO!$B$6*Model!M916</f>
        <v>3980</v>
      </c>
    </row>
    <row r="917" spans="1:14" x14ac:dyDescent="0.35">
      <c r="A917" s="30">
        <v>916</v>
      </c>
      <c r="B917" s="31">
        <v>7</v>
      </c>
      <c r="C917" s="32">
        <f>(IO!$B$4+IO!$B$8)</f>
        <v>102</v>
      </c>
      <c r="D917" s="32">
        <f>IF(B917&gt;IO!$B$8,0,IO!$B$8-Model!B917)</f>
        <v>0</v>
      </c>
      <c r="E917" s="33">
        <f>IO!$B$5*C917-IO!$B$6*D917</f>
        <v>4080</v>
      </c>
      <c r="G917" s="47">
        <v>916</v>
      </c>
      <c r="H917" s="38" t="s">
        <v>7</v>
      </c>
      <c r="I917" s="38">
        <v>7</v>
      </c>
      <c r="J917" s="39">
        <v>0.44768694113565888</v>
      </c>
      <c r="K917" s="40">
        <f>ROUND(NORMINV(J917,IO!$B$10,IO!$B$11),0)</f>
        <v>102</v>
      </c>
      <c r="L917" s="40">
        <f>MIN(K917,IO!$B$4+IO!$B$8)</f>
        <v>102</v>
      </c>
      <c r="M917" s="40">
        <f>IF(L917-I917&gt;IO!$B$4,Model!L917-Model!I917-IO!$B$4,0)</f>
        <v>0</v>
      </c>
      <c r="N917" s="41">
        <f>IO!$B$5*Model!L917-IO!$B$6*Model!M917</f>
        <v>4080</v>
      </c>
    </row>
    <row r="918" spans="1:14" x14ac:dyDescent="0.35">
      <c r="A918" s="30">
        <v>917</v>
      </c>
      <c r="B918" s="31">
        <v>3</v>
      </c>
      <c r="C918" s="32">
        <f>(IO!$B$4+IO!$B$8)</f>
        <v>102</v>
      </c>
      <c r="D918" s="32">
        <f>IF(B918&gt;IO!$B$8,0,IO!$B$8-Model!B918)</f>
        <v>0</v>
      </c>
      <c r="E918" s="33">
        <f>IO!$B$5*C918-IO!$B$6*D918</f>
        <v>4080</v>
      </c>
      <c r="G918" s="47">
        <v>917</v>
      </c>
      <c r="H918" s="38" t="s">
        <v>8</v>
      </c>
      <c r="I918" s="38">
        <v>3</v>
      </c>
      <c r="J918" s="39">
        <v>0.12221997011808283</v>
      </c>
      <c r="K918" s="40">
        <f>ROUND(NORMINV(J918,IO!$B$10,IO!$B$11),0)</f>
        <v>97</v>
      </c>
      <c r="L918" s="40">
        <f>MIN(K918,IO!$B$4+IO!$B$8)</f>
        <v>97</v>
      </c>
      <c r="M918" s="40">
        <f>IF(L918-I918&gt;IO!$B$4,Model!L918-Model!I918-IO!$B$4,0)</f>
        <v>0</v>
      </c>
      <c r="N918" s="41">
        <f>IO!$B$5*Model!L918-IO!$B$6*Model!M918</f>
        <v>3880</v>
      </c>
    </row>
    <row r="919" spans="1:14" x14ac:dyDescent="0.35">
      <c r="A919" s="30">
        <v>918</v>
      </c>
      <c r="B919" s="31">
        <v>0</v>
      </c>
      <c r="C919" s="32">
        <f>(IO!$B$4+IO!$B$8)</f>
        <v>102</v>
      </c>
      <c r="D919" s="32">
        <f>IF(B919&gt;IO!$B$8,0,IO!$B$8-Model!B919)</f>
        <v>2</v>
      </c>
      <c r="E919" s="33">
        <f>IO!$B$5*C919-IO!$B$6*D919</f>
        <v>3880</v>
      </c>
      <c r="G919" s="47">
        <v>918</v>
      </c>
      <c r="H919" s="38" t="s">
        <v>9</v>
      </c>
      <c r="I919" s="38">
        <v>0</v>
      </c>
      <c r="J919" s="39">
        <v>0.20884878879715441</v>
      </c>
      <c r="K919" s="40">
        <f>ROUND(NORMINV(J919,IO!$B$10,IO!$B$11),0)</f>
        <v>99</v>
      </c>
      <c r="L919" s="40">
        <f>MIN(K919,IO!$B$4+IO!$B$8)</f>
        <v>99</v>
      </c>
      <c r="M919" s="40">
        <f>IF(L919-I919&gt;IO!$B$4,Model!L919-Model!I919-IO!$B$4,0)</f>
        <v>0</v>
      </c>
      <c r="N919" s="41">
        <f>IO!$B$5*Model!L919-IO!$B$6*Model!M919</f>
        <v>3960</v>
      </c>
    </row>
    <row r="920" spans="1:14" x14ac:dyDescent="0.35">
      <c r="A920" s="30">
        <v>919</v>
      </c>
      <c r="B920" s="31">
        <v>5</v>
      </c>
      <c r="C920" s="32">
        <f>(IO!$B$4+IO!$B$8)</f>
        <v>102</v>
      </c>
      <c r="D920" s="32">
        <f>IF(B920&gt;IO!$B$8,0,IO!$B$8-Model!B920)</f>
        <v>0</v>
      </c>
      <c r="E920" s="33">
        <f>IO!$B$5*C920-IO!$B$6*D920</f>
        <v>4080</v>
      </c>
      <c r="G920" s="47">
        <v>919</v>
      </c>
      <c r="H920" s="38" t="s">
        <v>7</v>
      </c>
      <c r="I920" s="38">
        <v>5</v>
      </c>
      <c r="J920" s="39">
        <v>0.79080630091983961</v>
      </c>
      <c r="K920" s="40">
        <f>ROUND(NORMINV(J920,IO!$B$10,IO!$B$11),0)</f>
        <v>107</v>
      </c>
      <c r="L920" s="40">
        <f>MIN(K920,IO!$B$4+IO!$B$8)</f>
        <v>102</v>
      </c>
      <c r="M920" s="40">
        <f>IF(L920-I920&gt;IO!$B$4,Model!L920-Model!I920-IO!$B$4,0)</f>
        <v>0</v>
      </c>
      <c r="N920" s="41">
        <f>IO!$B$5*Model!L920-IO!$B$6*Model!M920</f>
        <v>4080</v>
      </c>
    </row>
    <row r="921" spans="1:14" x14ac:dyDescent="0.35">
      <c r="A921" s="30">
        <v>920</v>
      </c>
      <c r="B921" s="31">
        <v>2</v>
      </c>
      <c r="C921" s="32">
        <f>(IO!$B$4+IO!$B$8)</f>
        <v>102</v>
      </c>
      <c r="D921" s="32">
        <f>IF(B921&gt;IO!$B$8,0,IO!$B$8-Model!B921)</f>
        <v>0</v>
      </c>
      <c r="E921" s="33">
        <f>IO!$B$5*C921-IO!$B$6*D921</f>
        <v>4080</v>
      </c>
      <c r="G921" s="47">
        <v>920</v>
      </c>
      <c r="H921" s="38" t="s">
        <v>8</v>
      </c>
      <c r="I921" s="38">
        <v>2</v>
      </c>
      <c r="J921" s="39">
        <v>0.90988134990195957</v>
      </c>
      <c r="K921" s="40">
        <f>ROUND(NORMINV(J921,IO!$B$10,IO!$B$11),0)</f>
        <v>110</v>
      </c>
      <c r="L921" s="40">
        <f>MIN(K921,IO!$B$4+IO!$B$8)</f>
        <v>102</v>
      </c>
      <c r="M921" s="40">
        <f>IF(L921-I921&gt;IO!$B$4,Model!L921-Model!I921-IO!$B$4,0)</f>
        <v>0</v>
      </c>
      <c r="N921" s="41">
        <f>IO!$B$5*Model!L921-IO!$B$6*Model!M921</f>
        <v>4080</v>
      </c>
    </row>
    <row r="922" spans="1:14" x14ac:dyDescent="0.35">
      <c r="A922" s="30">
        <v>921</v>
      </c>
      <c r="B922" s="31">
        <v>0</v>
      </c>
      <c r="C922" s="32">
        <f>(IO!$B$4+IO!$B$8)</f>
        <v>102</v>
      </c>
      <c r="D922" s="32">
        <f>IF(B922&gt;IO!$B$8,0,IO!$B$8-Model!B922)</f>
        <v>2</v>
      </c>
      <c r="E922" s="33">
        <f>IO!$B$5*C922-IO!$B$6*D922</f>
        <v>3880</v>
      </c>
      <c r="G922" s="47">
        <v>921</v>
      </c>
      <c r="H922" s="38" t="s">
        <v>9</v>
      </c>
      <c r="I922" s="38">
        <v>0</v>
      </c>
      <c r="J922" s="39">
        <v>0.62689941322039788</v>
      </c>
      <c r="K922" s="40">
        <f>ROUND(NORMINV(J922,IO!$B$10,IO!$B$11),0)</f>
        <v>105</v>
      </c>
      <c r="L922" s="40">
        <f>MIN(K922,IO!$B$4+IO!$B$8)</f>
        <v>102</v>
      </c>
      <c r="M922" s="40">
        <f>IF(L922-I922&gt;IO!$B$4,Model!L922-Model!I922-IO!$B$4,0)</f>
        <v>2</v>
      </c>
      <c r="N922" s="41">
        <f>IO!$B$5*Model!L922-IO!$B$6*Model!M922</f>
        <v>3880</v>
      </c>
    </row>
    <row r="923" spans="1:14" x14ac:dyDescent="0.35">
      <c r="A923" s="30">
        <v>922</v>
      </c>
      <c r="B923" s="31">
        <v>3</v>
      </c>
      <c r="C923" s="32">
        <f>(IO!$B$4+IO!$B$8)</f>
        <v>102</v>
      </c>
      <c r="D923" s="32">
        <f>IF(B923&gt;IO!$B$8,0,IO!$B$8-Model!B923)</f>
        <v>0</v>
      </c>
      <c r="E923" s="33">
        <f>IO!$B$5*C923-IO!$B$6*D923</f>
        <v>4080</v>
      </c>
      <c r="G923" s="47">
        <v>922</v>
      </c>
      <c r="H923" s="38" t="s">
        <v>7</v>
      </c>
      <c r="I923" s="38">
        <v>3</v>
      </c>
      <c r="J923" s="39">
        <v>0.75733429666013441</v>
      </c>
      <c r="K923" s="40">
        <f>ROUND(NORMINV(J923,IO!$B$10,IO!$B$11),0)</f>
        <v>106</v>
      </c>
      <c r="L923" s="40">
        <f>MIN(K923,IO!$B$4+IO!$B$8)</f>
        <v>102</v>
      </c>
      <c r="M923" s="40">
        <f>IF(L923-I923&gt;IO!$B$4,Model!L923-Model!I923-IO!$B$4,0)</f>
        <v>0</v>
      </c>
      <c r="N923" s="41">
        <f>IO!$B$5*Model!L923-IO!$B$6*Model!M923</f>
        <v>4080</v>
      </c>
    </row>
    <row r="924" spans="1:14" x14ac:dyDescent="0.35">
      <c r="A924" s="30">
        <v>923</v>
      </c>
      <c r="B924" s="31">
        <v>4</v>
      </c>
      <c r="C924" s="32">
        <f>(IO!$B$4+IO!$B$8)</f>
        <v>102</v>
      </c>
      <c r="D924" s="32">
        <f>IF(B924&gt;IO!$B$8,0,IO!$B$8-Model!B924)</f>
        <v>0</v>
      </c>
      <c r="E924" s="33">
        <f>IO!$B$5*C924-IO!$B$6*D924</f>
        <v>4080</v>
      </c>
      <c r="G924" s="47">
        <v>923</v>
      </c>
      <c r="H924" s="38" t="s">
        <v>8</v>
      </c>
      <c r="I924" s="38">
        <v>4</v>
      </c>
      <c r="J924" s="39">
        <v>0.91242356932110447</v>
      </c>
      <c r="K924" s="40">
        <f>ROUND(NORMINV(J924,IO!$B$10,IO!$B$11),0)</f>
        <v>110</v>
      </c>
      <c r="L924" s="40">
        <f>MIN(K924,IO!$B$4+IO!$B$8)</f>
        <v>102</v>
      </c>
      <c r="M924" s="40">
        <f>IF(L924-I924&gt;IO!$B$4,Model!L924-Model!I924-IO!$B$4,0)</f>
        <v>0</v>
      </c>
      <c r="N924" s="41">
        <f>IO!$B$5*Model!L924-IO!$B$6*Model!M924</f>
        <v>4080</v>
      </c>
    </row>
    <row r="925" spans="1:14" x14ac:dyDescent="0.35">
      <c r="A925" s="30">
        <v>924</v>
      </c>
      <c r="B925" s="31">
        <v>1</v>
      </c>
      <c r="C925" s="32">
        <f>(IO!$B$4+IO!$B$8)</f>
        <v>102</v>
      </c>
      <c r="D925" s="32">
        <f>IF(B925&gt;IO!$B$8,0,IO!$B$8-Model!B925)</f>
        <v>1</v>
      </c>
      <c r="E925" s="33">
        <f>IO!$B$5*C925-IO!$B$6*D925</f>
        <v>3980</v>
      </c>
      <c r="G925" s="47">
        <v>924</v>
      </c>
      <c r="H925" s="38" t="s">
        <v>9</v>
      </c>
      <c r="I925" s="38">
        <v>1</v>
      </c>
      <c r="J925" s="39">
        <v>6.8332213345802639E-2</v>
      </c>
      <c r="K925" s="40">
        <f>ROUND(NORMINV(J925,IO!$B$10,IO!$B$11),0)</f>
        <v>96</v>
      </c>
      <c r="L925" s="40">
        <f>MIN(K925,IO!$B$4+IO!$B$8)</f>
        <v>96</v>
      </c>
      <c r="M925" s="40">
        <f>IF(L925-I925&gt;IO!$B$4,Model!L925-Model!I925-IO!$B$4,0)</f>
        <v>0</v>
      </c>
      <c r="N925" s="41">
        <f>IO!$B$5*Model!L925-IO!$B$6*Model!M925</f>
        <v>3840</v>
      </c>
    </row>
    <row r="926" spans="1:14" x14ac:dyDescent="0.35">
      <c r="A926" s="30">
        <v>925</v>
      </c>
      <c r="B926" s="31">
        <v>1</v>
      </c>
      <c r="C926" s="32">
        <f>(IO!$B$4+IO!$B$8)</f>
        <v>102</v>
      </c>
      <c r="D926" s="32">
        <f>IF(B926&gt;IO!$B$8,0,IO!$B$8-Model!B926)</f>
        <v>1</v>
      </c>
      <c r="E926" s="33">
        <f>IO!$B$5*C926-IO!$B$6*D926</f>
        <v>3980</v>
      </c>
      <c r="G926" s="47">
        <v>925</v>
      </c>
      <c r="H926" s="38" t="s">
        <v>7</v>
      </c>
      <c r="I926" s="38">
        <v>1</v>
      </c>
      <c r="J926" s="39">
        <v>0.24507174054661485</v>
      </c>
      <c r="K926" s="40">
        <f>ROUND(NORMINV(J926,IO!$B$10,IO!$B$11),0)</f>
        <v>100</v>
      </c>
      <c r="L926" s="40">
        <f>MIN(K926,IO!$B$4+IO!$B$8)</f>
        <v>100</v>
      </c>
      <c r="M926" s="40">
        <f>IF(L926-I926&gt;IO!$B$4,Model!L926-Model!I926-IO!$B$4,0)</f>
        <v>0</v>
      </c>
      <c r="N926" s="41">
        <f>IO!$B$5*Model!L926-IO!$B$6*Model!M926</f>
        <v>4000</v>
      </c>
    </row>
    <row r="927" spans="1:14" x14ac:dyDescent="0.35">
      <c r="A927" s="30">
        <v>926</v>
      </c>
      <c r="B927" s="31">
        <v>1</v>
      </c>
      <c r="C927" s="32">
        <f>(IO!$B$4+IO!$B$8)</f>
        <v>102</v>
      </c>
      <c r="D927" s="32">
        <f>IF(B927&gt;IO!$B$8,0,IO!$B$8-Model!B927)</f>
        <v>1</v>
      </c>
      <c r="E927" s="33">
        <f>IO!$B$5*C927-IO!$B$6*D927</f>
        <v>3980</v>
      </c>
      <c r="G927" s="47">
        <v>926</v>
      </c>
      <c r="H927" s="38" t="s">
        <v>8</v>
      </c>
      <c r="I927" s="38">
        <v>1</v>
      </c>
      <c r="J927" s="39">
        <v>0.36003577309097823</v>
      </c>
      <c r="K927" s="40">
        <f>ROUND(NORMINV(J927,IO!$B$10,IO!$B$11),0)</f>
        <v>101</v>
      </c>
      <c r="L927" s="40">
        <f>MIN(K927,IO!$B$4+IO!$B$8)</f>
        <v>101</v>
      </c>
      <c r="M927" s="40">
        <f>IF(L927-I927&gt;IO!$B$4,Model!L927-Model!I927-IO!$B$4,0)</f>
        <v>0</v>
      </c>
      <c r="N927" s="41">
        <f>IO!$B$5*Model!L927-IO!$B$6*Model!M927</f>
        <v>4040</v>
      </c>
    </row>
    <row r="928" spans="1:14" x14ac:dyDescent="0.35">
      <c r="A928" s="30">
        <v>927</v>
      </c>
      <c r="B928" s="31">
        <v>1</v>
      </c>
      <c r="C928" s="32">
        <f>(IO!$B$4+IO!$B$8)</f>
        <v>102</v>
      </c>
      <c r="D928" s="32">
        <f>IF(B928&gt;IO!$B$8,0,IO!$B$8-Model!B928)</f>
        <v>1</v>
      </c>
      <c r="E928" s="33">
        <f>IO!$B$5*C928-IO!$B$6*D928</f>
        <v>3980</v>
      </c>
      <c r="G928" s="47">
        <v>927</v>
      </c>
      <c r="H928" s="38" t="s">
        <v>9</v>
      </c>
      <c r="I928" s="38">
        <v>1</v>
      </c>
      <c r="J928" s="39">
        <v>0.75113360769451765</v>
      </c>
      <c r="K928" s="40">
        <f>ROUND(NORMINV(J928,IO!$B$10,IO!$B$11),0)</f>
        <v>106</v>
      </c>
      <c r="L928" s="40">
        <f>MIN(K928,IO!$B$4+IO!$B$8)</f>
        <v>102</v>
      </c>
      <c r="M928" s="40">
        <f>IF(L928-I928&gt;IO!$B$4,Model!L928-Model!I928-IO!$B$4,0)</f>
        <v>1</v>
      </c>
      <c r="N928" s="41">
        <f>IO!$B$5*Model!L928-IO!$B$6*Model!M928</f>
        <v>3980</v>
      </c>
    </row>
    <row r="929" spans="1:14" x14ac:dyDescent="0.35">
      <c r="A929" s="30">
        <v>928</v>
      </c>
      <c r="B929" s="31">
        <v>3</v>
      </c>
      <c r="C929" s="32">
        <f>(IO!$B$4+IO!$B$8)</f>
        <v>102</v>
      </c>
      <c r="D929" s="32">
        <f>IF(B929&gt;IO!$B$8,0,IO!$B$8-Model!B929)</f>
        <v>0</v>
      </c>
      <c r="E929" s="33">
        <f>IO!$B$5*C929-IO!$B$6*D929</f>
        <v>4080</v>
      </c>
      <c r="G929" s="47">
        <v>928</v>
      </c>
      <c r="H929" s="38" t="s">
        <v>7</v>
      </c>
      <c r="I929" s="38">
        <v>3</v>
      </c>
      <c r="J929" s="39">
        <v>0.24979611687133851</v>
      </c>
      <c r="K929" s="40">
        <f>ROUND(NORMINV(J929,IO!$B$10,IO!$B$11),0)</f>
        <v>100</v>
      </c>
      <c r="L929" s="40">
        <f>MIN(K929,IO!$B$4+IO!$B$8)</f>
        <v>100</v>
      </c>
      <c r="M929" s="40">
        <f>IF(L929-I929&gt;IO!$B$4,Model!L929-Model!I929-IO!$B$4,0)</f>
        <v>0</v>
      </c>
      <c r="N929" s="41">
        <f>IO!$B$5*Model!L929-IO!$B$6*Model!M929</f>
        <v>4000</v>
      </c>
    </row>
    <row r="930" spans="1:14" x14ac:dyDescent="0.35">
      <c r="A930" s="30">
        <v>929</v>
      </c>
      <c r="B930" s="31">
        <v>4</v>
      </c>
      <c r="C930" s="32">
        <f>(IO!$B$4+IO!$B$8)</f>
        <v>102</v>
      </c>
      <c r="D930" s="32">
        <f>IF(B930&gt;IO!$B$8,0,IO!$B$8-Model!B930)</f>
        <v>0</v>
      </c>
      <c r="E930" s="33">
        <f>IO!$B$5*C930-IO!$B$6*D930</f>
        <v>4080</v>
      </c>
      <c r="G930" s="47">
        <v>929</v>
      </c>
      <c r="H930" s="38" t="s">
        <v>8</v>
      </c>
      <c r="I930" s="38">
        <v>4</v>
      </c>
      <c r="J930" s="39">
        <v>0.1513674426144892</v>
      </c>
      <c r="K930" s="40">
        <f>ROUND(NORMINV(J930,IO!$B$10,IO!$B$11),0)</f>
        <v>98</v>
      </c>
      <c r="L930" s="40">
        <f>MIN(K930,IO!$B$4+IO!$B$8)</f>
        <v>98</v>
      </c>
      <c r="M930" s="40">
        <f>IF(L930-I930&gt;IO!$B$4,Model!L930-Model!I930-IO!$B$4,0)</f>
        <v>0</v>
      </c>
      <c r="N930" s="41">
        <f>IO!$B$5*Model!L930-IO!$B$6*Model!M930</f>
        <v>3920</v>
      </c>
    </row>
    <row r="931" spans="1:14" x14ac:dyDescent="0.35">
      <c r="A931" s="30">
        <v>930</v>
      </c>
      <c r="B931" s="31">
        <v>1</v>
      </c>
      <c r="C931" s="32">
        <f>(IO!$B$4+IO!$B$8)</f>
        <v>102</v>
      </c>
      <c r="D931" s="32">
        <f>IF(B931&gt;IO!$B$8,0,IO!$B$8-Model!B931)</f>
        <v>1</v>
      </c>
      <c r="E931" s="33">
        <f>IO!$B$5*C931-IO!$B$6*D931</f>
        <v>3980</v>
      </c>
      <c r="G931" s="47">
        <v>930</v>
      </c>
      <c r="H931" s="38" t="s">
        <v>9</v>
      </c>
      <c r="I931" s="38">
        <v>1</v>
      </c>
      <c r="J931" s="39">
        <v>0.44980454703192752</v>
      </c>
      <c r="K931" s="40">
        <f>ROUND(NORMINV(J931,IO!$B$10,IO!$B$11),0)</f>
        <v>102</v>
      </c>
      <c r="L931" s="40">
        <f>MIN(K931,IO!$B$4+IO!$B$8)</f>
        <v>102</v>
      </c>
      <c r="M931" s="40">
        <f>IF(L931-I931&gt;IO!$B$4,Model!L931-Model!I931-IO!$B$4,0)</f>
        <v>1</v>
      </c>
      <c r="N931" s="41">
        <f>IO!$B$5*Model!L931-IO!$B$6*Model!M931</f>
        <v>3980</v>
      </c>
    </row>
    <row r="932" spans="1:14" x14ac:dyDescent="0.35">
      <c r="A932" s="30">
        <v>931</v>
      </c>
      <c r="B932" s="31">
        <v>5</v>
      </c>
      <c r="C932" s="32">
        <f>(IO!$B$4+IO!$B$8)</f>
        <v>102</v>
      </c>
      <c r="D932" s="32">
        <f>IF(B932&gt;IO!$B$8,0,IO!$B$8-Model!B932)</f>
        <v>0</v>
      </c>
      <c r="E932" s="33">
        <f>IO!$B$5*C932-IO!$B$6*D932</f>
        <v>4080</v>
      </c>
      <c r="G932" s="47">
        <v>931</v>
      </c>
      <c r="H932" s="38" t="s">
        <v>7</v>
      </c>
      <c r="I932" s="38">
        <v>5</v>
      </c>
      <c r="J932" s="39">
        <v>0.6455747225371995</v>
      </c>
      <c r="K932" s="40">
        <f>ROUND(NORMINV(J932,IO!$B$10,IO!$B$11),0)</f>
        <v>105</v>
      </c>
      <c r="L932" s="40">
        <f>MIN(K932,IO!$B$4+IO!$B$8)</f>
        <v>102</v>
      </c>
      <c r="M932" s="40">
        <f>IF(L932-I932&gt;IO!$B$4,Model!L932-Model!I932-IO!$B$4,0)</f>
        <v>0</v>
      </c>
      <c r="N932" s="41">
        <f>IO!$B$5*Model!L932-IO!$B$6*Model!M932</f>
        <v>4080</v>
      </c>
    </row>
    <row r="933" spans="1:14" x14ac:dyDescent="0.35">
      <c r="A933" s="30">
        <v>932</v>
      </c>
      <c r="B933" s="31">
        <v>7</v>
      </c>
      <c r="C933" s="32">
        <f>(IO!$B$4+IO!$B$8)</f>
        <v>102</v>
      </c>
      <c r="D933" s="32">
        <f>IF(B933&gt;IO!$B$8,0,IO!$B$8-Model!B933)</f>
        <v>0</v>
      </c>
      <c r="E933" s="33">
        <f>IO!$B$5*C933-IO!$B$6*D933</f>
        <v>4080</v>
      </c>
      <c r="G933" s="47">
        <v>932</v>
      </c>
      <c r="H933" s="38" t="s">
        <v>8</v>
      </c>
      <c r="I933" s="38">
        <v>7</v>
      </c>
      <c r="J933" s="39">
        <v>0.88805332874979692</v>
      </c>
      <c r="K933" s="40">
        <f>ROUND(NORMINV(J933,IO!$B$10,IO!$B$11),0)</f>
        <v>109</v>
      </c>
      <c r="L933" s="40">
        <f>MIN(K933,IO!$B$4+IO!$B$8)</f>
        <v>102</v>
      </c>
      <c r="M933" s="40">
        <f>IF(L933-I933&gt;IO!$B$4,Model!L933-Model!I933-IO!$B$4,0)</f>
        <v>0</v>
      </c>
      <c r="N933" s="41">
        <f>IO!$B$5*Model!L933-IO!$B$6*Model!M933</f>
        <v>4080</v>
      </c>
    </row>
    <row r="934" spans="1:14" x14ac:dyDescent="0.35">
      <c r="A934" s="30">
        <v>933</v>
      </c>
      <c r="B934" s="31">
        <v>0</v>
      </c>
      <c r="C934" s="32">
        <f>(IO!$B$4+IO!$B$8)</f>
        <v>102</v>
      </c>
      <c r="D934" s="32">
        <f>IF(B934&gt;IO!$B$8,0,IO!$B$8-Model!B934)</f>
        <v>2</v>
      </c>
      <c r="E934" s="33">
        <f>IO!$B$5*C934-IO!$B$6*D934</f>
        <v>3880</v>
      </c>
      <c r="G934" s="47">
        <v>933</v>
      </c>
      <c r="H934" s="38" t="s">
        <v>9</v>
      </c>
      <c r="I934" s="38">
        <v>0</v>
      </c>
      <c r="J934" s="39">
        <v>0.26669564581854666</v>
      </c>
      <c r="K934" s="40">
        <f>ROUND(NORMINV(J934,IO!$B$10,IO!$B$11),0)</f>
        <v>100</v>
      </c>
      <c r="L934" s="40">
        <f>MIN(K934,IO!$B$4+IO!$B$8)</f>
        <v>100</v>
      </c>
      <c r="M934" s="40">
        <f>IF(L934-I934&gt;IO!$B$4,Model!L934-Model!I934-IO!$B$4,0)</f>
        <v>0</v>
      </c>
      <c r="N934" s="41">
        <f>IO!$B$5*Model!L934-IO!$B$6*Model!M934</f>
        <v>4000</v>
      </c>
    </row>
    <row r="935" spans="1:14" x14ac:dyDescent="0.35">
      <c r="A935" s="30">
        <v>934</v>
      </c>
      <c r="B935" s="31">
        <v>3</v>
      </c>
      <c r="C935" s="32">
        <f>(IO!$B$4+IO!$B$8)</f>
        <v>102</v>
      </c>
      <c r="D935" s="32">
        <f>IF(B935&gt;IO!$B$8,0,IO!$B$8-Model!B935)</f>
        <v>0</v>
      </c>
      <c r="E935" s="33">
        <f>IO!$B$5*C935-IO!$B$6*D935</f>
        <v>4080</v>
      </c>
      <c r="G935" s="47">
        <v>934</v>
      </c>
      <c r="H935" s="38" t="s">
        <v>7</v>
      </c>
      <c r="I935" s="38">
        <v>3</v>
      </c>
      <c r="J935" s="39">
        <v>0.97162240756907103</v>
      </c>
      <c r="K935" s="40">
        <f>ROUND(NORMINV(J935,IO!$B$10,IO!$B$11),0)</f>
        <v>113</v>
      </c>
      <c r="L935" s="40">
        <f>MIN(K935,IO!$B$4+IO!$B$8)</f>
        <v>102</v>
      </c>
      <c r="M935" s="40">
        <f>IF(L935-I935&gt;IO!$B$4,Model!L935-Model!I935-IO!$B$4,0)</f>
        <v>0</v>
      </c>
      <c r="N935" s="41">
        <f>IO!$B$5*Model!L935-IO!$B$6*Model!M935</f>
        <v>4080</v>
      </c>
    </row>
    <row r="936" spans="1:14" x14ac:dyDescent="0.35">
      <c r="A936" s="30">
        <v>935</v>
      </c>
      <c r="B936" s="31">
        <v>1</v>
      </c>
      <c r="C936" s="32">
        <f>(IO!$B$4+IO!$B$8)</f>
        <v>102</v>
      </c>
      <c r="D936" s="32">
        <f>IF(B936&gt;IO!$B$8,0,IO!$B$8-Model!B936)</f>
        <v>1</v>
      </c>
      <c r="E936" s="33">
        <f>IO!$B$5*C936-IO!$B$6*D936</f>
        <v>3980</v>
      </c>
      <c r="G936" s="47">
        <v>935</v>
      </c>
      <c r="H936" s="38" t="s">
        <v>8</v>
      </c>
      <c r="I936" s="38">
        <v>1</v>
      </c>
      <c r="J936" s="39">
        <v>0.28988827294683561</v>
      </c>
      <c r="K936" s="40">
        <f>ROUND(NORMINV(J936,IO!$B$10,IO!$B$11),0)</f>
        <v>100</v>
      </c>
      <c r="L936" s="40">
        <f>MIN(K936,IO!$B$4+IO!$B$8)</f>
        <v>100</v>
      </c>
      <c r="M936" s="40">
        <f>IF(L936-I936&gt;IO!$B$4,Model!L936-Model!I936-IO!$B$4,0)</f>
        <v>0</v>
      </c>
      <c r="N936" s="41">
        <f>IO!$B$5*Model!L936-IO!$B$6*Model!M936</f>
        <v>4000</v>
      </c>
    </row>
    <row r="937" spans="1:14" x14ac:dyDescent="0.35">
      <c r="A937" s="30">
        <v>936</v>
      </c>
      <c r="B937" s="31">
        <v>0</v>
      </c>
      <c r="C937" s="32">
        <f>(IO!$B$4+IO!$B$8)</f>
        <v>102</v>
      </c>
      <c r="D937" s="32">
        <f>IF(B937&gt;IO!$B$8,0,IO!$B$8-Model!B937)</f>
        <v>2</v>
      </c>
      <c r="E937" s="33">
        <f>IO!$B$5*C937-IO!$B$6*D937</f>
        <v>3880</v>
      </c>
      <c r="G937" s="47">
        <v>936</v>
      </c>
      <c r="H937" s="38" t="s">
        <v>9</v>
      </c>
      <c r="I937" s="38">
        <v>0</v>
      </c>
      <c r="J937" s="39">
        <v>0.51836393513788104</v>
      </c>
      <c r="K937" s="40">
        <f>ROUND(NORMINV(J937,IO!$B$10,IO!$B$11),0)</f>
        <v>103</v>
      </c>
      <c r="L937" s="40">
        <f>MIN(K937,IO!$B$4+IO!$B$8)</f>
        <v>102</v>
      </c>
      <c r="M937" s="40">
        <f>IF(L937-I937&gt;IO!$B$4,Model!L937-Model!I937-IO!$B$4,0)</f>
        <v>2</v>
      </c>
      <c r="N937" s="41">
        <f>IO!$B$5*Model!L937-IO!$B$6*Model!M937</f>
        <v>3880</v>
      </c>
    </row>
    <row r="938" spans="1:14" x14ac:dyDescent="0.35">
      <c r="A938" s="30">
        <v>937</v>
      </c>
      <c r="B938" s="31">
        <v>6</v>
      </c>
      <c r="C938" s="32">
        <f>(IO!$B$4+IO!$B$8)</f>
        <v>102</v>
      </c>
      <c r="D938" s="32">
        <f>IF(B938&gt;IO!$B$8,0,IO!$B$8-Model!B938)</f>
        <v>0</v>
      </c>
      <c r="E938" s="33">
        <f>IO!$B$5*C938-IO!$B$6*D938</f>
        <v>4080</v>
      </c>
      <c r="G938" s="47">
        <v>937</v>
      </c>
      <c r="H938" s="38" t="s">
        <v>7</v>
      </c>
      <c r="I938" s="38">
        <v>6</v>
      </c>
      <c r="J938" s="39">
        <v>0.97165815061779326</v>
      </c>
      <c r="K938" s="40">
        <f>ROUND(NORMINV(J938,IO!$B$10,IO!$B$11),0)</f>
        <v>113</v>
      </c>
      <c r="L938" s="40">
        <f>MIN(K938,IO!$B$4+IO!$B$8)</f>
        <v>102</v>
      </c>
      <c r="M938" s="40">
        <f>IF(L938-I938&gt;IO!$B$4,Model!L938-Model!I938-IO!$B$4,0)</f>
        <v>0</v>
      </c>
      <c r="N938" s="41">
        <f>IO!$B$5*Model!L938-IO!$B$6*Model!M938</f>
        <v>4080</v>
      </c>
    </row>
    <row r="939" spans="1:14" x14ac:dyDescent="0.35">
      <c r="A939" s="30">
        <v>938</v>
      </c>
      <c r="B939" s="31">
        <v>2</v>
      </c>
      <c r="C939" s="32">
        <f>(IO!$B$4+IO!$B$8)</f>
        <v>102</v>
      </c>
      <c r="D939" s="32">
        <f>IF(B939&gt;IO!$B$8,0,IO!$B$8-Model!B939)</f>
        <v>0</v>
      </c>
      <c r="E939" s="33">
        <f>IO!$B$5*C939-IO!$B$6*D939</f>
        <v>4080</v>
      </c>
      <c r="G939" s="47">
        <v>938</v>
      </c>
      <c r="H939" s="38" t="s">
        <v>8</v>
      </c>
      <c r="I939" s="38">
        <v>2</v>
      </c>
      <c r="J939" s="39">
        <v>0.55992042160054956</v>
      </c>
      <c r="K939" s="40">
        <f>ROUND(NORMINV(J939,IO!$B$10,IO!$B$11),0)</f>
        <v>104</v>
      </c>
      <c r="L939" s="40">
        <f>MIN(K939,IO!$B$4+IO!$B$8)</f>
        <v>102</v>
      </c>
      <c r="M939" s="40">
        <f>IF(L939-I939&gt;IO!$B$4,Model!L939-Model!I939-IO!$B$4,0)</f>
        <v>0</v>
      </c>
      <c r="N939" s="41">
        <f>IO!$B$5*Model!L939-IO!$B$6*Model!M939</f>
        <v>4080</v>
      </c>
    </row>
    <row r="940" spans="1:14" x14ac:dyDescent="0.35">
      <c r="A940" s="30">
        <v>939</v>
      </c>
      <c r="B940" s="31">
        <v>1</v>
      </c>
      <c r="C940" s="32">
        <f>(IO!$B$4+IO!$B$8)</f>
        <v>102</v>
      </c>
      <c r="D940" s="32">
        <f>IF(B940&gt;IO!$B$8,0,IO!$B$8-Model!B940)</f>
        <v>1</v>
      </c>
      <c r="E940" s="33">
        <f>IO!$B$5*C940-IO!$B$6*D940</f>
        <v>3980</v>
      </c>
      <c r="G940" s="47">
        <v>939</v>
      </c>
      <c r="H940" s="38" t="s">
        <v>9</v>
      </c>
      <c r="I940" s="38">
        <v>1</v>
      </c>
      <c r="J940" s="39">
        <v>0.79164134765524219</v>
      </c>
      <c r="K940" s="40">
        <f>ROUND(NORMINV(J940,IO!$B$10,IO!$B$11),0)</f>
        <v>107</v>
      </c>
      <c r="L940" s="40">
        <f>MIN(K940,IO!$B$4+IO!$B$8)</f>
        <v>102</v>
      </c>
      <c r="M940" s="40">
        <f>IF(L940-I940&gt;IO!$B$4,Model!L940-Model!I940-IO!$B$4,0)</f>
        <v>1</v>
      </c>
      <c r="N940" s="41">
        <f>IO!$B$5*Model!L940-IO!$B$6*Model!M940</f>
        <v>3980</v>
      </c>
    </row>
    <row r="941" spans="1:14" x14ac:dyDescent="0.35">
      <c r="A941" s="30">
        <v>940</v>
      </c>
      <c r="B941" s="31">
        <v>3</v>
      </c>
      <c r="C941" s="32">
        <f>(IO!$B$4+IO!$B$8)</f>
        <v>102</v>
      </c>
      <c r="D941" s="32">
        <f>IF(B941&gt;IO!$B$8,0,IO!$B$8-Model!B941)</f>
        <v>0</v>
      </c>
      <c r="E941" s="33">
        <f>IO!$B$5*C941-IO!$B$6*D941</f>
        <v>4080</v>
      </c>
      <c r="G941" s="47">
        <v>940</v>
      </c>
      <c r="H941" s="38" t="s">
        <v>7</v>
      </c>
      <c r="I941" s="38">
        <v>3</v>
      </c>
      <c r="J941" s="39">
        <v>0.11958116277405628</v>
      </c>
      <c r="K941" s="40">
        <f>ROUND(NORMINV(J941,IO!$B$10,IO!$B$11),0)</f>
        <v>97</v>
      </c>
      <c r="L941" s="40">
        <f>MIN(K941,IO!$B$4+IO!$B$8)</f>
        <v>97</v>
      </c>
      <c r="M941" s="40">
        <f>IF(L941-I941&gt;IO!$B$4,Model!L941-Model!I941-IO!$B$4,0)</f>
        <v>0</v>
      </c>
      <c r="N941" s="41">
        <f>IO!$B$5*Model!L941-IO!$B$6*Model!M941</f>
        <v>3880</v>
      </c>
    </row>
    <row r="942" spans="1:14" x14ac:dyDescent="0.35">
      <c r="A942" s="30">
        <v>941</v>
      </c>
      <c r="B942" s="31">
        <v>3</v>
      </c>
      <c r="C942" s="32">
        <f>(IO!$B$4+IO!$B$8)</f>
        <v>102</v>
      </c>
      <c r="D942" s="32">
        <f>IF(B942&gt;IO!$B$8,0,IO!$B$8-Model!B942)</f>
        <v>0</v>
      </c>
      <c r="E942" s="33">
        <f>IO!$B$5*C942-IO!$B$6*D942</f>
        <v>4080</v>
      </c>
      <c r="G942" s="47">
        <v>941</v>
      </c>
      <c r="H942" s="38" t="s">
        <v>8</v>
      </c>
      <c r="I942" s="38">
        <v>3</v>
      </c>
      <c r="J942" s="39">
        <v>1.0470377736198744E-2</v>
      </c>
      <c r="K942" s="40">
        <f>ROUND(NORMINV(J942,IO!$B$10,IO!$B$11),0)</f>
        <v>91</v>
      </c>
      <c r="L942" s="40">
        <f>MIN(K942,IO!$B$4+IO!$B$8)</f>
        <v>91</v>
      </c>
      <c r="M942" s="40">
        <f>IF(L942-I942&gt;IO!$B$4,Model!L942-Model!I942-IO!$B$4,0)</f>
        <v>0</v>
      </c>
      <c r="N942" s="41">
        <f>IO!$B$5*Model!L942-IO!$B$6*Model!M942</f>
        <v>3640</v>
      </c>
    </row>
    <row r="943" spans="1:14" x14ac:dyDescent="0.35">
      <c r="A943" s="30">
        <v>942</v>
      </c>
      <c r="B943" s="31">
        <v>1</v>
      </c>
      <c r="C943" s="32">
        <f>(IO!$B$4+IO!$B$8)</f>
        <v>102</v>
      </c>
      <c r="D943" s="32">
        <f>IF(B943&gt;IO!$B$8,0,IO!$B$8-Model!B943)</f>
        <v>1</v>
      </c>
      <c r="E943" s="33">
        <f>IO!$B$5*C943-IO!$B$6*D943</f>
        <v>3980</v>
      </c>
      <c r="G943" s="47">
        <v>942</v>
      </c>
      <c r="H943" s="38" t="s">
        <v>9</v>
      </c>
      <c r="I943" s="38">
        <v>1</v>
      </c>
      <c r="J943" s="39">
        <v>2.539559248990364E-2</v>
      </c>
      <c r="K943" s="40">
        <f>ROUND(NORMINV(J943,IO!$B$10,IO!$B$11),0)</f>
        <v>93</v>
      </c>
      <c r="L943" s="40">
        <f>MIN(K943,IO!$B$4+IO!$B$8)</f>
        <v>93</v>
      </c>
      <c r="M943" s="40">
        <f>IF(L943-I943&gt;IO!$B$4,Model!L943-Model!I943-IO!$B$4,0)</f>
        <v>0</v>
      </c>
      <c r="N943" s="41">
        <f>IO!$B$5*Model!L943-IO!$B$6*Model!M943</f>
        <v>3720</v>
      </c>
    </row>
    <row r="944" spans="1:14" x14ac:dyDescent="0.35">
      <c r="A944" s="30">
        <v>943</v>
      </c>
      <c r="B944" s="31">
        <v>6</v>
      </c>
      <c r="C944" s="32">
        <f>(IO!$B$4+IO!$B$8)</f>
        <v>102</v>
      </c>
      <c r="D944" s="32">
        <f>IF(B944&gt;IO!$B$8,0,IO!$B$8-Model!B944)</f>
        <v>0</v>
      </c>
      <c r="E944" s="33">
        <f>IO!$B$5*C944-IO!$B$6*D944</f>
        <v>4080</v>
      </c>
      <c r="G944" s="47">
        <v>943</v>
      </c>
      <c r="H944" s="38" t="s">
        <v>7</v>
      </c>
      <c r="I944" s="38">
        <v>6</v>
      </c>
      <c r="J944" s="39">
        <v>0.67857630789159862</v>
      </c>
      <c r="K944" s="40">
        <f>ROUND(NORMINV(J944,IO!$B$10,IO!$B$11),0)</f>
        <v>105</v>
      </c>
      <c r="L944" s="40">
        <f>MIN(K944,IO!$B$4+IO!$B$8)</f>
        <v>102</v>
      </c>
      <c r="M944" s="40">
        <f>IF(L944-I944&gt;IO!$B$4,Model!L944-Model!I944-IO!$B$4,0)</f>
        <v>0</v>
      </c>
      <c r="N944" s="41">
        <f>IO!$B$5*Model!L944-IO!$B$6*Model!M944</f>
        <v>4080</v>
      </c>
    </row>
    <row r="945" spans="1:14" x14ac:dyDescent="0.35">
      <c r="A945" s="30">
        <v>944</v>
      </c>
      <c r="B945" s="31">
        <v>2</v>
      </c>
      <c r="C945" s="32">
        <f>(IO!$B$4+IO!$B$8)</f>
        <v>102</v>
      </c>
      <c r="D945" s="32">
        <f>IF(B945&gt;IO!$B$8,0,IO!$B$8-Model!B945)</f>
        <v>0</v>
      </c>
      <c r="E945" s="33">
        <f>IO!$B$5*C945-IO!$B$6*D945</f>
        <v>4080</v>
      </c>
      <c r="G945" s="47">
        <v>944</v>
      </c>
      <c r="H945" s="38" t="s">
        <v>8</v>
      </c>
      <c r="I945" s="38">
        <v>2</v>
      </c>
      <c r="J945" s="39">
        <v>0.77814988190123235</v>
      </c>
      <c r="K945" s="40">
        <f>ROUND(NORMINV(J945,IO!$B$10,IO!$B$11),0)</f>
        <v>107</v>
      </c>
      <c r="L945" s="40">
        <f>MIN(K945,IO!$B$4+IO!$B$8)</f>
        <v>102</v>
      </c>
      <c r="M945" s="40">
        <f>IF(L945-I945&gt;IO!$B$4,Model!L945-Model!I945-IO!$B$4,0)</f>
        <v>0</v>
      </c>
      <c r="N945" s="41">
        <f>IO!$B$5*Model!L945-IO!$B$6*Model!M945</f>
        <v>4080</v>
      </c>
    </row>
    <row r="946" spans="1:14" x14ac:dyDescent="0.35">
      <c r="A946" s="30">
        <v>945</v>
      </c>
      <c r="B946" s="31">
        <v>0</v>
      </c>
      <c r="C946" s="32">
        <f>(IO!$B$4+IO!$B$8)</f>
        <v>102</v>
      </c>
      <c r="D946" s="32">
        <f>IF(B946&gt;IO!$B$8,0,IO!$B$8-Model!B946)</f>
        <v>2</v>
      </c>
      <c r="E946" s="33">
        <f>IO!$B$5*C946-IO!$B$6*D946</f>
        <v>3880</v>
      </c>
      <c r="G946" s="47">
        <v>945</v>
      </c>
      <c r="H946" s="38" t="s">
        <v>9</v>
      </c>
      <c r="I946" s="38">
        <v>0</v>
      </c>
      <c r="J946" s="39">
        <v>0.78715231922059348</v>
      </c>
      <c r="K946" s="40">
        <f>ROUND(NORMINV(J946,IO!$B$10,IO!$B$11),0)</f>
        <v>107</v>
      </c>
      <c r="L946" s="40">
        <f>MIN(K946,IO!$B$4+IO!$B$8)</f>
        <v>102</v>
      </c>
      <c r="M946" s="40">
        <f>IF(L946-I946&gt;IO!$B$4,Model!L946-Model!I946-IO!$B$4,0)</f>
        <v>2</v>
      </c>
      <c r="N946" s="41">
        <f>IO!$B$5*Model!L946-IO!$B$6*Model!M946</f>
        <v>3880</v>
      </c>
    </row>
    <row r="947" spans="1:14" x14ac:dyDescent="0.35">
      <c r="A947" s="30">
        <v>946</v>
      </c>
      <c r="B947" s="31">
        <v>7</v>
      </c>
      <c r="C947" s="32">
        <f>(IO!$B$4+IO!$B$8)</f>
        <v>102</v>
      </c>
      <c r="D947" s="32">
        <f>IF(B947&gt;IO!$B$8,0,IO!$B$8-Model!B947)</f>
        <v>0</v>
      </c>
      <c r="E947" s="33">
        <f>IO!$B$5*C947-IO!$B$6*D947</f>
        <v>4080</v>
      </c>
      <c r="G947" s="47">
        <v>946</v>
      </c>
      <c r="H947" s="38" t="s">
        <v>7</v>
      </c>
      <c r="I947" s="38">
        <v>7</v>
      </c>
      <c r="J947" s="39">
        <v>0.77902095626481593</v>
      </c>
      <c r="K947" s="40">
        <f>ROUND(NORMINV(J947,IO!$B$10,IO!$B$11),0)</f>
        <v>107</v>
      </c>
      <c r="L947" s="40">
        <f>MIN(K947,IO!$B$4+IO!$B$8)</f>
        <v>102</v>
      </c>
      <c r="M947" s="40">
        <f>IF(L947-I947&gt;IO!$B$4,Model!L947-Model!I947-IO!$B$4,0)</f>
        <v>0</v>
      </c>
      <c r="N947" s="41">
        <f>IO!$B$5*Model!L947-IO!$B$6*Model!M947</f>
        <v>4080</v>
      </c>
    </row>
    <row r="948" spans="1:14" x14ac:dyDescent="0.35">
      <c r="A948" s="30">
        <v>947</v>
      </c>
      <c r="B948" s="31">
        <v>4</v>
      </c>
      <c r="C948" s="32">
        <f>(IO!$B$4+IO!$B$8)</f>
        <v>102</v>
      </c>
      <c r="D948" s="32">
        <f>IF(B948&gt;IO!$B$8,0,IO!$B$8-Model!B948)</f>
        <v>0</v>
      </c>
      <c r="E948" s="33">
        <f>IO!$B$5*C948-IO!$B$6*D948</f>
        <v>4080</v>
      </c>
      <c r="G948" s="47">
        <v>947</v>
      </c>
      <c r="H948" s="38" t="s">
        <v>8</v>
      </c>
      <c r="I948" s="38">
        <v>4</v>
      </c>
      <c r="J948" s="39">
        <v>2.0136387141789225E-4</v>
      </c>
      <c r="K948" s="40">
        <f>ROUND(NORMINV(J948,IO!$B$10,IO!$B$11),0)</f>
        <v>85</v>
      </c>
      <c r="L948" s="40">
        <f>MIN(K948,IO!$B$4+IO!$B$8)</f>
        <v>85</v>
      </c>
      <c r="M948" s="40">
        <f>IF(L948-I948&gt;IO!$B$4,Model!L948-Model!I948-IO!$B$4,0)</f>
        <v>0</v>
      </c>
      <c r="N948" s="41">
        <f>IO!$B$5*Model!L948-IO!$B$6*Model!M948</f>
        <v>3400</v>
      </c>
    </row>
    <row r="949" spans="1:14" x14ac:dyDescent="0.35">
      <c r="A949" s="30">
        <v>948</v>
      </c>
      <c r="B949" s="31">
        <v>0</v>
      </c>
      <c r="C949" s="32">
        <f>(IO!$B$4+IO!$B$8)</f>
        <v>102</v>
      </c>
      <c r="D949" s="32">
        <f>IF(B949&gt;IO!$B$8,0,IO!$B$8-Model!B949)</f>
        <v>2</v>
      </c>
      <c r="E949" s="33">
        <f>IO!$B$5*C949-IO!$B$6*D949</f>
        <v>3880</v>
      </c>
      <c r="G949" s="47">
        <v>948</v>
      </c>
      <c r="H949" s="38" t="s">
        <v>9</v>
      </c>
      <c r="I949" s="38">
        <v>0</v>
      </c>
      <c r="J949" s="39">
        <v>0.12002700988852144</v>
      </c>
      <c r="K949" s="40">
        <f>ROUND(NORMINV(J949,IO!$B$10,IO!$B$11),0)</f>
        <v>97</v>
      </c>
      <c r="L949" s="40">
        <f>MIN(K949,IO!$B$4+IO!$B$8)</f>
        <v>97</v>
      </c>
      <c r="M949" s="40">
        <f>IF(L949-I949&gt;IO!$B$4,Model!L949-Model!I949-IO!$B$4,0)</f>
        <v>0</v>
      </c>
      <c r="N949" s="41">
        <f>IO!$B$5*Model!L949-IO!$B$6*Model!M949</f>
        <v>3880</v>
      </c>
    </row>
    <row r="950" spans="1:14" x14ac:dyDescent="0.35">
      <c r="A950" s="30">
        <v>949</v>
      </c>
      <c r="B950" s="31">
        <v>4</v>
      </c>
      <c r="C950" s="32">
        <f>(IO!$B$4+IO!$B$8)</f>
        <v>102</v>
      </c>
      <c r="D950" s="32">
        <f>IF(B950&gt;IO!$B$8,0,IO!$B$8-Model!B950)</f>
        <v>0</v>
      </c>
      <c r="E950" s="33">
        <f>IO!$B$5*C950-IO!$B$6*D950</f>
        <v>4080</v>
      </c>
      <c r="G950" s="47">
        <v>949</v>
      </c>
      <c r="H950" s="38" t="s">
        <v>7</v>
      </c>
      <c r="I950" s="38">
        <v>4</v>
      </c>
      <c r="J950" s="39">
        <v>0.18087146104071727</v>
      </c>
      <c r="K950" s="40">
        <f>ROUND(NORMINV(J950,IO!$B$10,IO!$B$11),0)</f>
        <v>98</v>
      </c>
      <c r="L950" s="40">
        <f>MIN(K950,IO!$B$4+IO!$B$8)</f>
        <v>98</v>
      </c>
      <c r="M950" s="40">
        <f>IF(L950-I950&gt;IO!$B$4,Model!L950-Model!I950-IO!$B$4,0)</f>
        <v>0</v>
      </c>
      <c r="N950" s="41">
        <f>IO!$B$5*Model!L950-IO!$B$6*Model!M950</f>
        <v>3920</v>
      </c>
    </row>
    <row r="951" spans="1:14" x14ac:dyDescent="0.35">
      <c r="A951" s="30">
        <v>950</v>
      </c>
      <c r="B951" s="31">
        <v>3</v>
      </c>
      <c r="C951" s="32">
        <f>(IO!$B$4+IO!$B$8)</f>
        <v>102</v>
      </c>
      <c r="D951" s="32">
        <f>IF(B951&gt;IO!$B$8,0,IO!$B$8-Model!B951)</f>
        <v>0</v>
      </c>
      <c r="E951" s="33">
        <f>IO!$B$5*C951-IO!$B$6*D951</f>
        <v>4080</v>
      </c>
      <c r="G951" s="47">
        <v>950</v>
      </c>
      <c r="H951" s="38" t="s">
        <v>8</v>
      </c>
      <c r="I951" s="38">
        <v>3</v>
      </c>
      <c r="J951" s="39">
        <v>0.93480542940514788</v>
      </c>
      <c r="K951" s="40">
        <f>ROUND(NORMINV(J951,IO!$B$10,IO!$B$11),0)</f>
        <v>111</v>
      </c>
      <c r="L951" s="40">
        <f>MIN(K951,IO!$B$4+IO!$B$8)</f>
        <v>102</v>
      </c>
      <c r="M951" s="40">
        <f>IF(L951-I951&gt;IO!$B$4,Model!L951-Model!I951-IO!$B$4,0)</f>
        <v>0</v>
      </c>
      <c r="N951" s="41">
        <f>IO!$B$5*Model!L951-IO!$B$6*Model!M951</f>
        <v>4080</v>
      </c>
    </row>
    <row r="952" spans="1:14" x14ac:dyDescent="0.35">
      <c r="A952" s="30">
        <v>951</v>
      </c>
      <c r="B952" s="31">
        <v>2</v>
      </c>
      <c r="C952" s="32">
        <f>(IO!$B$4+IO!$B$8)</f>
        <v>102</v>
      </c>
      <c r="D952" s="32">
        <f>IF(B952&gt;IO!$B$8,0,IO!$B$8-Model!B952)</f>
        <v>0</v>
      </c>
      <c r="E952" s="33">
        <f>IO!$B$5*C952-IO!$B$6*D952</f>
        <v>4080</v>
      </c>
      <c r="G952" s="47">
        <v>951</v>
      </c>
      <c r="H952" s="38" t="s">
        <v>9</v>
      </c>
      <c r="I952" s="38">
        <v>2</v>
      </c>
      <c r="J952" s="39">
        <v>0.11367704330138262</v>
      </c>
      <c r="K952" s="40">
        <f>ROUND(NORMINV(J952,IO!$B$10,IO!$B$11),0)</f>
        <v>97</v>
      </c>
      <c r="L952" s="40">
        <f>MIN(K952,IO!$B$4+IO!$B$8)</f>
        <v>97</v>
      </c>
      <c r="M952" s="40">
        <f>IF(L952-I952&gt;IO!$B$4,Model!L952-Model!I952-IO!$B$4,0)</f>
        <v>0</v>
      </c>
      <c r="N952" s="41">
        <f>IO!$B$5*Model!L952-IO!$B$6*Model!M952</f>
        <v>3880</v>
      </c>
    </row>
    <row r="953" spans="1:14" x14ac:dyDescent="0.35">
      <c r="A953" s="30">
        <v>952</v>
      </c>
      <c r="B953" s="31">
        <v>4</v>
      </c>
      <c r="C953" s="32">
        <f>(IO!$B$4+IO!$B$8)</f>
        <v>102</v>
      </c>
      <c r="D953" s="32">
        <f>IF(B953&gt;IO!$B$8,0,IO!$B$8-Model!B953)</f>
        <v>0</v>
      </c>
      <c r="E953" s="33">
        <f>IO!$B$5*C953-IO!$B$6*D953</f>
        <v>4080</v>
      </c>
      <c r="G953" s="47">
        <v>952</v>
      </c>
      <c r="H953" s="38" t="s">
        <v>7</v>
      </c>
      <c r="I953" s="38">
        <v>4</v>
      </c>
      <c r="J953" s="39">
        <v>0.19439297764536223</v>
      </c>
      <c r="K953" s="40">
        <f>ROUND(NORMINV(J953,IO!$B$10,IO!$B$11),0)</f>
        <v>99</v>
      </c>
      <c r="L953" s="40">
        <f>MIN(K953,IO!$B$4+IO!$B$8)</f>
        <v>99</v>
      </c>
      <c r="M953" s="40">
        <f>IF(L953-I953&gt;IO!$B$4,Model!L953-Model!I953-IO!$B$4,0)</f>
        <v>0</v>
      </c>
      <c r="N953" s="41">
        <f>IO!$B$5*Model!L953-IO!$B$6*Model!M953</f>
        <v>3960</v>
      </c>
    </row>
    <row r="954" spans="1:14" x14ac:dyDescent="0.35">
      <c r="A954" s="30">
        <v>953</v>
      </c>
      <c r="B954" s="31">
        <v>2</v>
      </c>
      <c r="C954" s="32">
        <f>(IO!$B$4+IO!$B$8)</f>
        <v>102</v>
      </c>
      <c r="D954" s="32">
        <f>IF(B954&gt;IO!$B$8,0,IO!$B$8-Model!B954)</f>
        <v>0</v>
      </c>
      <c r="E954" s="33">
        <f>IO!$B$5*C954-IO!$B$6*D954</f>
        <v>4080</v>
      </c>
      <c r="G954" s="47">
        <v>953</v>
      </c>
      <c r="H954" s="38" t="s">
        <v>8</v>
      </c>
      <c r="I954" s="38">
        <v>2</v>
      </c>
      <c r="J954" s="39">
        <v>0.54998416604698652</v>
      </c>
      <c r="K954" s="40">
        <f>ROUND(NORMINV(J954,IO!$B$10,IO!$B$11),0)</f>
        <v>104</v>
      </c>
      <c r="L954" s="40">
        <f>MIN(K954,IO!$B$4+IO!$B$8)</f>
        <v>102</v>
      </c>
      <c r="M954" s="40">
        <f>IF(L954-I954&gt;IO!$B$4,Model!L954-Model!I954-IO!$B$4,0)</f>
        <v>0</v>
      </c>
      <c r="N954" s="41">
        <f>IO!$B$5*Model!L954-IO!$B$6*Model!M954</f>
        <v>4080</v>
      </c>
    </row>
    <row r="955" spans="1:14" x14ac:dyDescent="0.35">
      <c r="A955" s="30">
        <v>954</v>
      </c>
      <c r="B955" s="31">
        <v>0</v>
      </c>
      <c r="C955" s="32">
        <f>(IO!$B$4+IO!$B$8)</f>
        <v>102</v>
      </c>
      <c r="D955" s="32">
        <f>IF(B955&gt;IO!$B$8,0,IO!$B$8-Model!B955)</f>
        <v>2</v>
      </c>
      <c r="E955" s="33">
        <f>IO!$B$5*C955-IO!$B$6*D955</f>
        <v>3880</v>
      </c>
      <c r="G955" s="47">
        <v>954</v>
      </c>
      <c r="H955" s="38" t="s">
        <v>9</v>
      </c>
      <c r="I955" s="38">
        <v>0</v>
      </c>
      <c r="J955" s="39">
        <v>0.72344254079485359</v>
      </c>
      <c r="K955" s="40">
        <f>ROUND(NORMINV(J955,IO!$B$10,IO!$B$11),0)</f>
        <v>106</v>
      </c>
      <c r="L955" s="40">
        <f>MIN(K955,IO!$B$4+IO!$B$8)</f>
        <v>102</v>
      </c>
      <c r="M955" s="40">
        <f>IF(L955-I955&gt;IO!$B$4,Model!L955-Model!I955-IO!$B$4,0)</f>
        <v>2</v>
      </c>
      <c r="N955" s="41">
        <f>IO!$B$5*Model!L955-IO!$B$6*Model!M955</f>
        <v>3880</v>
      </c>
    </row>
    <row r="956" spans="1:14" x14ac:dyDescent="0.35">
      <c r="A956" s="30">
        <v>955</v>
      </c>
      <c r="B956" s="31">
        <v>4</v>
      </c>
      <c r="C956" s="32">
        <f>(IO!$B$4+IO!$B$8)</f>
        <v>102</v>
      </c>
      <c r="D956" s="32">
        <f>IF(B956&gt;IO!$B$8,0,IO!$B$8-Model!B956)</f>
        <v>0</v>
      </c>
      <c r="E956" s="33">
        <f>IO!$B$5*C956-IO!$B$6*D956</f>
        <v>4080</v>
      </c>
      <c r="G956" s="47">
        <v>955</v>
      </c>
      <c r="H956" s="38" t="s">
        <v>7</v>
      </c>
      <c r="I956" s="38">
        <v>4</v>
      </c>
      <c r="J956" s="39">
        <v>0.85993049324660065</v>
      </c>
      <c r="K956" s="40">
        <f>ROUND(NORMINV(J956,IO!$B$10,IO!$B$11),0)</f>
        <v>108</v>
      </c>
      <c r="L956" s="40">
        <f>MIN(K956,IO!$B$4+IO!$B$8)</f>
        <v>102</v>
      </c>
      <c r="M956" s="40">
        <f>IF(L956-I956&gt;IO!$B$4,Model!L956-Model!I956-IO!$B$4,0)</f>
        <v>0</v>
      </c>
      <c r="N956" s="41">
        <f>IO!$B$5*Model!L956-IO!$B$6*Model!M956</f>
        <v>4080</v>
      </c>
    </row>
    <row r="957" spans="1:14" x14ac:dyDescent="0.35">
      <c r="A957" s="30">
        <v>956</v>
      </c>
      <c r="B957" s="31">
        <v>3</v>
      </c>
      <c r="C957" s="32">
        <f>(IO!$B$4+IO!$B$8)</f>
        <v>102</v>
      </c>
      <c r="D957" s="32">
        <f>IF(B957&gt;IO!$B$8,0,IO!$B$8-Model!B957)</f>
        <v>0</v>
      </c>
      <c r="E957" s="33">
        <f>IO!$B$5*C957-IO!$B$6*D957</f>
        <v>4080</v>
      </c>
      <c r="G957" s="47">
        <v>956</v>
      </c>
      <c r="H957" s="38" t="s">
        <v>8</v>
      </c>
      <c r="I957" s="38">
        <v>3</v>
      </c>
      <c r="J957" s="39">
        <v>0.14893092038597822</v>
      </c>
      <c r="K957" s="40">
        <f>ROUND(NORMINV(J957,IO!$B$10,IO!$B$11),0)</f>
        <v>98</v>
      </c>
      <c r="L957" s="40">
        <f>MIN(K957,IO!$B$4+IO!$B$8)</f>
        <v>98</v>
      </c>
      <c r="M957" s="40">
        <f>IF(L957-I957&gt;IO!$B$4,Model!L957-Model!I957-IO!$B$4,0)</f>
        <v>0</v>
      </c>
      <c r="N957" s="41">
        <f>IO!$B$5*Model!L957-IO!$B$6*Model!M957</f>
        <v>3920</v>
      </c>
    </row>
    <row r="958" spans="1:14" x14ac:dyDescent="0.35">
      <c r="A958" s="30">
        <v>957</v>
      </c>
      <c r="B958" s="31">
        <v>1</v>
      </c>
      <c r="C958" s="32">
        <f>(IO!$B$4+IO!$B$8)</f>
        <v>102</v>
      </c>
      <c r="D958" s="32">
        <f>IF(B958&gt;IO!$B$8,0,IO!$B$8-Model!B958)</f>
        <v>1</v>
      </c>
      <c r="E958" s="33">
        <f>IO!$B$5*C958-IO!$B$6*D958</f>
        <v>3980</v>
      </c>
      <c r="G958" s="47">
        <v>957</v>
      </c>
      <c r="H958" s="38" t="s">
        <v>9</v>
      </c>
      <c r="I958" s="38">
        <v>1</v>
      </c>
      <c r="J958" s="39">
        <v>9.3781001178816492E-3</v>
      </c>
      <c r="K958" s="40">
        <f>ROUND(NORMINV(J958,IO!$B$10,IO!$B$11),0)</f>
        <v>91</v>
      </c>
      <c r="L958" s="40">
        <f>MIN(K958,IO!$B$4+IO!$B$8)</f>
        <v>91</v>
      </c>
      <c r="M958" s="40">
        <f>IF(L958-I958&gt;IO!$B$4,Model!L958-Model!I958-IO!$B$4,0)</f>
        <v>0</v>
      </c>
      <c r="N958" s="41">
        <f>IO!$B$5*Model!L958-IO!$B$6*Model!M958</f>
        <v>3640</v>
      </c>
    </row>
    <row r="959" spans="1:14" x14ac:dyDescent="0.35">
      <c r="A959" s="30">
        <v>958</v>
      </c>
      <c r="B959" s="31">
        <v>2</v>
      </c>
      <c r="C959" s="32">
        <f>(IO!$B$4+IO!$B$8)</f>
        <v>102</v>
      </c>
      <c r="D959" s="32">
        <f>IF(B959&gt;IO!$B$8,0,IO!$B$8-Model!B959)</f>
        <v>0</v>
      </c>
      <c r="E959" s="33">
        <f>IO!$B$5*C959-IO!$B$6*D959</f>
        <v>4080</v>
      </c>
      <c r="G959" s="47">
        <v>958</v>
      </c>
      <c r="H959" s="38" t="s">
        <v>7</v>
      </c>
      <c r="I959" s="38">
        <v>2</v>
      </c>
      <c r="J959" s="39">
        <v>0.21816627341547323</v>
      </c>
      <c r="K959" s="40">
        <f>ROUND(NORMINV(J959,IO!$B$10,IO!$B$11),0)</f>
        <v>99</v>
      </c>
      <c r="L959" s="40">
        <f>MIN(K959,IO!$B$4+IO!$B$8)</f>
        <v>99</v>
      </c>
      <c r="M959" s="40">
        <f>IF(L959-I959&gt;IO!$B$4,Model!L959-Model!I959-IO!$B$4,0)</f>
        <v>0</v>
      </c>
      <c r="N959" s="41">
        <f>IO!$B$5*Model!L959-IO!$B$6*Model!M959</f>
        <v>3960</v>
      </c>
    </row>
    <row r="960" spans="1:14" x14ac:dyDescent="0.35">
      <c r="A960" s="30">
        <v>959</v>
      </c>
      <c r="B960" s="31">
        <v>0</v>
      </c>
      <c r="C960" s="32">
        <f>(IO!$B$4+IO!$B$8)</f>
        <v>102</v>
      </c>
      <c r="D960" s="32">
        <f>IF(B960&gt;IO!$B$8,0,IO!$B$8-Model!B960)</f>
        <v>2</v>
      </c>
      <c r="E960" s="33">
        <f>IO!$B$5*C960-IO!$B$6*D960</f>
        <v>3880</v>
      </c>
      <c r="G960" s="47">
        <v>959</v>
      </c>
      <c r="H960" s="38" t="s">
        <v>8</v>
      </c>
      <c r="I960" s="38">
        <v>0</v>
      </c>
      <c r="J960" s="39">
        <v>0.3021542945867548</v>
      </c>
      <c r="K960" s="40">
        <f>ROUND(NORMINV(J960,IO!$B$10,IO!$B$11),0)</f>
        <v>100</v>
      </c>
      <c r="L960" s="40">
        <f>MIN(K960,IO!$B$4+IO!$B$8)</f>
        <v>100</v>
      </c>
      <c r="M960" s="40">
        <f>IF(L960-I960&gt;IO!$B$4,Model!L960-Model!I960-IO!$B$4,0)</f>
        <v>0</v>
      </c>
      <c r="N960" s="41">
        <f>IO!$B$5*Model!L960-IO!$B$6*Model!M960</f>
        <v>4000</v>
      </c>
    </row>
    <row r="961" spans="1:14" x14ac:dyDescent="0.35">
      <c r="A961" s="30">
        <v>960</v>
      </c>
      <c r="B961" s="31">
        <v>0</v>
      </c>
      <c r="C961" s="32">
        <f>(IO!$B$4+IO!$B$8)</f>
        <v>102</v>
      </c>
      <c r="D961" s="32">
        <f>IF(B961&gt;IO!$B$8,0,IO!$B$8-Model!B961)</f>
        <v>2</v>
      </c>
      <c r="E961" s="33">
        <f>IO!$B$5*C961-IO!$B$6*D961</f>
        <v>3880</v>
      </c>
      <c r="G961" s="47">
        <v>960</v>
      </c>
      <c r="H961" s="38" t="s">
        <v>9</v>
      </c>
      <c r="I961" s="38">
        <v>0</v>
      </c>
      <c r="J961" s="39">
        <v>0.47126917635712828</v>
      </c>
      <c r="K961" s="40">
        <f>ROUND(NORMINV(J961,IO!$B$10,IO!$B$11),0)</f>
        <v>103</v>
      </c>
      <c r="L961" s="40">
        <f>MIN(K961,IO!$B$4+IO!$B$8)</f>
        <v>102</v>
      </c>
      <c r="M961" s="40">
        <f>IF(L961-I961&gt;IO!$B$4,Model!L961-Model!I961-IO!$B$4,0)</f>
        <v>2</v>
      </c>
      <c r="N961" s="41">
        <f>IO!$B$5*Model!L961-IO!$B$6*Model!M961</f>
        <v>3880</v>
      </c>
    </row>
    <row r="962" spans="1:14" x14ac:dyDescent="0.35">
      <c r="A962" s="30">
        <v>961</v>
      </c>
      <c r="B962" s="31">
        <v>5</v>
      </c>
      <c r="C962" s="32">
        <f>(IO!$B$4+IO!$B$8)</f>
        <v>102</v>
      </c>
      <c r="D962" s="32">
        <f>IF(B962&gt;IO!$B$8,0,IO!$B$8-Model!B962)</f>
        <v>0</v>
      </c>
      <c r="E962" s="33">
        <f>IO!$B$5*C962-IO!$B$6*D962</f>
        <v>4080</v>
      </c>
      <c r="G962" s="47">
        <v>961</v>
      </c>
      <c r="H962" s="38" t="s">
        <v>7</v>
      </c>
      <c r="I962" s="38">
        <v>5</v>
      </c>
      <c r="J962" s="39">
        <v>0.29917618726877315</v>
      </c>
      <c r="K962" s="40">
        <f>ROUND(NORMINV(J962,IO!$B$10,IO!$B$11),0)</f>
        <v>100</v>
      </c>
      <c r="L962" s="40">
        <f>MIN(K962,IO!$B$4+IO!$B$8)</f>
        <v>100</v>
      </c>
      <c r="M962" s="40">
        <f>IF(L962-I962&gt;IO!$B$4,Model!L962-Model!I962-IO!$B$4,0)</f>
        <v>0</v>
      </c>
      <c r="N962" s="41">
        <f>IO!$B$5*Model!L962-IO!$B$6*Model!M962</f>
        <v>4000</v>
      </c>
    </row>
    <row r="963" spans="1:14" x14ac:dyDescent="0.35">
      <c r="A963" s="30">
        <v>962</v>
      </c>
      <c r="B963" s="31">
        <v>3</v>
      </c>
      <c r="C963" s="32">
        <f>(IO!$B$4+IO!$B$8)</f>
        <v>102</v>
      </c>
      <c r="D963" s="32">
        <f>IF(B963&gt;IO!$B$8,0,IO!$B$8-Model!B963)</f>
        <v>0</v>
      </c>
      <c r="E963" s="33">
        <f>IO!$B$5*C963-IO!$B$6*D963</f>
        <v>4080</v>
      </c>
      <c r="G963" s="47">
        <v>962</v>
      </c>
      <c r="H963" s="38" t="s">
        <v>8</v>
      </c>
      <c r="I963" s="38">
        <v>3</v>
      </c>
      <c r="J963" s="39">
        <v>0.82036674455450653</v>
      </c>
      <c r="K963" s="40">
        <f>ROUND(NORMINV(J963,IO!$B$10,IO!$B$11),0)</f>
        <v>108</v>
      </c>
      <c r="L963" s="40">
        <f>MIN(K963,IO!$B$4+IO!$B$8)</f>
        <v>102</v>
      </c>
      <c r="M963" s="40">
        <f>IF(L963-I963&gt;IO!$B$4,Model!L963-Model!I963-IO!$B$4,0)</f>
        <v>0</v>
      </c>
      <c r="N963" s="41">
        <f>IO!$B$5*Model!L963-IO!$B$6*Model!M963</f>
        <v>4080</v>
      </c>
    </row>
    <row r="964" spans="1:14" x14ac:dyDescent="0.35">
      <c r="A964" s="30">
        <v>963</v>
      </c>
      <c r="B964" s="31">
        <v>0</v>
      </c>
      <c r="C964" s="32">
        <f>(IO!$B$4+IO!$B$8)</f>
        <v>102</v>
      </c>
      <c r="D964" s="32">
        <f>IF(B964&gt;IO!$B$8,0,IO!$B$8-Model!B964)</f>
        <v>2</v>
      </c>
      <c r="E964" s="33">
        <f>IO!$B$5*C964-IO!$B$6*D964</f>
        <v>3880</v>
      </c>
      <c r="G964" s="47">
        <v>963</v>
      </c>
      <c r="H964" s="38" t="s">
        <v>9</v>
      </c>
      <c r="I964" s="38">
        <v>0</v>
      </c>
      <c r="J964" s="39">
        <v>0.37655534481722108</v>
      </c>
      <c r="K964" s="40">
        <f>ROUND(NORMINV(J964,IO!$B$10,IO!$B$11),0)</f>
        <v>101</v>
      </c>
      <c r="L964" s="40">
        <f>MIN(K964,IO!$B$4+IO!$B$8)</f>
        <v>101</v>
      </c>
      <c r="M964" s="40">
        <f>IF(L964-I964&gt;IO!$B$4,Model!L964-Model!I964-IO!$B$4,0)</f>
        <v>1</v>
      </c>
      <c r="N964" s="41">
        <f>IO!$B$5*Model!L964-IO!$B$6*Model!M964</f>
        <v>3940</v>
      </c>
    </row>
    <row r="965" spans="1:14" x14ac:dyDescent="0.35">
      <c r="A965" s="30">
        <v>964</v>
      </c>
      <c r="B965" s="31">
        <v>2</v>
      </c>
      <c r="C965" s="32">
        <f>(IO!$B$4+IO!$B$8)</f>
        <v>102</v>
      </c>
      <c r="D965" s="32">
        <f>IF(B965&gt;IO!$B$8,0,IO!$B$8-Model!B965)</f>
        <v>0</v>
      </c>
      <c r="E965" s="33">
        <f>IO!$B$5*C965-IO!$B$6*D965</f>
        <v>4080</v>
      </c>
      <c r="G965" s="47">
        <v>964</v>
      </c>
      <c r="H965" s="38" t="s">
        <v>7</v>
      </c>
      <c r="I965" s="38">
        <v>2</v>
      </c>
      <c r="J965" s="39">
        <v>3.2216251038999721E-2</v>
      </c>
      <c r="K965" s="40">
        <f>ROUND(NORMINV(J965,IO!$B$10,IO!$B$11),0)</f>
        <v>94</v>
      </c>
      <c r="L965" s="40">
        <f>MIN(K965,IO!$B$4+IO!$B$8)</f>
        <v>94</v>
      </c>
      <c r="M965" s="40">
        <f>IF(L965-I965&gt;IO!$B$4,Model!L965-Model!I965-IO!$B$4,0)</f>
        <v>0</v>
      </c>
      <c r="N965" s="41">
        <f>IO!$B$5*Model!L965-IO!$B$6*Model!M965</f>
        <v>3760</v>
      </c>
    </row>
    <row r="966" spans="1:14" x14ac:dyDescent="0.35">
      <c r="A966" s="30">
        <v>965</v>
      </c>
      <c r="B966" s="31">
        <v>2</v>
      </c>
      <c r="C966" s="32">
        <f>(IO!$B$4+IO!$B$8)</f>
        <v>102</v>
      </c>
      <c r="D966" s="32">
        <f>IF(B966&gt;IO!$B$8,0,IO!$B$8-Model!B966)</f>
        <v>0</v>
      </c>
      <c r="E966" s="33">
        <f>IO!$B$5*C966-IO!$B$6*D966</f>
        <v>4080</v>
      </c>
      <c r="G966" s="47">
        <v>965</v>
      </c>
      <c r="H966" s="38" t="s">
        <v>8</v>
      </c>
      <c r="I966" s="38">
        <v>2</v>
      </c>
      <c r="J966" s="39">
        <v>0.68417736240694449</v>
      </c>
      <c r="K966" s="40">
        <f>ROUND(NORMINV(J966,IO!$B$10,IO!$B$11),0)</f>
        <v>105</v>
      </c>
      <c r="L966" s="40">
        <f>MIN(K966,IO!$B$4+IO!$B$8)</f>
        <v>102</v>
      </c>
      <c r="M966" s="40">
        <f>IF(L966-I966&gt;IO!$B$4,Model!L966-Model!I966-IO!$B$4,0)</f>
        <v>0</v>
      </c>
      <c r="N966" s="41">
        <f>IO!$B$5*Model!L966-IO!$B$6*Model!M966</f>
        <v>4080</v>
      </c>
    </row>
    <row r="967" spans="1:14" x14ac:dyDescent="0.35">
      <c r="A967" s="30">
        <v>966</v>
      </c>
      <c r="B967" s="31">
        <v>2</v>
      </c>
      <c r="C967" s="32">
        <f>(IO!$B$4+IO!$B$8)</f>
        <v>102</v>
      </c>
      <c r="D967" s="32">
        <f>IF(B967&gt;IO!$B$8,0,IO!$B$8-Model!B967)</f>
        <v>0</v>
      </c>
      <c r="E967" s="33">
        <f>IO!$B$5*C967-IO!$B$6*D967</f>
        <v>4080</v>
      </c>
      <c r="G967" s="47">
        <v>966</v>
      </c>
      <c r="H967" s="38" t="s">
        <v>9</v>
      </c>
      <c r="I967" s="38">
        <v>2</v>
      </c>
      <c r="J967" s="39">
        <v>0.55214665808533214</v>
      </c>
      <c r="K967" s="40">
        <f>ROUND(NORMINV(J967,IO!$B$10,IO!$B$11),0)</f>
        <v>104</v>
      </c>
      <c r="L967" s="40">
        <f>MIN(K967,IO!$B$4+IO!$B$8)</f>
        <v>102</v>
      </c>
      <c r="M967" s="40">
        <f>IF(L967-I967&gt;IO!$B$4,Model!L967-Model!I967-IO!$B$4,0)</f>
        <v>0</v>
      </c>
      <c r="N967" s="41">
        <f>IO!$B$5*Model!L967-IO!$B$6*Model!M967</f>
        <v>4080</v>
      </c>
    </row>
    <row r="968" spans="1:14" x14ac:dyDescent="0.35">
      <c r="A968" s="30">
        <v>967</v>
      </c>
      <c r="B968" s="31">
        <v>2</v>
      </c>
      <c r="C968" s="32">
        <f>(IO!$B$4+IO!$B$8)</f>
        <v>102</v>
      </c>
      <c r="D968" s="32">
        <f>IF(B968&gt;IO!$B$8,0,IO!$B$8-Model!B968)</f>
        <v>0</v>
      </c>
      <c r="E968" s="33">
        <f>IO!$B$5*C968-IO!$B$6*D968</f>
        <v>4080</v>
      </c>
      <c r="G968" s="47">
        <v>967</v>
      </c>
      <c r="H968" s="38" t="s">
        <v>7</v>
      </c>
      <c r="I968" s="38">
        <v>2</v>
      </c>
      <c r="J968" s="39">
        <v>0.20614750504955626</v>
      </c>
      <c r="K968" s="40">
        <f>ROUND(NORMINV(J968,IO!$B$10,IO!$B$11),0)</f>
        <v>99</v>
      </c>
      <c r="L968" s="40">
        <f>MIN(K968,IO!$B$4+IO!$B$8)</f>
        <v>99</v>
      </c>
      <c r="M968" s="40">
        <f>IF(L968-I968&gt;IO!$B$4,Model!L968-Model!I968-IO!$B$4,0)</f>
        <v>0</v>
      </c>
      <c r="N968" s="41">
        <f>IO!$B$5*Model!L968-IO!$B$6*Model!M968</f>
        <v>3960</v>
      </c>
    </row>
    <row r="969" spans="1:14" x14ac:dyDescent="0.35">
      <c r="A969" s="30">
        <v>968</v>
      </c>
      <c r="B969" s="31">
        <v>1</v>
      </c>
      <c r="C969" s="32">
        <f>(IO!$B$4+IO!$B$8)</f>
        <v>102</v>
      </c>
      <c r="D969" s="32">
        <f>IF(B969&gt;IO!$B$8,0,IO!$B$8-Model!B969)</f>
        <v>1</v>
      </c>
      <c r="E969" s="33">
        <f>IO!$B$5*C969-IO!$B$6*D969</f>
        <v>3980</v>
      </c>
      <c r="G969" s="47">
        <v>968</v>
      </c>
      <c r="H969" s="38" t="s">
        <v>8</v>
      </c>
      <c r="I969" s="38">
        <v>1</v>
      </c>
      <c r="J969" s="39">
        <v>0.72229085071850396</v>
      </c>
      <c r="K969" s="40">
        <f>ROUND(NORMINV(J969,IO!$B$10,IO!$B$11),0)</f>
        <v>106</v>
      </c>
      <c r="L969" s="40">
        <f>MIN(K969,IO!$B$4+IO!$B$8)</f>
        <v>102</v>
      </c>
      <c r="M969" s="40">
        <f>IF(L969-I969&gt;IO!$B$4,Model!L969-Model!I969-IO!$B$4,0)</f>
        <v>1</v>
      </c>
      <c r="N969" s="41">
        <f>IO!$B$5*Model!L969-IO!$B$6*Model!M969</f>
        <v>3980</v>
      </c>
    </row>
    <row r="970" spans="1:14" x14ac:dyDescent="0.35">
      <c r="A970" s="30">
        <v>969</v>
      </c>
      <c r="B970" s="31">
        <v>0</v>
      </c>
      <c r="C970" s="32">
        <f>(IO!$B$4+IO!$B$8)</f>
        <v>102</v>
      </c>
      <c r="D970" s="32">
        <f>IF(B970&gt;IO!$B$8,0,IO!$B$8-Model!B970)</f>
        <v>2</v>
      </c>
      <c r="E970" s="33">
        <f>IO!$B$5*C970-IO!$B$6*D970</f>
        <v>3880</v>
      </c>
      <c r="G970" s="47">
        <v>969</v>
      </c>
      <c r="H970" s="38" t="s">
        <v>9</v>
      </c>
      <c r="I970" s="38">
        <v>0</v>
      </c>
      <c r="J970" s="39">
        <v>3.6149303400812682E-2</v>
      </c>
      <c r="K970" s="40">
        <f>ROUND(NORMINV(J970,IO!$B$10,IO!$B$11),0)</f>
        <v>94</v>
      </c>
      <c r="L970" s="40">
        <f>MIN(K970,IO!$B$4+IO!$B$8)</f>
        <v>94</v>
      </c>
      <c r="M970" s="40">
        <f>IF(L970-I970&gt;IO!$B$4,Model!L970-Model!I970-IO!$B$4,0)</f>
        <v>0</v>
      </c>
      <c r="N970" s="41">
        <f>IO!$B$5*Model!L970-IO!$B$6*Model!M970</f>
        <v>3760</v>
      </c>
    </row>
    <row r="971" spans="1:14" x14ac:dyDescent="0.35">
      <c r="A971" s="30">
        <v>970</v>
      </c>
      <c r="B971" s="31">
        <v>0</v>
      </c>
      <c r="C971" s="32">
        <f>(IO!$B$4+IO!$B$8)</f>
        <v>102</v>
      </c>
      <c r="D971" s="32">
        <f>IF(B971&gt;IO!$B$8,0,IO!$B$8-Model!B971)</f>
        <v>2</v>
      </c>
      <c r="E971" s="33">
        <f>IO!$B$5*C971-IO!$B$6*D971</f>
        <v>3880</v>
      </c>
      <c r="G971" s="47">
        <v>970</v>
      </c>
      <c r="H971" s="38" t="s">
        <v>7</v>
      </c>
      <c r="I971" s="38">
        <v>0</v>
      </c>
      <c r="J971" s="39">
        <v>0.56621017430610032</v>
      </c>
      <c r="K971" s="40">
        <f>ROUND(NORMINV(J971,IO!$B$10,IO!$B$11),0)</f>
        <v>104</v>
      </c>
      <c r="L971" s="40">
        <f>MIN(K971,IO!$B$4+IO!$B$8)</f>
        <v>102</v>
      </c>
      <c r="M971" s="40">
        <f>IF(L971-I971&gt;IO!$B$4,Model!L971-Model!I971-IO!$B$4,0)</f>
        <v>2</v>
      </c>
      <c r="N971" s="41">
        <f>IO!$B$5*Model!L971-IO!$B$6*Model!M971</f>
        <v>3880</v>
      </c>
    </row>
    <row r="972" spans="1:14" x14ac:dyDescent="0.35">
      <c r="A972" s="30">
        <v>971</v>
      </c>
      <c r="B972" s="31">
        <v>2</v>
      </c>
      <c r="C972" s="32">
        <f>(IO!$B$4+IO!$B$8)</f>
        <v>102</v>
      </c>
      <c r="D972" s="32">
        <f>IF(B972&gt;IO!$B$8,0,IO!$B$8-Model!B972)</f>
        <v>0</v>
      </c>
      <c r="E972" s="33">
        <f>IO!$B$5*C972-IO!$B$6*D972</f>
        <v>4080</v>
      </c>
      <c r="G972" s="47">
        <v>971</v>
      </c>
      <c r="H972" s="38" t="s">
        <v>8</v>
      </c>
      <c r="I972" s="38">
        <v>2</v>
      </c>
      <c r="J972" s="39">
        <v>0.4184505587146784</v>
      </c>
      <c r="K972" s="40">
        <f>ROUND(NORMINV(J972,IO!$B$10,IO!$B$11),0)</f>
        <v>102</v>
      </c>
      <c r="L972" s="40">
        <f>MIN(K972,IO!$B$4+IO!$B$8)</f>
        <v>102</v>
      </c>
      <c r="M972" s="40">
        <f>IF(L972-I972&gt;IO!$B$4,Model!L972-Model!I972-IO!$B$4,0)</f>
        <v>0</v>
      </c>
      <c r="N972" s="41">
        <f>IO!$B$5*Model!L972-IO!$B$6*Model!M972</f>
        <v>4080</v>
      </c>
    </row>
    <row r="973" spans="1:14" x14ac:dyDescent="0.35">
      <c r="A973" s="30">
        <v>972</v>
      </c>
      <c r="B973" s="31">
        <v>3</v>
      </c>
      <c r="C973" s="32">
        <f>(IO!$B$4+IO!$B$8)</f>
        <v>102</v>
      </c>
      <c r="D973" s="32">
        <f>IF(B973&gt;IO!$B$8,0,IO!$B$8-Model!B973)</f>
        <v>0</v>
      </c>
      <c r="E973" s="33">
        <f>IO!$B$5*C973-IO!$B$6*D973</f>
        <v>4080</v>
      </c>
      <c r="G973" s="47">
        <v>972</v>
      </c>
      <c r="H973" s="38" t="s">
        <v>9</v>
      </c>
      <c r="I973" s="38">
        <v>3</v>
      </c>
      <c r="J973" s="39">
        <v>0.12070484465424325</v>
      </c>
      <c r="K973" s="40">
        <f>ROUND(NORMINV(J973,IO!$B$10,IO!$B$11),0)</f>
        <v>97</v>
      </c>
      <c r="L973" s="40">
        <f>MIN(K973,IO!$B$4+IO!$B$8)</f>
        <v>97</v>
      </c>
      <c r="M973" s="40">
        <f>IF(L973-I973&gt;IO!$B$4,Model!L973-Model!I973-IO!$B$4,0)</f>
        <v>0</v>
      </c>
      <c r="N973" s="41">
        <f>IO!$B$5*Model!L973-IO!$B$6*Model!M973</f>
        <v>3880</v>
      </c>
    </row>
    <row r="974" spans="1:14" x14ac:dyDescent="0.35">
      <c r="A974" s="30">
        <v>973</v>
      </c>
      <c r="B974" s="31">
        <v>5</v>
      </c>
      <c r="C974" s="32">
        <f>(IO!$B$4+IO!$B$8)</f>
        <v>102</v>
      </c>
      <c r="D974" s="32">
        <f>IF(B974&gt;IO!$B$8,0,IO!$B$8-Model!B974)</f>
        <v>0</v>
      </c>
      <c r="E974" s="33">
        <f>IO!$B$5*C974-IO!$B$6*D974</f>
        <v>4080</v>
      </c>
      <c r="G974" s="47">
        <v>973</v>
      </c>
      <c r="H974" s="38" t="s">
        <v>7</v>
      </c>
      <c r="I974" s="38">
        <v>5</v>
      </c>
      <c r="J974" s="39">
        <v>0.46918872090089259</v>
      </c>
      <c r="K974" s="40">
        <f>ROUND(NORMINV(J974,IO!$B$10,IO!$B$11),0)</f>
        <v>103</v>
      </c>
      <c r="L974" s="40">
        <f>MIN(K974,IO!$B$4+IO!$B$8)</f>
        <v>102</v>
      </c>
      <c r="M974" s="40">
        <f>IF(L974-I974&gt;IO!$B$4,Model!L974-Model!I974-IO!$B$4,0)</f>
        <v>0</v>
      </c>
      <c r="N974" s="41">
        <f>IO!$B$5*Model!L974-IO!$B$6*Model!M974</f>
        <v>4080</v>
      </c>
    </row>
    <row r="975" spans="1:14" x14ac:dyDescent="0.35">
      <c r="A975" s="30">
        <v>974</v>
      </c>
      <c r="B975" s="31">
        <v>2</v>
      </c>
      <c r="C975" s="32">
        <f>(IO!$B$4+IO!$B$8)</f>
        <v>102</v>
      </c>
      <c r="D975" s="32">
        <f>IF(B975&gt;IO!$B$8,0,IO!$B$8-Model!B975)</f>
        <v>0</v>
      </c>
      <c r="E975" s="33">
        <f>IO!$B$5*C975-IO!$B$6*D975</f>
        <v>4080</v>
      </c>
      <c r="G975" s="47">
        <v>974</v>
      </c>
      <c r="H975" s="38" t="s">
        <v>8</v>
      </c>
      <c r="I975" s="38">
        <v>2</v>
      </c>
      <c r="J975" s="39">
        <v>0.37893224837517803</v>
      </c>
      <c r="K975" s="40">
        <f>ROUND(NORMINV(J975,IO!$B$10,IO!$B$11),0)</f>
        <v>101</v>
      </c>
      <c r="L975" s="40">
        <f>MIN(K975,IO!$B$4+IO!$B$8)</f>
        <v>101</v>
      </c>
      <c r="M975" s="40">
        <f>IF(L975-I975&gt;IO!$B$4,Model!L975-Model!I975-IO!$B$4,0)</f>
        <v>0</v>
      </c>
      <c r="N975" s="41">
        <f>IO!$B$5*Model!L975-IO!$B$6*Model!M975</f>
        <v>4040</v>
      </c>
    </row>
    <row r="976" spans="1:14" x14ac:dyDescent="0.35">
      <c r="A976" s="30">
        <v>975</v>
      </c>
      <c r="B976" s="31">
        <v>1</v>
      </c>
      <c r="C976" s="32">
        <f>(IO!$B$4+IO!$B$8)</f>
        <v>102</v>
      </c>
      <c r="D976" s="32">
        <f>IF(B976&gt;IO!$B$8,0,IO!$B$8-Model!B976)</f>
        <v>1</v>
      </c>
      <c r="E976" s="33">
        <f>IO!$B$5*C976-IO!$B$6*D976</f>
        <v>3980</v>
      </c>
      <c r="G976" s="47">
        <v>975</v>
      </c>
      <c r="H976" s="38" t="s">
        <v>9</v>
      </c>
      <c r="I976" s="38">
        <v>1</v>
      </c>
      <c r="J976" s="39">
        <v>0.91924492106002897</v>
      </c>
      <c r="K976" s="40">
        <f>ROUND(NORMINV(J976,IO!$B$10,IO!$B$11),0)</f>
        <v>110</v>
      </c>
      <c r="L976" s="40">
        <f>MIN(K976,IO!$B$4+IO!$B$8)</f>
        <v>102</v>
      </c>
      <c r="M976" s="40">
        <f>IF(L976-I976&gt;IO!$B$4,Model!L976-Model!I976-IO!$B$4,0)</f>
        <v>1</v>
      </c>
      <c r="N976" s="41">
        <f>IO!$B$5*Model!L976-IO!$B$6*Model!M976</f>
        <v>3980</v>
      </c>
    </row>
    <row r="977" spans="1:14" x14ac:dyDescent="0.35">
      <c r="A977" s="30">
        <v>976</v>
      </c>
      <c r="B977" s="31">
        <v>5</v>
      </c>
      <c r="C977" s="32">
        <f>(IO!$B$4+IO!$B$8)</f>
        <v>102</v>
      </c>
      <c r="D977" s="32">
        <f>IF(B977&gt;IO!$B$8,0,IO!$B$8-Model!B977)</f>
        <v>0</v>
      </c>
      <c r="E977" s="33">
        <f>IO!$B$5*C977-IO!$B$6*D977</f>
        <v>4080</v>
      </c>
      <c r="G977" s="47">
        <v>976</v>
      </c>
      <c r="H977" s="38" t="s">
        <v>7</v>
      </c>
      <c r="I977" s="38">
        <v>5</v>
      </c>
      <c r="J977" s="39">
        <v>0.63984193433116432</v>
      </c>
      <c r="K977" s="40">
        <f>ROUND(NORMINV(J977,IO!$B$10,IO!$B$11),0)</f>
        <v>105</v>
      </c>
      <c r="L977" s="40">
        <f>MIN(K977,IO!$B$4+IO!$B$8)</f>
        <v>102</v>
      </c>
      <c r="M977" s="40">
        <f>IF(L977-I977&gt;IO!$B$4,Model!L977-Model!I977-IO!$B$4,0)</f>
        <v>0</v>
      </c>
      <c r="N977" s="41">
        <f>IO!$B$5*Model!L977-IO!$B$6*Model!M977</f>
        <v>4080</v>
      </c>
    </row>
    <row r="978" spans="1:14" x14ac:dyDescent="0.35">
      <c r="A978" s="30">
        <v>977</v>
      </c>
      <c r="B978" s="31">
        <v>4</v>
      </c>
      <c r="C978" s="32">
        <f>(IO!$B$4+IO!$B$8)</f>
        <v>102</v>
      </c>
      <c r="D978" s="32">
        <f>IF(B978&gt;IO!$B$8,0,IO!$B$8-Model!B978)</f>
        <v>0</v>
      </c>
      <c r="E978" s="33">
        <f>IO!$B$5*C978-IO!$B$6*D978</f>
        <v>4080</v>
      </c>
      <c r="G978" s="47">
        <v>977</v>
      </c>
      <c r="H978" s="38" t="s">
        <v>8</v>
      </c>
      <c r="I978" s="38">
        <v>4</v>
      </c>
      <c r="J978" s="39">
        <v>0.17575678643239412</v>
      </c>
      <c r="K978" s="40">
        <f>ROUND(NORMINV(J978,IO!$B$10,IO!$B$11),0)</f>
        <v>98</v>
      </c>
      <c r="L978" s="40">
        <f>MIN(K978,IO!$B$4+IO!$B$8)</f>
        <v>98</v>
      </c>
      <c r="M978" s="40">
        <f>IF(L978-I978&gt;IO!$B$4,Model!L978-Model!I978-IO!$B$4,0)</f>
        <v>0</v>
      </c>
      <c r="N978" s="41">
        <f>IO!$B$5*Model!L978-IO!$B$6*Model!M978</f>
        <v>3920</v>
      </c>
    </row>
    <row r="979" spans="1:14" x14ac:dyDescent="0.35">
      <c r="A979" s="30">
        <v>978</v>
      </c>
      <c r="B979" s="31">
        <v>2</v>
      </c>
      <c r="C979" s="32">
        <f>(IO!$B$4+IO!$B$8)</f>
        <v>102</v>
      </c>
      <c r="D979" s="32">
        <f>IF(B979&gt;IO!$B$8,0,IO!$B$8-Model!B979)</f>
        <v>0</v>
      </c>
      <c r="E979" s="33">
        <f>IO!$B$5*C979-IO!$B$6*D979</f>
        <v>4080</v>
      </c>
      <c r="G979" s="47">
        <v>978</v>
      </c>
      <c r="H979" s="38" t="s">
        <v>9</v>
      </c>
      <c r="I979" s="38">
        <v>2</v>
      </c>
      <c r="J979" s="39">
        <v>0.96190878039548622</v>
      </c>
      <c r="K979" s="40">
        <f>ROUND(NORMINV(J979,IO!$B$10,IO!$B$11),0)</f>
        <v>112</v>
      </c>
      <c r="L979" s="40">
        <f>MIN(K979,IO!$B$4+IO!$B$8)</f>
        <v>102</v>
      </c>
      <c r="M979" s="40">
        <f>IF(L979-I979&gt;IO!$B$4,Model!L979-Model!I979-IO!$B$4,0)</f>
        <v>0</v>
      </c>
      <c r="N979" s="41">
        <f>IO!$B$5*Model!L979-IO!$B$6*Model!M979</f>
        <v>4080</v>
      </c>
    </row>
    <row r="980" spans="1:14" x14ac:dyDescent="0.35">
      <c r="A980" s="30">
        <v>979</v>
      </c>
      <c r="B980" s="31">
        <v>2</v>
      </c>
      <c r="C980" s="32">
        <f>(IO!$B$4+IO!$B$8)</f>
        <v>102</v>
      </c>
      <c r="D980" s="32">
        <f>IF(B980&gt;IO!$B$8,0,IO!$B$8-Model!B980)</f>
        <v>0</v>
      </c>
      <c r="E980" s="33">
        <f>IO!$B$5*C980-IO!$B$6*D980</f>
        <v>4080</v>
      </c>
      <c r="G980" s="47">
        <v>979</v>
      </c>
      <c r="H980" s="38" t="s">
        <v>7</v>
      </c>
      <c r="I980" s="38">
        <v>2</v>
      </c>
      <c r="J980" s="39">
        <v>0.10464646354499363</v>
      </c>
      <c r="K980" s="40">
        <f>ROUND(NORMINV(J980,IO!$B$10,IO!$B$11),0)</f>
        <v>97</v>
      </c>
      <c r="L980" s="40">
        <f>MIN(K980,IO!$B$4+IO!$B$8)</f>
        <v>97</v>
      </c>
      <c r="M980" s="40">
        <f>IF(L980-I980&gt;IO!$B$4,Model!L980-Model!I980-IO!$B$4,0)</f>
        <v>0</v>
      </c>
      <c r="N980" s="41">
        <f>IO!$B$5*Model!L980-IO!$B$6*Model!M980</f>
        <v>3880</v>
      </c>
    </row>
    <row r="981" spans="1:14" x14ac:dyDescent="0.35">
      <c r="A981" s="30">
        <v>980</v>
      </c>
      <c r="B981" s="31">
        <v>0</v>
      </c>
      <c r="C981" s="32">
        <f>(IO!$B$4+IO!$B$8)</f>
        <v>102</v>
      </c>
      <c r="D981" s="32">
        <f>IF(B981&gt;IO!$B$8,0,IO!$B$8-Model!B981)</f>
        <v>2</v>
      </c>
      <c r="E981" s="33">
        <f>IO!$B$5*C981-IO!$B$6*D981</f>
        <v>3880</v>
      </c>
      <c r="G981" s="47">
        <v>980</v>
      </c>
      <c r="H981" s="38" t="s">
        <v>8</v>
      </c>
      <c r="I981" s="38">
        <v>0</v>
      </c>
      <c r="J981" s="39">
        <v>0.90302719890848016</v>
      </c>
      <c r="K981" s="40">
        <f>ROUND(NORMINV(J981,IO!$B$10,IO!$B$11),0)</f>
        <v>109</v>
      </c>
      <c r="L981" s="40">
        <f>MIN(K981,IO!$B$4+IO!$B$8)</f>
        <v>102</v>
      </c>
      <c r="M981" s="40">
        <f>IF(L981-I981&gt;IO!$B$4,Model!L981-Model!I981-IO!$B$4,0)</f>
        <v>2</v>
      </c>
      <c r="N981" s="41">
        <f>IO!$B$5*Model!L981-IO!$B$6*Model!M981</f>
        <v>3880</v>
      </c>
    </row>
    <row r="982" spans="1:14" x14ac:dyDescent="0.35">
      <c r="A982" s="30">
        <v>981</v>
      </c>
      <c r="B982" s="31">
        <v>0</v>
      </c>
      <c r="C982" s="32">
        <f>(IO!$B$4+IO!$B$8)</f>
        <v>102</v>
      </c>
      <c r="D982" s="32">
        <f>IF(B982&gt;IO!$B$8,0,IO!$B$8-Model!B982)</f>
        <v>2</v>
      </c>
      <c r="E982" s="33">
        <f>IO!$B$5*C982-IO!$B$6*D982</f>
        <v>3880</v>
      </c>
      <c r="G982" s="47">
        <v>981</v>
      </c>
      <c r="H982" s="38" t="s">
        <v>9</v>
      </c>
      <c r="I982" s="38">
        <v>0</v>
      </c>
      <c r="J982" s="39">
        <v>9.7834261430046032E-2</v>
      </c>
      <c r="K982" s="40">
        <f>ROUND(NORMINV(J982,IO!$B$10,IO!$B$11),0)</f>
        <v>97</v>
      </c>
      <c r="L982" s="40">
        <f>MIN(K982,IO!$B$4+IO!$B$8)</f>
        <v>97</v>
      </c>
      <c r="M982" s="40">
        <f>IF(L982-I982&gt;IO!$B$4,Model!L982-Model!I982-IO!$B$4,0)</f>
        <v>0</v>
      </c>
      <c r="N982" s="41">
        <f>IO!$B$5*Model!L982-IO!$B$6*Model!M982</f>
        <v>3880</v>
      </c>
    </row>
    <row r="983" spans="1:14" x14ac:dyDescent="0.35">
      <c r="A983" s="30">
        <v>982</v>
      </c>
      <c r="B983" s="31">
        <v>7</v>
      </c>
      <c r="C983" s="32">
        <f>(IO!$B$4+IO!$B$8)</f>
        <v>102</v>
      </c>
      <c r="D983" s="32">
        <f>IF(B983&gt;IO!$B$8,0,IO!$B$8-Model!B983)</f>
        <v>0</v>
      </c>
      <c r="E983" s="33">
        <f>IO!$B$5*C983-IO!$B$6*D983</f>
        <v>4080</v>
      </c>
      <c r="G983" s="47">
        <v>982</v>
      </c>
      <c r="H983" s="38" t="s">
        <v>7</v>
      </c>
      <c r="I983" s="38">
        <v>7</v>
      </c>
      <c r="J983" s="39">
        <v>0.40402616549172499</v>
      </c>
      <c r="K983" s="40">
        <f>ROUND(NORMINV(J983,IO!$B$10,IO!$B$11),0)</f>
        <v>102</v>
      </c>
      <c r="L983" s="40">
        <f>MIN(K983,IO!$B$4+IO!$B$8)</f>
        <v>102</v>
      </c>
      <c r="M983" s="40">
        <f>IF(L983-I983&gt;IO!$B$4,Model!L983-Model!I983-IO!$B$4,0)</f>
        <v>0</v>
      </c>
      <c r="N983" s="41">
        <f>IO!$B$5*Model!L983-IO!$B$6*Model!M983</f>
        <v>4080</v>
      </c>
    </row>
    <row r="984" spans="1:14" x14ac:dyDescent="0.35">
      <c r="A984" s="30">
        <v>983</v>
      </c>
      <c r="B984" s="31">
        <v>2</v>
      </c>
      <c r="C984" s="32">
        <f>(IO!$B$4+IO!$B$8)</f>
        <v>102</v>
      </c>
      <c r="D984" s="32">
        <f>IF(B984&gt;IO!$B$8,0,IO!$B$8-Model!B984)</f>
        <v>0</v>
      </c>
      <c r="E984" s="33">
        <f>IO!$B$5*C984-IO!$B$6*D984</f>
        <v>4080</v>
      </c>
      <c r="G984" s="47">
        <v>983</v>
      </c>
      <c r="H984" s="38" t="s">
        <v>8</v>
      </c>
      <c r="I984" s="38">
        <v>2</v>
      </c>
      <c r="J984" s="39">
        <v>0.96320731521454739</v>
      </c>
      <c r="K984" s="40">
        <f>ROUND(NORMINV(J984,IO!$B$10,IO!$B$11),0)</f>
        <v>112</v>
      </c>
      <c r="L984" s="40">
        <f>MIN(K984,IO!$B$4+IO!$B$8)</f>
        <v>102</v>
      </c>
      <c r="M984" s="40">
        <f>IF(L984-I984&gt;IO!$B$4,Model!L984-Model!I984-IO!$B$4,0)</f>
        <v>0</v>
      </c>
      <c r="N984" s="41">
        <f>IO!$B$5*Model!L984-IO!$B$6*Model!M984</f>
        <v>4080</v>
      </c>
    </row>
    <row r="985" spans="1:14" x14ac:dyDescent="0.35">
      <c r="A985" s="30">
        <v>984</v>
      </c>
      <c r="B985" s="31">
        <v>2</v>
      </c>
      <c r="C985" s="32">
        <f>(IO!$B$4+IO!$B$8)</f>
        <v>102</v>
      </c>
      <c r="D985" s="32">
        <f>IF(B985&gt;IO!$B$8,0,IO!$B$8-Model!B985)</f>
        <v>0</v>
      </c>
      <c r="E985" s="33">
        <f>IO!$B$5*C985-IO!$B$6*D985</f>
        <v>4080</v>
      </c>
      <c r="G985" s="47">
        <v>984</v>
      </c>
      <c r="H985" s="38" t="s">
        <v>9</v>
      </c>
      <c r="I985" s="38">
        <v>2</v>
      </c>
      <c r="J985" s="39">
        <v>0.60631368996145596</v>
      </c>
      <c r="K985" s="40">
        <f>ROUND(NORMINV(J985,IO!$B$10,IO!$B$11),0)</f>
        <v>104</v>
      </c>
      <c r="L985" s="40">
        <f>MIN(K985,IO!$B$4+IO!$B$8)</f>
        <v>102</v>
      </c>
      <c r="M985" s="40">
        <f>IF(L985-I985&gt;IO!$B$4,Model!L985-Model!I985-IO!$B$4,0)</f>
        <v>0</v>
      </c>
      <c r="N985" s="41">
        <f>IO!$B$5*Model!L985-IO!$B$6*Model!M985</f>
        <v>4080</v>
      </c>
    </row>
    <row r="986" spans="1:14" x14ac:dyDescent="0.35">
      <c r="A986" s="30">
        <v>985</v>
      </c>
      <c r="B986" s="31">
        <v>0</v>
      </c>
      <c r="C986" s="32">
        <f>(IO!$B$4+IO!$B$8)</f>
        <v>102</v>
      </c>
      <c r="D986" s="32">
        <f>IF(B986&gt;IO!$B$8,0,IO!$B$8-Model!B986)</f>
        <v>2</v>
      </c>
      <c r="E986" s="33">
        <f>IO!$B$5*C986-IO!$B$6*D986</f>
        <v>3880</v>
      </c>
      <c r="G986" s="47">
        <v>985</v>
      </c>
      <c r="H986" s="38" t="s">
        <v>7</v>
      </c>
      <c r="I986" s="38">
        <v>0</v>
      </c>
      <c r="J986" s="39">
        <v>0.12750561937212646</v>
      </c>
      <c r="K986" s="40">
        <f>ROUND(NORMINV(J986,IO!$B$10,IO!$B$11),0)</f>
        <v>97</v>
      </c>
      <c r="L986" s="40">
        <f>MIN(K986,IO!$B$4+IO!$B$8)</f>
        <v>97</v>
      </c>
      <c r="M986" s="40">
        <f>IF(L986-I986&gt;IO!$B$4,Model!L986-Model!I986-IO!$B$4,0)</f>
        <v>0</v>
      </c>
      <c r="N986" s="41">
        <f>IO!$B$5*Model!L986-IO!$B$6*Model!M986</f>
        <v>3880</v>
      </c>
    </row>
    <row r="987" spans="1:14" x14ac:dyDescent="0.35">
      <c r="A987" s="30">
        <v>986</v>
      </c>
      <c r="B987" s="31">
        <v>2</v>
      </c>
      <c r="C987" s="32">
        <f>(IO!$B$4+IO!$B$8)</f>
        <v>102</v>
      </c>
      <c r="D987" s="32">
        <f>IF(B987&gt;IO!$B$8,0,IO!$B$8-Model!B987)</f>
        <v>0</v>
      </c>
      <c r="E987" s="33">
        <f>IO!$B$5*C987-IO!$B$6*D987</f>
        <v>4080</v>
      </c>
      <c r="G987" s="47">
        <v>986</v>
      </c>
      <c r="H987" s="38" t="s">
        <v>8</v>
      </c>
      <c r="I987" s="38">
        <v>2</v>
      </c>
      <c r="J987" s="39">
        <v>0.34978296338920412</v>
      </c>
      <c r="K987" s="40">
        <f>ROUND(NORMINV(J987,IO!$B$10,IO!$B$11),0)</f>
        <v>101</v>
      </c>
      <c r="L987" s="40">
        <f>MIN(K987,IO!$B$4+IO!$B$8)</f>
        <v>101</v>
      </c>
      <c r="M987" s="40">
        <f>IF(L987-I987&gt;IO!$B$4,Model!L987-Model!I987-IO!$B$4,0)</f>
        <v>0</v>
      </c>
      <c r="N987" s="41">
        <f>IO!$B$5*Model!L987-IO!$B$6*Model!M987</f>
        <v>4040</v>
      </c>
    </row>
    <row r="988" spans="1:14" x14ac:dyDescent="0.35">
      <c r="A988" s="30">
        <v>987</v>
      </c>
      <c r="B988" s="31">
        <v>2</v>
      </c>
      <c r="C988" s="32">
        <f>(IO!$B$4+IO!$B$8)</f>
        <v>102</v>
      </c>
      <c r="D988" s="32">
        <f>IF(B988&gt;IO!$B$8,0,IO!$B$8-Model!B988)</f>
        <v>0</v>
      </c>
      <c r="E988" s="33">
        <f>IO!$B$5*C988-IO!$B$6*D988</f>
        <v>4080</v>
      </c>
      <c r="G988" s="47">
        <v>987</v>
      </c>
      <c r="H988" s="38" t="s">
        <v>9</v>
      </c>
      <c r="I988" s="38">
        <v>2</v>
      </c>
      <c r="J988" s="39">
        <v>0.96777070302320534</v>
      </c>
      <c r="K988" s="40">
        <f>ROUND(NORMINV(J988,IO!$B$10,IO!$B$11),0)</f>
        <v>112</v>
      </c>
      <c r="L988" s="40">
        <f>MIN(K988,IO!$B$4+IO!$B$8)</f>
        <v>102</v>
      </c>
      <c r="M988" s="40">
        <f>IF(L988-I988&gt;IO!$B$4,Model!L988-Model!I988-IO!$B$4,0)</f>
        <v>0</v>
      </c>
      <c r="N988" s="41">
        <f>IO!$B$5*Model!L988-IO!$B$6*Model!M988</f>
        <v>4080</v>
      </c>
    </row>
    <row r="989" spans="1:14" x14ac:dyDescent="0.35">
      <c r="A989" s="30">
        <v>988</v>
      </c>
      <c r="B989" s="31">
        <v>4</v>
      </c>
      <c r="C989" s="32">
        <f>(IO!$B$4+IO!$B$8)</f>
        <v>102</v>
      </c>
      <c r="D989" s="32">
        <f>IF(B989&gt;IO!$B$8,0,IO!$B$8-Model!B989)</f>
        <v>0</v>
      </c>
      <c r="E989" s="33">
        <f>IO!$B$5*C989-IO!$B$6*D989</f>
        <v>4080</v>
      </c>
      <c r="G989" s="47">
        <v>988</v>
      </c>
      <c r="H989" s="38" t="s">
        <v>7</v>
      </c>
      <c r="I989" s="38">
        <v>4</v>
      </c>
      <c r="J989" s="39">
        <v>0.67558175292729916</v>
      </c>
      <c r="K989" s="40">
        <f>ROUND(NORMINV(J989,IO!$B$10,IO!$B$11),0)</f>
        <v>105</v>
      </c>
      <c r="L989" s="40">
        <f>MIN(K989,IO!$B$4+IO!$B$8)</f>
        <v>102</v>
      </c>
      <c r="M989" s="40">
        <f>IF(L989-I989&gt;IO!$B$4,Model!L989-Model!I989-IO!$B$4,0)</f>
        <v>0</v>
      </c>
      <c r="N989" s="41">
        <f>IO!$B$5*Model!L989-IO!$B$6*Model!M989</f>
        <v>4080</v>
      </c>
    </row>
    <row r="990" spans="1:14" x14ac:dyDescent="0.35">
      <c r="A990" s="30">
        <v>989</v>
      </c>
      <c r="B990" s="31">
        <v>4</v>
      </c>
      <c r="C990" s="32">
        <f>(IO!$B$4+IO!$B$8)</f>
        <v>102</v>
      </c>
      <c r="D990" s="32">
        <f>IF(B990&gt;IO!$B$8,0,IO!$B$8-Model!B990)</f>
        <v>0</v>
      </c>
      <c r="E990" s="33">
        <f>IO!$B$5*C990-IO!$B$6*D990</f>
        <v>4080</v>
      </c>
      <c r="G990" s="47">
        <v>989</v>
      </c>
      <c r="H990" s="38" t="s">
        <v>8</v>
      </c>
      <c r="I990" s="38">
        <v>4</v>
      </c>
      <c r="J990" s="39">
        <v>0.69126496658112369</v>
      </c>
      <c r="K990" s="40">
        <f>ROUND(NORMINV(J990,IO!$B$10,IO!$B$11),0)</f>
        <v>105</v>
      </c>
      <c r="L990" s="40">
        <f>MIN(K990,IO!$B$4+IO!$B$8)</f>
        <v>102</v>
      </c>
      <c r="M990" s="40">
        <f>IF(L990-I990&gt;IO!$B$4,Model!L990-Model!I990-IO!$B$4,0)</f>
        <v>0</v>
      </c>
      <c r="N990" s="41">
        <f>IO!$B$5*Model!L990-IO!$B$6*Model!M990</f>
        <v>4080</v>
      </c>
    </row>
    <row r="991" spans="1:14" x14ac:dyDescent="0.35">
      <c r="A991" s="30">
        <v>990</v>
      </c>
      <c r="B991" s="31">
        <v>0</v>
      </c>
      <c r="C991" s="32">
        <f>(IO!$B$4+IO!$B$8)</f>
        <v>102</v>
      </c>
      <c r="D991" s="32">
        <f>IF(B991&gt;IO!$B$8,0,IO!$B$8-Model!B991)</f>
        <v>2</v>
      </c>
      <c r="E991" s="33">
        <f>IO!$B$5*C991-IO!$B$6*D991</f>
        <v>3880</v>
      </c>
      <c r="G991" s="47">
        <v>990</v>
      </c>
      <c r="H991" s="38" t="s">
        <v>9</v>
      </c>
      <c r="I991" s="38">
        <v>0</v>
      </c>
      <c r="J991" s="39">
        <v>0.32023737447215217</v>
      </c>
      <c r="K991" s="40">
        <f>ROUND(NORMINV(J991,IO!$B$10,IO!$B$11),0)</f>
        <v>101</v>
      </c>
      <c r="L991" s="40">
        <f>MIN(K991,IO!$B$4+IO!$B$8)</f>
        <v>101</v>
      </c>
      <c r="M991" s="40">
        <f>IF(L991-I991&gt;IO!$B$4,Model!L991-Model!I991-IO!$B$4,0)</f>
        <v>1</v>
      </c>
      <c r="N991" s="41">
        <f>IO!$B$5*Model!L991-IO!$B$6*Model!M991</f>
        <v>3940</v>
      </c>
    </row>
    <row r="992" spans="1:14" x14ac:dyDescent="0.35">
      <c r="A992" s="30">
        <v>991</v>
      </c>
      <c r="B992" s="31">
        <v>4</v>
      </c>
      <c r="C992" s="32">
        <f>(IO!$B$4+IO!$B$8)</f>
        <v>102</v>
      </c>
      <c r="D992" s="32">
        <f>IF(B992&gt;IO!$B$8,0,IO!$B$8-Model!B992)</f>
        <v>0</v>
      </c>
      <c r="E992" s="33">
        <f>IO!$B$5*C992-IO!$B$6*D992</f>
        <v>4080</v>
      </c>
      <c r="G992" s="47">
        <v>991</v>
      </c>
      <c r="H992" s="38" t="s">
        <v>7</v>
      </c>
      <c r="I992" s="38">
        <v>4</v>
      </c>
      <c r="J992" s="39">
        <v>0.83983069013668088</v>
      </c>
      <c r="K992" s="40">
        <f>ROUND(NORMINV(J992,IO!$B$10,IO!$B$11),0)</f>
        <v>108</v>
      </c>
      <c r="L992" s="40">
        <f>MIN(K992,IO!$B$4+IO!$B$8)</f>
        <v>102</v>
      </c>
      <c r="M992" s="40">
        <f>IF(L992-I992&gt;IO!$B$4,Model!L992-Model!I992-IO!$B$4,0)</f>
        <v>0</v>
      </c>
      <c r="N992" s="41">
        <f>IO!$B$5*Model!L992-IO!$B$6*Model!M992</f>
        <v>4080</v>
      </c>
    </row>
    <row r="993" spans="1:14" x14ac:dyDescent="0.35">
      <c r="A993" s="30">
        <v>992</v>
      </c>
      <c r="B993" s="31">
        <v>3</v>
      </c>
      <c r="C993" s="32">
        <f>(IO!$B$4+IO!$B$8)</f>
        <v>102</v>
      </c>
      <c r="D993" s="32">
        <f>IF(B993&gt;IO!$B$8,0,IO!$B$8-Model!B993)</f>
        <v>0</v>
      </c>
      <c r="E993" s="33">
        <f>IO!$B$5*C993-IO!$B$6*D993</f>
        <v>4080</v>
      </c>
      <c r="G993" s="47">
        <v>992</v>
      </c>
      <c r="H993" s="38" t="s">
        <v>8</v>
      </c>
      <c r="I993" s="38">
        <v>3</v>
      </c>
      <c r="J993" s="39">
        <v>0.45612197040876368</v>
      </c>
      <c r="K993" s="40">
        <f>ROUND(NORMINV(J993,IO!$B$10,IO!$B$11),0)</f>
        <v>102</v>
      </c>
      <c r="L993" s="40">
        <f>MIN(K993,IO!$B$4+IO!$B$8)</f>
        <v>102</v>
      </c>
      <c r="M993" s="40">
        <f>IF(L993-I993&gt;IO!$B$4,Model!L993-Model!I993-IO!$B$4,0)</f>
        <v>0</v>
      </c>
      <c r="N993" s="41">
        <f>IO!$B$5*Model!L993-IO!$B$6*Model!M993</f>
        <v>4080</v>
      </c>
    </row>
    <row r="994" spans="1:14" x14ac:dyDescent="0.35">
      <c r="A994" s="30">
        <v>993</v>
      </c>
      <c r="B994" s="31">
        <v>1</v>
      </c>
      <c r="C994" s="32">
        <f>(IO!$B$4+IO!$B$8)</f>
        <v>102</v>
      </c>
      <c r="D994" s="32">
        <f>IF(B994&gt;IO!$B$8,0,IO!$B$8-Model!B994)</f>
        <v>1</v>
      </c>
      <c r="E994" s="33">
        <f>IO!$B$5*C994-IO!$B$6*D994</f>
        <v>3980</v>
      </c>
      <c r="G994" s="47">
        <v>993</v>
      </c>
      <c r="H994" s="38" t="s">
        <v>9</v>
      </c>
      <c r="I994" s="38">
        <v>1</v>
      </c>
      <c r="J994" s="39">
        <v>0.66195717762963013</v>
      </c>
      <c r="K994" s="40">
        <f>ROUND(NORMINV(J994,IO!$B$10,IO!$B$11),0)</f>
        <v>105</v>
      </c>
      <c r="L994" s="40">
        <f>MIN(K994,IO!$B$4+IO!$B$8)</f>
        <v>102</v>
      </c>
      <c r="M994" s="40">
        <f>IF(L994-I994&gt;IO!$B$4,Model!L994-Model!I994-IO!$B$4,0)</f>
        <v>1</v>
      </c>
      <c r="N994" s="41">
        <f>IO!$B$5*Model!L994-IO!$B$6*Model!M994</f>
        <v>3980</v>
      </c>
    </row>
    <row r="995" spans="1:14" x14ac:dyDescent="0.35">
      <c r="A995" s="30">
        <v>994</v>
      </c>
      <c r="B995" s="31">
        <v>4</v>
      </c>
      <c r="C995" s="32">
        <f>(IO!$B$4+IO!$B$8)</f>
        <v>102</v>
      </c>
      <c r="D995" s="32">
        <f>IF(B995&gt;IO!$B$8,0,IO!$B$8-Model!B995)</f>
        <v>0</v>
      </c>
      <c r="E995" s="33">
        <f>IO!$B$5*C995-IO!$B$6*D995</f>
        <v>4080</v>
      </c>
      <c r="G995" s="47">
        <v>994</v>
      </c>
      <c r="H995" s="38" t="s">
        <v>7</v>
      </c>
      <c r="I995" s="38">
        <v>4</v>
      </c>
      <c r="J995" s="39">
        <v>0.23523625583499075</v>
      </c>
      <c r="K995" s="40">
        <f>ROUND(NORMINV(J995,IO!$B$10,IO!$B$11),0)</f>
        <v>99</v>
      </c>
      <c r="L995" s="40">
        <f>MIN(K995,IO!$B$4+IO!$B$8)</f>
        <v>99</v>
      </c>
      <c r="M995" s="40">
        <f>IF(L995-I995&gt;IO!$B$4,Model!L995-Model!I995-IO!$B$4,0)</f>
        <v>0</v>
      </c>
      <c r="N995" s="41">
        <f>IO!$B$5*Model!L995-IO!$B$6*Model!M995</f>
        <v>3960</v>
      </c>
    </row>
    <row r="996" spans="1:14" x14ac:dyDescent="0.35">
      <c r="A996" s="30">
        <v>995</v>
      </c>
      <c r="B996" s="31">
        <v>0</v>
      </c>
      <c r="C996" s="32">
        <f>(IO!$B$4+IO!$B$8)</f>
        <v>102</v>
      </c>
      <c r="D996" s="32">
        <f>IF(B996&gt;IO!$B$8,0,IO!$B$8-Model!B996)</f>
        <v>2</v>
      </c>
      <c r="E996" s="33">
        <f>IO!$B$5*C996-IO!$B$6*D996</f>
        <v>3880</v>
      </c>
      <c r="G996" s="47">
        <v>995</v>
      </c>
      <c r="H996" s="38" t="s">
        <v>8</v>
      </c>
      <c r="I996" s="38">
        <v>0</v>
      </c>
      <c r="J996" s="39">
        <v>0.63657643982724088</v>
      </c>
      <c r="K996" s="40">
        <f>ROUND(NORMINV(J996,IO!$B$10,IO!$B$11),0)</f>
        <v>105</v>
      </c>
      <c r="L996" s="40">
        <f>MIN(K996,IO!$B$4+IO!$B$8)</f>
        <v>102</v>
      </c>
      <c r="M996" s="40">
        <f>IF(L996-I996&gt;IO!$B$4,Model!L996-Model!I996-IO!$B$4,0)</f>
        <v>2</v>
      </c>
      <c r="N996" s="41">
        <f>IO!$B$5*Model!L996-IO!$B$6*Model!M996</f>
        <v>3880</v>
      </c>
    </row>
    <row r="997" spans="1:14" x14ac:dyDescent="0.35">
      <c r="A997" s="30">
        <v>996</v>
      </c>
      <c r="B997" s="31">
        <v>2</v>
      </c>
      <c r="C997" s="32">
        <f>(IO!$B$4+IO!$B$8)</f>
        <v>102</v>
      </c>
      <c r="D997" s="32">
        <f>IF(B997&gt;IO!$B$8,0,IO!$B$8-Model!B997)</f>
        <v>0</v>
      </c>
      <c r="E997" s="33">
        <f>IO!$B$5*C997-IO!$B$6*D997</f>
        <v>4080</v>
      </c>
      <c r="G997" s="47">
        <v>996</v>
      </c>
      <c r="H997" s="38" t="s">
        <v>9</v>
      </c>
      <c r="I997" s="38">
        <v>2</v>
      </c>
      <c r="J997" s="39">
        <v>0.66497839138909931</v>
      </c>
      <c r="K997" s="40">
        <f>ROUND(NORMINV(J997,IO!$B$10,IO!$B$11),0)</f>
        <v>105</v>
      </c>
      <c r="L997" s="40">
        <f>MIN(K997,IO!$B$4+IO!$B$8)</f>
        <v>102</v>
      </c>
      <c r="M997" s="40">
        <f>IF(L997-I997&gt;IO!$B$4,Model!L997-Model!I997-IO!$B$4,0)</f>
        <v>0</v>
      </c>
      <c r="N997" s="41">
        <f>IO!$B$5*Model!L997-IO!$B$6*Model!M997</f>
        <v>4080</v>
      </c>
    </row>
    <row r="998" spans="1:14" x14ac:dyDescent="0.35">
      <c r="A998" s="30">
        <v>997</v>
      </c>
      <c r="B998" s="31">
        <v>8</v>
      </c>
      <c r="C998" s="32">
        <f>(IO!$B$4+IO!$B$8)</f>
        <v>102</v>
      </c>
      <c r="D998" s="32">
        <f>IF(B998&gt;IO!$B$8,0,IO!$B$8-Model!B998)</f>
        <v>0</v>
      </c>
      <c r="E998" s="33">
        <f>IO!$B$5*C998-IO!$B$6*D998</f>
        <v>4080</v>
      </c>
      <c r="G998" s="47">
        <v>997</v>
      </c>
      <c r="H998" s="38" t="s">
        <v>7</v>
      </c>
      <c r="I998" s="38">
        <v>8</v>
      </c>
      <c r="J998" s="39">
        <v>0.563771173996092</v>
      </c>
      <c r="K998" s="40">
        <f>ROUND(NORMINV(J998,IO!$B$10,IO!$B$11),0)</f>
        <v>104</v>
      </c>
      <c r="L998" s="40">
        <f>MIN(K998,IO!$B$4+IO!$B$8)</f>
        <v>102</v>
      </c>
      <c r="M998" s="40">
        <f>IF(L998-I998&gt;IO!$B$4,Model!L998-Model!I998-IO!$B$4,0)</f>
        <v>0</v>
      </c>
      <c r="N998" s="41">
        <f>IO!$B$5*Model!L998-IO!$B$6*Model!M998</f>
        <v>4080</v>
      </c>
    </row>
    <row r="999" spans="1:14" x14ac:dyDescent="0.35">
      <c r="A999" s="30">
        <v>998</v>
      </c>
      <c r="B999" s="31">
        <v>3</v>
      </c>
      <c r="C999" s="32">
        <f>(IO!$B$4+IO!$B$8)</f>
        <v>102</v>
      </c>
      <c r="D999" s="32">
        <f>IF(B999&gt;IO!$B$8,0,IO!$B$8-Model!B999)</f>
        <v>0</v>
      </c>
      <c r="E999" s="33">
        <f>IO!$B$5*C999-IO!$B$6*D999</f>
        <v>4080</v>
      </c>
      <c r="G999" s="47">
        <v>998</v>
      </c>
      <c r="H999" s="38" t="s">
        <v>8</v>
      </c>
      <c r="I999" s="38">
        <v>3</v>
      </c>
      <c r="J999" s="39">
        <v>0.69220719139940801</v>
      </c>
      <c r="K999" s="40">
        <f>ROUND(NORMINV(J999,IO!$B$10,IO!$B$11),0)</f>
        <v>106</v>
      </c>
      <c r="L999" s="40">
        <f>MIN(K999,IO!$B$4+IO!$B$8)</f>
        <v>102</v>
      </c>
      <c r="M999" s="40">
        <f>IF(L999-I999&gt;IO!$B$4,Model!L999-Model!I999-IO!$B$4,0)</f>
        <v>0</v>
      </c>
      <c r="N999" s="41">
        <f>IO!$B$5*Model!L999-IO!$B$6*Model!M999</f>
        <v>4080</v>
      </c>
    </row>
    <row r="1000" spans="1:14" x14ac:dyDescent="0.35">
      <c r="A1000" s="30">
        <v>999</v>
      </c>
      <c r="B1000" s="31">
        <v>1</v>
      </c>
      <c r="C1000" s="32">
        <f>(IO!$B$4+IO!$B$8)</f>
        <v>102</v>
      </c>
      <c r="D1000" s="32">
        <f>IF(B1000&gt;IO!$B$8,0,IO!$B$8-Model!B1000)</f>
        <v>1</v>
      </c>
      <c r="E1000" s="33">
        <f>IO!$B$5*C1000-IO!$B$6*D1000</f>
        <v>3980</v>
      </c>
      <c r="G1000" s="47">
        <v>999</v>
      </c>
      <c r="H1000" s="38" t="s">
        <v>9</v>
      </c>
      <c r="I1000" s="38">
        <v>1</v>
      </c>
      <c r="J1000" s="39">
        <v>0.72380129940154059</v>
      </c>
      <c r="K1000" s="40">
        <f>ROUND(NORMINV(J1000,IO!$B$10,IO!$B$11),0)</f>
        <v>106</v>
      </c>
      <c r="L1000" s="40">
        <f>MIN(K1000,IO!$B$4+IO!$B$8)</f>
        <v>102</v>
      </c>
      <c r="M1000" s="40">
        <f>IF(L1000-I1000&gt;IO!$B$4,Model!L1000-Model!I1000-IO!$B$4,0)</f>
        <v>1</v>
      </c>
      <c r="N1000" s="41">
        <f>IO!$B$5*Model!L1000-IO!$B$6*Model!M1000</f>
        <v>3980</v>
      </c>
    </row>
    <row r="1001" spans="1:14" x14ac:dyDescent="0.35">
      <c r="A1001" s="30">
        <v>1000</v>
      </c>
      <c r="B1001" s="31">
        <v>1</v>
      </c>
      <c r="C1001" s="32">
        <f>(IO!$B$4+IO!$B$8)</f>
        <v>102</v>
      </c>
      <c r="D1001" s="32">
        <f>IF(B1001&gt;IO!$B$8,0,IO!$B$8-Model!B1001)</f>
        <v>1</v>
      </c>
      <c r="E1001" s="33">
        <f>IO!$B$5*C1001-IO!$B$6*D1001</f>
        <v>3980</v>
      </c>
      <c r="G1001" s="47">
        <v>1000</v>
      </c>
      <c r="H1001" s="38" t="s">
        <v>7</v>
      </c>
      <c r="I1001" s="38">
        <v>1</v>
      </c>
      <c r="J1001" s="39">
        <v>0.93458216423329921</v>
      </c>
      <c r="K1001" s="40">
        <f>ROUND(NORMINV(J1001,IO!$B$10,IO!$B$11),0)</f>
        <v>111</v>
      </c>
      <c r="L1001" s="40">
        <f>MIN(K1001,IO!$B$4+IO!$B$8)</f>
        <v>102</v>
      </c>
      <c r="M1001" s="40">
        <f>IF(L1001-I1001&gt;IO!$B$4,Model!L1001-Model!I1001-IO!$B$4,0)</f>
        <v>1</v>
      </c>
      <c r="N1001" s="41">
        <f>IO!$B$5*Model!L1001-IO!$B$6*Model!M1001</f>
        <v>3980</v>
      </c>
    </row>
    <row r="1002" spans="1:14" x14ac:dyDescent="0.35">
      <c r="A1002" s="30">
        <v>1001</v>
      </c>
      <c r="B1002" s="31">
        <v>1</v>
      </c>
      <c r="C1002" s="32">
        <f>(IO!$B$4+IO!$B$8)</f>
        <v>102</v>
      </c>
      <c r="D1002" s="32">
        <f>IF(B1002&gt;IO!$B$8,0,IO!$B$8-Model!B1002)</f>
        <v>1</v>
      </c>
      <c r="E1002" s="33">
        <f>IO!$B$5*C1002-IO!$B$6*D1002</f>
        <v>3980</v>
      </c>
      <c r="G1002" s="47">
        <v>1001</v>
      </c>
      <c r="H1002" s="38" t="s">
        <v>8</v>
      </c>
      <c r="I1002" s="38">
        <v>1</v>
      </c>
      <c r="J1002" s="39">
        <v>0.10602268249156221</v>
      </c>
      <c r="K1002" s="40">
        <f>ROUND(NORMINV(J1002,IO!$B$10,IO!$B$11),0)</f>
        <v>97</v>
      </c>
      <c r="L1002" s="40">
        <f>MIN(K1002,IO!$B$4+IO!$B$8)</f>
        <v>97</v>
      </c>
      <c r="M1002" s="40">
        <f>IF(L1002-I1002&gt;IO!$B$4,Model!L1002-Model!I1002-IO!$B$4,0)</f>
        <v>0</v>
      </c>
      <c r="N1002" s="41">
        <f>IO!$B$5*Model!L1002-IO!$B$6*Model!M1002</f>
        <v>3880</v>
      </c>
    </row>
    <row r="1003" spans="1:14" x14ac:dyDescent="0.35">
      <c r="A1003" s="30">
        <v>1002</v>
      </c>
      <c r="B1003" s="31">
        <v>1</v>
      </c>
      <c r="C1003" s="32">
        <f>(IO!$B$4+IO!$B$8)</f>
        <v>102</v>
      </c>
      <c r="D1003" s="32">
        <f>IF(B1003&gt;IO!$B$8,0,IO!$B$8-Model!B1003)</f>
        <v>1</v>
      </c>
      <c r="E1003" s="33">
        <f>IO!$B$5*C1003-IO!$B$6*D1003</f>
        <v>3980</v>
      </c>
      <c r="G1003" s="47">
        <v>1002</v>
      </c>
      <c r="H1003" s="38" t="s">
        <v>9</v>
      </c>
      <c r="I1003" s="38">
        <v>1</v>
      </c>
      <c r="J1003" s="39">
        <v>0.89558107949305465</v>
      </c>
      <c r="K1003" s="40">
        <f>ROUND(NORMINV(J1003,IO!$B$10,IO!$B$11),0)</f>
        <v>109</v>
      </c>
      <c r="L1003" s="40">
        <f>MIN(K1003,IO!$B$4+IO!$B$8)</f>
        <v>102</v>
      </c>
      <c r="M1003" s="40">
        <f>IF(L1003-I1003&gt;IO!$B$4,Model!L1003-Model!I1003-IO!$B$4,0)</f>
        <v>1</v>
      </c>
      <c r="N1003" s="41">
        <f>IO!$B$5*Model!L1003-IO!$B$6*Model!M1003</f>
        <v>3980</v>
      </c>
    </row>
    <row r="1004" spans="1:14" x14ac:dyDescent="0.35">
      <c r="A1004" s="30">
        <v>1003</v>
      </c>
      <c r="B1004" s="31">
        <v>2</v>
      </c>
      <c r="C1004" s="32">
        <f>(IO!$B$4+IO!$B$8)</f>
        <v>102</v>
      </c>
      <c r="D1004" s="32">
        <f>IF(B1004&gt;IO!$B$8,0,IO!$B$8-Model!B1004)</f>
        <v>0</v>
      </c>
      <c r="E1004" s="33">
        <f>IO!$B$5*C1004-IO!$B$6*D1004</f>
        <v>4080</v>
      </c>
      <c r="G1004" s="47">
        <v>1003</v>
      </c>
      <c r="H1004" s="38" t="s">
        <v>7</v>
      </c>
      <c r="I1004" s="38">
        <v>2</v>
      </c>
      <c r="J1004" s="39">
        <v>0.44225089057081324</v>
      </c>
      <c r="K1004" s="40">
        <f>ROUND(NORMINV(J1004,IO!$B$10,IO!$B$11),0)</f>
        <v>102</v>
      </c>
      <c r="L1004" s="40">
        <f>MIN(K1004,IO!$B$4+IO!$B$8)</f>
        <v>102</v>
      </c>
      <c r="M1004" s="40">
        <f>IF(L1004-I1004&gt;IO!$B$4,Model!L1004-Model!I1004-IO!$B$4,0)</f>
        <v>0</v>
      </c>
      <c r="N1004" s="41">
        <f>IO!$B$5*Model!L1004-IO!$B$6*Model!M1004</f>
        <v>4080</v>
      </c>
    </row>
    <row r="1005" spans="1:14" x14ac:dyDescent="0.35">
      <c r="A1005" s="30">
        <v>1004</v>
      </c>
      <c r="B1005" s="31">
        <v>3</v>
      </c>
      <c r="C1005" s="32">
        <f>(IO!$B$4+IO!$B$8)</f>
        <v>102</v>
      </c>
      <c r="D1005" s="32">
        <f>IF(B1005&gt;IO!$B$8,0,IO!$B$8-Model!B1005)</f>
        <v>0</v>
      </c>
      <c r="E1005" s="33">
        <f>IO!$B$5*C1005-IO!$B$6*D1005</f>
        <v>4080</v>
      </c>
      <c r="G1005" s="47">
        <v>1004</v>
      </c>
      <c r="H1005" s="38" t="s">
        <v>8</v>
      </c>
      <c r="I1005" s="38">
        <v>3</v>
      </c>
      <c r="J1005" s="39">
        <v>0.32974657760186799</v>
      </c>
      <c r="K1005" s="40">
        <f>ROUND(NORMINV(J1005,IO!$B$10,IO!$B$11),0)</f>
        <v>101</v>
      </c>
      <c r="L1005" s="40">
        <f>MIN(K1005,IO!$B$4+IO!$B$8)</f>
        <v>101</v>
      </c>
      <c r="M1005" s="40">
        <f>IF(L1005-I1005&gt;IO!$B$4,Model!L1005-Model!I1005-IO!$B$4,0)</f>
        <v>0</v>
      </c>
      <c r="N1005" s="41">
        <f>IO!$B$5*Model!L1005-IO!$B$6*Model!M1005</f>
        <v>4040</v>
      </c>
    </row>
    <row r="1006" spans="1:14" x14ac:dyDescent="0.35">
      <c r="A1006" s="30">
        <v>1005</v>
      </c>
      <c r="B1006" s="31">
        <v>1</v>
      </c>
      <c r="C1006" s="32">
        <f>(IO!$B$4+IO!$B$8)</f>
        <v>102</v>
      </c>
      <c r="D1006" s="32">
        <f>IF(B1006&gt;IO!$B$8,0,IO!$B$8-Model!B1006)</f>
        <v>1</v>
      </c>
      <c r="E1006" s="33">
        <f>IO!$B$5*C1006-IO!$B$6*D1006</f>
        <v>3980</v>
      </c>
      <c r="G1006" s="47">
        <v>1005</v>
      </c>
      <c r="H1006" s="38" t="s">
        <v>9</v>
      </c>
      <c r="I1006" s="38">
        <v>1</v>
      </c>
      <c r="J1006" s="39">
        <v>1.1330666217821861E-2</v>
      </c>
      <c r="K1006" s="40">
        <f>ROUND(NORMINV(J1006,IO!$B$10,IO!$B$11),0)</f>
        <v>92</v>
      </c>
      <c r="L1006" s="40">
        <f>MIN(K1006,IO!$B$4+IO!$B$8)</f>
        <v>92</v>
      </c>
      <c r="M1006" s="40">
        <f>IF(L1006-I1006&gt;IO!$B$4,Model!L1006-Model!I1006-IO!$B$4,0)</f>
        <v>0</v>
      </c>
      <c r="N1006" s="41">
        <f>IO!$B$5*Model!L1006-IO!$B$6*Model!M1006</f>
        <v>3680</v>
      </c>
    </row>
    <row r="1007" spans="1:14" x14ac:dyDescent="0.35">
      <c r="A1007" s="30">
        <v>1006</v>
      </c>
      <c r="B1007" s="31">
        <v>2</v>
      </c>
      <c r="C1007" s="32">
        <f>(IO!$B$4+IO!$B$8)</f>
        <v>102</v>
      </c>
      <c r="D1007" s="32">
        <f>IF(B1007&gt;IO!$B$8,0,IO!$B$8-Model!B1007)</f>
        <v>0</v>
      </c>
      <c r="E1007" s="33">
        <f>IO!$B$5*C1007-IO!$B$6*D1007</f>
        <v>4080</v>
      </c>
      <c r="G1007" s="47">
        <v>1006</v>
      </c>
      <c r="H1007" s="38" t="s">
        <v>7</v>
      </c>
      <c r="I1007" s="38">
        <v>2</v>
      </c>
      <c r="J1007" s="39">
        <v>0.71644308266197188</v>
      </c>
      <c r="K1007" s="40">
        <f>ROUND(NORMINV(J1007,IO!$B$10,IO!$B$11),0)</f>
        <v>106</v>
      </c>
      <c r="L1007" s="40">
        <f>MIN(K1007,IO!$B$4+IO!$B$8)</f>
        <v>102</v>
      </c>
      <c r="M1007" s="40">
        <f>IF(L1007-I1007&gt;IO!$B$4,Model!L1007-Model!I1007-IO!$B$4,0)</f>
        <v>0</v>
      </c>
      <c r="N1007" s="41">
        <f>IO!$B$5*Model!L1007-IO!$B$6*Model!M1007</f>
        <v>4080</v>
      </c>
    </row>
    <row r="1008" spans="1:14" x14ac:dyDescent="0.35">
      <c r="A1008" s="30">
        <v>1007</v>
      </c>
      <c r="B1008" s="31">
        <v>5</v>
      </c>
      <c r="C1008" s="32">
        <f>(IO!$B$4+IO!$B$8)</f>
        <v>102</v>
      </c>
      <c r="D1008" s="32">
        <f>IF(B1008&gt;IO!$B$8,0,IO!$B$8-Model!B1008)</f>
        <v>0</v>
      </c>
      <c r="E1008" s="33">
        <f>IO!$B$5*C1008-IO!$B$6*D1008</f>
        <v>4080</v>
      </c>
      <c r="G1008" s="47">
        <v>1007</v>
      </c>
      <c r="H1008" s="38" t="s">
        <v>8</v>
      </c>
      <c r="I1008" s="38">
        <v>5</v>
      </c>
      <c r="J1008" s="39">
        <v>0.27385264823549627</v>
      </c>
      <c r="K1008" s="40">
        <f>ROUND(NORMINV(J1008,IO!$B$10,IO!$B$11),0)</f>
        <v>100</v>
      </c>
      <c r="L1008" s="40">
        <f>MIN(K1008,IO!$B$4+IO!$B$8)</f>
        <v>100</v>
      </c>
      <c r="M1008" s="40">
        <f>IF(L1008-I1008&gt;IO!$B$4,Model!L1008-Model!I1008-IO!$B$4,0)</f>
        <v>0</v>
      </c>
      <c r="N1008" s="41">
        <f>IO!$B$5*Model!L1008-IO!$B$6*Model!M1008</f>
        <v>4000</v>
      </c>
    </row>
    <row r="1009" spans="1:14" x14ac:dyDescent="0.35">
      <c r="A1009" s="30">
        <v>1008</v>
      </c>
      <c r="B1009" s="31">
        <v>0</v>
      </c>
      <c r="C1009" s="32">
        <f>(IO!$B$4+IO!$B$8)</f>
        <v>102</v>
      </c>
      <c r="D1009" s="32">
        <f>IF(B1009&gt;IO!$B$8,0,IO!$B$8-Model!B1009)</f>
        <v>2</v>
      </c>
      <c r="E1009" s="33">
        <f>IO!$B$5*C1009-IO!$B$6*D1009</f>
        <v>3880</v>
      </c>
      <c r="G1009" s="47">
        <v>1008</v>
      </c>
      <c r="H1009" s="38" t="s">
        <v>9</v>
      </c>
      <c r="I1009" s="38">
        <v>0</v>
      </c>
      <c r="J1009" s="39">
        <v>0.65999069267383459</v>
      </c>
      <c r="K1009" s="40">
        <f>ROUND(NORMINV(J1009,IO!$B$10,IO!$B$11),0)</f>
        <v>105</v>
      </c>
      <c r="L1009" s="40">
        <f>MIN(K1009,IO!$B$4+IO!$B$8)</f>
        <v>102</v>
      </c>
      <c r="M1009" s="40">
        <f>IF(L1009-I1009&gt;IO!$B$4,Model!L1009-Model!I1009-IO!$B$4,0)</f>
        <v>2</v>
      </c>
      <c r="N1009" s="41">
        <f>IO!$B$5*Model!L1009-IO!$B$6*Model!M1009</f>
        <v>3880</v>
      </c>
    </row>
    <row r="1010" spans="1:14" x14ac:dyDescent="0.35">
      <c r="A1010" s="30">
        <v>1009</v>
      </c>
      <c r="B1010" s="31">
        <v>4</v>
      </c>
      <c r="C1010" s="32">
        <f>(IO!$B$4+IO!$B$8)</f>
        <v>102</v>
      </c>
      <c r="D1010" s="32">
        <f>IF(B1010&gt;IO!$B$8,0,IO!$B$8-Model!B1010)</f>
        <v>0</v>
      </c>
      <c r="E1010" s="33">
        <f>IO!$B$5*C1010-IO!$B$6*D1010</f>
        <v>4080</v>
      </c>
      <c r="G1010" s="47">
        <v>1009</v>
      </c>
      <c r="H1010" s="38" t="s">
        <v>7</v>
      </c>
      <c r="I1010" s="38">
        <v>4</v>
      </c>
      <c r="J1010" s="39">
        <v>0.88970784483936005</v>
      </c>
      <c r="K1010" s="40">
        <f>ROUND(NORMINV(J1010,IO!$B$10,IO!$B$11),0)</f>
        <v>109</v>
      </c>
      <c r="L1010" s="40">
        <f>MIN(K1010,IO!$B$4+IO!$B$8)</f>
        <v>102</v>
      </c>
      <c r="M1010" s="40">
        <f>IF(L1010-I1010&gt;IO!$B$4,Model!L1010-Model!I1010-IO!$B$4,0)</f>
        <v>0</v>
      </c>
      <c r="N1010" s="41">
        <f>IO!$B$5*Model!L1010-IO!$B$6*Model!M1010</f>
        <v>4080</v>
      </c>
    </row>
    <row r="1011" spans="1:14" x14ac:dyDescent="0.35">
      <c r="A1011" s="30">
        <v>1010</v>
      </c>
      <c r="B1011" s="31">
        <v>2</v>
      </c>
      <c r="C1011" s="32">
        <f>(IO!$B$4+IO!$B$8)</f>
        <v>102</v>
      </c>
      <c r="D1011" s="32">
        <f>IF(B1011&gt;IO!$B$8,0,IO!$B$8-Model!B1011)</f>
        <v>0</v>
      </c>
      <c r="E1011" s="33">
        <f>IO!$B$5*C1011-IO!$B$6*D1011</f>
        <v>4080</v>
      </c>
      <c r="G1011" s="47">
        <v>1010</v>
      </c>
      <c r="H1011" s="38" t="s">
        <v>8</v>
      </c>
      <c r="I1011" s="38">
        <v>2</v>
      </c>
      <c r="J1011" s="39">
        <v>0.3324249065275241</v>
      </c>
      <c r="K1011" s="40">
        <f>ROUND(NORMINV(J1011,IO!$B$10,IO!$B$11),0)</f>
        <v>101</v>
      </c>
      <c r="L1011" s="40">
        <f>MIN(K1011,IO!$B$4+IO!$B$8)</f>
        <v>101</v>
      </c>
      <c r="M1011" s="40">
        <f>IF(L1011-I1011&gt;IO!$B$4,Model!L1011-Model!I1011-IO!$B$4,0)</f>
        <v>0</v>
      </c>
      <c r="N1011" s="41">
        <f>IO!$B$5*Model!L1011-IO!$B$6*Model!M1011</f>
        <v>4040</v>
      </c>
    </row>
    <row r="1012" spans="1:14" x14ac:dyDescent="0.35">
      <c r="A1012" s="30">
        <v>1011</v>
      </c>
      <c r="B1012" s="31">
        <v>0</v>
      </c>
      <c r="C1012" s="32">
        <f>(IO!$B$4+IO!$B$8)</f>
        <v>102</v>
      </c>
      <c r="D1012" s="32">
        <f>IF(B1012&gt;IO!$B$8,0,IO!$B$8-Model!B1012)</f>
        <v>2</v>
      </c>
      <c r="E1012" s="33">
        <f>IO!$B$5*C1012-IO!$B$6*D1012</f>
        <v>3880</v>
      </c>
      <c r="G1012" s="47">
        <v>1011</v>
      </c>
      <c r="H1012" s="38" t="s">
        <v>9</v>
      </c>
      <c r="I1012" s="38">
        <v>0</v>
      </c>
      <c r="J1012" s="39">
        <v>9.6255690774089686E-3</v>
      </c>
      <c r="K1012" s="40">
        <f>ROUND(NORMINV(J1012,IO!$B$10,IO!$B$11),0)</f>
        <v>91</v>
      </c>
      <c r="L1012" s="40">
        <f>MIN(K1012,IO!$B$4+IO!$B$8)</f>
        <v>91</v>
      </c>
      <c r="M1012" s="40">
        <f>IF(L1012-I1012&gt;IO!$B$4,Model!L1012-Model!I1012-IO!$B$4,0)</f>
        <v>0</v>
      </c>
      <c r="N1012" s="41">
        <f>IO!$B$5*Model!L1012-IO!$B$6*Model!M1012</f>
        <v>3640</v>
      </c>
    </row>
    <row r="1013" spans="1:14" x14ac:dyDescent="0.35">
      <c r="A1013" s="30">
        <v>1012</v>
      </c>
      <c r="B1013" s="31">
        <v>5</v>
      </c>
      <c r="C1013" s="32">
        <f>(IO!$B$4+IO!$B$8)</f>
        <v>102</v>
      </c>
      <c r="D1013" s="32">
        <f>IF(B1013&gt;IO!$B$8,0,IO!$B$8-Model!B1013)</f>
        <v>0</v>
      </c>
      <c r="E1013" s="33">
        <f>IO!$B$5*C1013-IO!$B$6*D1013</f>
        <v>4080</v>
      </c>
      <c r="G1013" s="47">
        <v>1012</v>
      </c>
      <c r="H1013" s="38" t="s">
        <v>7</v>
      </c>
      <c r="I1013" s="38">
        <v>5</v>
      </c>
      <c r="J1013" s="39">
        <v>0.16813860435824302</v>
      </c>
      <c r="K1013" s="40">
        <f>ROUND(NORMINV(J1013,IO!$B$10,IO!$B$11),0)</f>
        <v>98</v>
      </c>
      <c r="L1013" s="40">
        <f>MIN(K1013,IO!$B$4+IO!$B$8)</f>
        <v>98</v>
      </c>
      <c r="M1013" s="40">
        <f>IF(L1013-I1013&gt;IO!$B$4,Model!L1013-Model!I1013-IO!$B$4,0)</f>
        <v>0</v>
      </c>
      <c r="N1013" s="41">
        <f>IO!$B$5*Model!L1013-IO!$B$6*Model!M1013</f>
        <v>3920</v>
      </c>
    </row>
    <row r="1014" spans="1:14" x14ac:dyDescent="0.35">
      <c r="A1014" s="30">
        <v>1013</v>
      </c>
      <c r="B1014" s="31">
        <v>2</v>
      </c>
      <c r="C1014" s="32">
        <f>(IO!$B$4+IO!$B$8)</f>
        <v>102</v>
      </c>
      <c r="D1014" s="32">
        <f>IF(B1014&gt;IO!$B$8,0,IO!$B$8-Model!B1014)</f>
        <v>0</v>
      </c>
      <c r="E1014" s="33">
        <f>IO!$B$5*C1014-IO!$B$6*D1014</f>
        <v>4080</v>
      </c>
      <c r="G1014" s="47">
        <v>1013</v>
      </c>
      <c r="H1014" s="38" t="s">
        <v>8</v>
      </c>
      <c r="I1014" s="38">
        <v>2</v>
      </c>
      <c r="J1014" s="39">
        <v>0.34692864829238979</v>
      </c>
      <c r="K1014" s="40">
        <f>ROUND(NORMINV(J1014,IO!$B$10,IO!$B$11),0)</f>
        <v>101</v>
      </c>
      <c r="L1014" s="40">
        <f>MIN(K1014,IO!$B$4+IO!$B$8)</f>
        <v>101</v>
      </c>
      <c r="M1014" s="40">
        <f>IF(L1014-I1014&gt;IO!$B$4,Model!L1014-Model!I1014-IO!$B$4,0)</f>
        <v>0</v>
      </c>
      <c r="N1014" s="41">
        <f>IO!$B$5*Model!L1014-IO!$B$6*Model!M1014</f>
        <v>4040</v>
      </c>
    </row>
    <row r="1015" spans="1:14" x14ac:dyDescent="0.35">
      <c r="A1015" s="30">
        <v>1014</v>
      </c>
      <c r="B1015" s="31">
        <v>0</v>
      </c>
      <c r="C1015" s="32">
        <f>(IO!$B$4+IO!$B$8)</f>
        <v>102</v>
      </c>
      <c r="D1015" s="32">
        <f>IF(B1015&gt;IO!$B$8,0,IO!$B$8-Model!B1015)</f>
        <v>2</v>
      </c>
      <c r="E1015" s="33">
        <f>IO!$B$5*C1015-IO!$B$6*D1015</f>
        <v>3880</v>
      </c>
      <c r="G1015" s="47">
        <v>1014</v>
      </c>
      <c r="H1015" s="38" t="s">
        <v>9</v>
      </c>
      <c r="I1015" s="38">
        <v>0</v>
      </c>
      <c r="J1015" s="39">
        <v>0.81124932487612034</v>
      </c>
      <c r="K1015" s="40">
        <f>ROUND(NORMINV(J1015,IO!$B$10,IO!$B$11),0)</f>
        <v>107</v>
      </c>
      <c r="L1015" s="40">
        <f>MIN(K1015,IO!$B$4+IO!$B$8)</f>
        <v>102</v>
      </c>
      <c r="M1015" s="40">
        <f>IF(L1015-I1015&gt;IO!$B$4,Model!L1015-Model!I1015-IO!$B$4,0)</f>
        <v>2</v>
      </c>
      <c r="N1015" s="41">
        <f>IO!$B$5*Model!L1015-IO!$B$6*Model!M1015</f>
        <v>3880</v>
      </c>
    </row>
    <row r="1016" spans="1:14" x14ac:dyDescent="0.35">
      <c r="A1016" s="30">
        <v>1015</v>
      </c>
      <c r="B1016" s="31">
        <v>4</v>
      </c>
      <c r="C1016" s="32">
        <f>(IO!$B$4+IO!$B$8)</f>
        <v>102</v>
      </c>
      <c r="D1016" s="32">
        <f>IF(B1016&gt;IO!$B$8,0,IO!$B$8-Model!B1016)</f>
        <v>0</v>
      </c>
      <c r="E1016" s="33">
        <f>IO!$B$5*C1016-IO!$B$6*D1016</f>
        <v>4080</v>
      </c>
      <c r="G1016" s="47">
        <v>1015</v>
      </c>
      <c r="H1016" s="38" t="s">
        <v>7</v>
      </c>
      <c r="I1016" s="38">
        <v>4</v>
      </c>
      <c r="J1016" s="39">
        <v>0.93741271995146602</v>
      </c>
      <c r="K1016" s="40">
        <f>ROUND(NORMINV(J1016,IO!$B$10,IO!$B$11),0)</f>
        <v>111</v>
      </c>
      <c r="L1016" s="40">
        <f>MIN(K1016,IO!$B$4+IO!$B$8)</f>
        <v>102</v>
      </c>
      <c r="M1016" s="40">
        <f>IF(L1016-I1016&gt;IO!$B$4,Model!L1016-Model!I1016-IO!$B$4,0)</f>
        <v>0</v>
      </c>
      <c r="N1016" s="41">
        <f>IO!$B$5*Model!L1016-IO!$B$6*Model!M1016</f>
        <v>4080</v>
      </c>
    </row>
    <row r="1017" spans="1:14" x14ac:dyDescent="0.35">
      <c r="A1017" s="30">
        <v>1016</v>
      </c>
      <c r="B1017" s="31">
        <v>6</v>
      </c>
      <c r="C1017" s="32">
        <f>(IO!$B$4+IO!$B$8)</f>
        <v>102</v>
      </c>
      <c r="D1017" s="32">
        <f>IF(B1017&gt;IO!$B$8,0,IO!$B$8-Model!B1017)</f>
        <v>0</v>
      </c>
      <c r="E1017" s="33">
        <f>IO!$B$5*C1017-IO!$B$6*D1017</f>
        <v>4080</v>
      </c>
      <c r="G1017" s="47">
        <v>1016</v>
      </c>
      <c r="H1017" s="38" t="s">
        <v>8</v>
      </c>
      <c r="I1017" s="38">
        <v>6</v>
      </c>
      <c r="J1017" s="39">
        <v>0.62574070419437011</v>
      </c>
      <c r="K1017" s="40">
        <f>ROUND(NORMINV(J1017,IO!$B$10,IO!$B$11),0)</f>
        <v>105</v>
      </c>
      <c r="L1017" s="40">
        <f>MIN(K1017,IO!$B$4+IO!$B$8)</f>
        <v>102</v>
      </c>
      <c r="M1017" s="40">
        <f>IF(L1017-I1017&gt;IO!$B$4,Model!L1017-Model!I1017-IO!$B$4,0)</f>
        <v>0</v>
      </c>
      <c r="N1017" s="41">
        <f>IO!$B$5*Model!L1017-IO!$B$6*Model!M1017</f>
        <v>4080</v>
      </c>
    </row>
    <row r="1018" spans="1:14" x14ac:dyDescent="0.35">
      <c r="A1018" s="30">
        <v>1017</v>
      </c>
      <c r="B1018" s="31">
        <v>1</v>
      </c>
      <c r="C1018" s="32">
        <f>(IO!$B$4+IO!$B$8)</f>
        <v>102</v>
      </c>
      <c r="D1018" s="32">
        <f>IF(B1018&gt;IO!$B$8,0,IO!$B$8-Model!B1018)</f>
        <v>1</v>
      </c>
      <c r="E1018" s="33">
        <f>IO!$B$5*C1018-IO!$B$6*D1018</f>
        <v>3980</v>
      </c>
      <c r="G1018" s="47">
        <v>1017</v>
      </c>
      <c r="H1018" s="38" t="s">
        <v>9</v>
      </c>
      <c r="I1018" s="38">
        <v>1</v>
      </c>
      <c r="J1018" s="39">
        <v>0.99059191912581201</v>
      </c>
      <c r="K1018" s="40">
        <f>ROUND(NORMINV(J1018,IO!$B$10,IO!$B$11),0)</f>
        <v>115</v>
      </c>
      <c r="L1018" s="40">
        <f>MIN(K1018,IO!$B$4+IO!$B$8)</f>
        <v>102</v>
      </c>
      <c r="M1018" s="40">
        <f>IF(L1018-I1018&gt;IO!$B$4,Model!L1018-Model!I1018-IO!$B$4,0)</f>
        <v>1</v>
      </c>
      <c r="N1018" s="41">
        <f>IO!$B$5*Model!L1018-IO!$B$6*Model!M1018</f>
        <v>3980</v>
      </c>
    </row>
    <row r="1019" spans="1:14" x14ac:dyDescent="0.35">
      <c r="A1019" s="30">
        <v>1018</v>
      </c>
      <c r="B1019" s="31">
        <v>3</v>
      </c>
      <c r="C1019" s="32">
        <f>(IO!$B$4+IO!$B$8)</f>
        <v>102</v>
      </c>
      <c r="D1019" s="32">
        <f>IF(B1019&gt;IO!$B$8,0,IO!$B$8-Model!B1019)</f>
        <v>0</v>
      </c>
      <c r="E1019" s="33">
        <f>IO!$B$5*C1019-IO!$B$6*D1019</f>
        <v>4080</v>
      </c>
      <c r="G1019" s="47">
        <v>1018</v>
      </c>
      <c r="H1019" s="38" t="s">
        <v>7</v>
      </c>
      <c r="I1019" s="38">
        <v>3</v>
      </c>
      <c r="J1019" s="39">
        <v>0.24432298510334183</v>
      </c>
      <c r="K1019" s="40">
        <f>ROUND(NORMINV(J1019,IO!$B$10,IO!$B$11),0)</f>
        <v>100</v>
      </c>
      <c r="L1019" s="40">
        <f>MIN(K1019,IO!$B$4+IO!$B$8)</f>
        <v>100</v>
      </c>
      <c r="M1019" s="40">
        <f>IF(L1019-I1019&gt;IO!$B$4,Model!L1019-Model!I1019-IO!$B$4,0)</f>
        <v>0</v>
      </c>
      <c r="N1019" s="41">
        <f>IO!$B$5*Model!L1019-IO!$B$6*Model!M1019</f>
        <v>4000</v>
      </c>
    </row>
    <row r="1020" spans="1:14" x14ac:dyDescent="0.35">
      <c r="A1020" s="30">
        <v>1019</v>
      </c>
      <c r="B1020" s="31">
        <v>4</v>
      </c>
      <c r="C1020" s="32">
        <f>(IO!$B$4+IO!$B$8)</f>
        <v>102</v>
      </c>
      <c r="D1020" s="32">
        <f>IF(B1020&gt;IO!$B$8,0,IO!$B$8-Model!B1020)</f>
        <v>0</v>
      </c>
      <c r="E1020" s="33">
        <f>IO!$B$5*C1020-IO!$B$6*D1020</f>
        <v>4080</v>
      </c>
      <c r="G1020" s="47">
        <v>1019</v>
      </c>
      <c r="H1020" s="38" t="s">
        <v>8</v>
      </c>
      <c r="I1020" s="38">
        <v>4</v>
      </c>
      <c r="J1020" s="39">
        <v>0.87932611708061748</v>
      </c>
      <c r="K1020" s="40">
        <f>ROUND(NORMINV(J1020,IO!$B$10,IO!$B$11),0)</f>
        <v>109</v>
      </c>
      <c r="L1020" s="40">
        <f>MIN(K1020,IO!$B$4+IO!$B$8)</f>
        <v>102</v>
      </c>
      <c r="M1020" s="40">
        <f>IF(L1020-I1020&gt;IO!$B$4,Model!L1020-Model!I1020-IO!$B$4,0)</f>
        <v>0</v>
      </c>
      <c r="N1020" s="41">
        <f>IO!$B$5*Model!L1020-IO!$B$6*Model!M1020</f>
        <v>4080</v>
      </c>
    </row>
    <row r="1021" spans="1:14" x14ac:dyDescent="0.35">
      <c r="A1021" s="30">
        <v>1020</v>
      </c>
      <c r="B1021" s="31">
        <v>1</v>
      </c>
      <c r="C1021" s="32">
        <f>(IO!$B$4+IO!$B$8)</f>
        <v>102</v>
      </c>
      <c r="D1021" s="32">
        <f>IF(B1021&gt;IO!$B$8,0,IO!$B$8-Model!B1021)</f>
        <v>1</v>
      </c>
      <c r="E1021" s="33">
        <f>IO!$B$5*C1021-IO!$B$6*D1021</f>
        <v>3980</v>
      </c>
      <c r="G1021" s="47">
        <v>1020</v>
      </c>
      <c r="H1021" s="38" t="s">
        <v>9</v>
      </c>
      <c r="I1021" s="38">
        <v>1</v>
      </c>
      <c r="J1021" s="39">
        <v>0.68182337380831592</v>
      </c>
      <c r="K1021" s="40">
        <f>ROUND(NORMINV(J1021,IO!$B$10,IO!$B$11),0)</f>
        <v>105</v>
      </c>
      <c r="L1021" s="40">
        <f>MIN(K1021,IO!$B$4+IO!$B$8)</f>
        <v>102</v>
      </c>
      <c r="M1021" s="40">
        <f>IF(L1021-I1021&gt;IO!$B$4,Model!L1021-Model!I1021-IO!$B$4,0)</f>
        <v>1</v>
      </c>
      <c r="N1021" s="41">
        <f>IO!$B$5*Model!L1021-IO!$B$6*Model!M1021</f>
        <v>3980</v>
      </c>
    </row>
    <row r="1022" spans="1:14" x14ac:dyDescent="0.35">
      <c r="A1022" s="30">
        <v>1021</v>
      </c>
      <c r="B1022" s="31">
        <v>4</v>
      </c>
      <c r="C1022" s="32">
        <f>(IO!$B$4+IO!$B$8)</f>
        <v>102</v>
      </c>
      <c r="D1022" s="32">
        <f>IF(B1022&gt;IO!$B$8,0,IO!$B$8-Model!B1022)</f>
        <v>0</v>
      </c>
      <c r="E1022" s="33">
        <f>IO!$B$5*C1022-IO!$B$6*D1022</f>
        <v>4080</v>
      </c>
      <c r="G1022" s="47">
        <v>1021</v>
      </c>
      <c r="H1022" s="38" t="s">
        <v>7</v>
      </c>
      <c r="I1022" s="38">
        <v>4</v>
      </c>
      <c r="J1022" s="39">
        <v>0.23803825610645513</v>
      </c>
      <c r="K1022" s="40">
        <f>ROUND(NORMINV(J1022,IO!$B$10,IO!$B$11),0)</f>
        <v>99</v>
      </c>
      <c r="L1022" s="40">
        <f>MIN(K1022,IO!$B$4+IO!$B$8)</f>
        <v>99</v>
      </c>
      <c r="M1022" s="40">
        <f>IF(L1022-I1022&gt;IO!$B$4,Model!L1022-Model!I1022-IO!$B$4,0)</f>
        <v>0</v>
      </c>
      <c r="N1022" s="41">
        <f>IO!$B$5*Model!L1022-IO!$B$6*Model!M1022</f>
        <v>3960</v>
      </c>
    </row>
    <row r="1023" spans="1:14" x14ac:dyDescent="0.35">
      <c r="A1023" s="30">
        <v>1022</v>
      </c>
      <c r="B1023" s="31">
        <v>2</v>
      </c>
      <c r="C1023" s="32">
        <f>(IO!$B$4+IO!$B$8)</f>
        <v>102</v>
      </c>
      <c r="D1023" s="32">
        <f>IF(B1023&gt;IO!$B$8,0,IO!$B$8-Model!B1023)</f>
        <v>0</v>
      </c>
      <c r="E1023" s="33">
        <f>IO!$B$5*C1023-IO!$B$6*D1023</f>
        <v>4080</v>
      </c>
      <c r="G1023" s="47">
        <v>1022</v>
      </c>
      <c r="H1023" s="38" t="s">
        <v>8</v>
      </c>
      <c r="I1023" s="38">
        <v>2</v>
      </c>
      <c r="J1023" s="39">
        <v>0.75356750600320244</v>
      </c>
      <c r="K1023" s="40">
        <f>ROUND(NORMINV(J1023,IO!$B$10,IO!$B$11),0)</f>
        <v>106</v>
      </c>
      <c r="L1023" s="40">
        <f>MIN(K1023,IO!$B$4+IO!$B$8)</f>
        <v>102</v>
      </c>
      <c r="M1023" s="40">
        <f>IF(L1023-I1023&gt;IO!$B$4,Model!L1023-Model!I1023-IO!$B$4,0)</f>
        <v>0</v>
      </c>
      <c r="N1023" s="41">
        <f>IO!$B$5*Model!L1023-IO!$B$6*Model!M1023</f>
        <v>4080</v>
      </c>
    </row>
    <row r="1024" spans="1:14" x14ac:dyDescent="0.35">
      <c r="A1024" s="30">
        <v>1023</v>
      </c>
      <c r="B1024" s="31">
        <v>1</v>
      </c>
      <c r="C1024" s="32">
        <f>(IO!$B$4+IO!$B$8)</f>
        <v>102</v>
      </c>
      <c r="D1024" s="32">
        <f>IF(B1024&gt;IO!$B$8,0,IO!$B$8-Model!B1024)</f>
        <v>1</v>
      </c>
      <c r="E1024" s="33">
        <f>IO!$B$5*C1024-IO!$B$6*D1024</f>
        <v>3980</v>
      </c>
      <c r="G1024" s="47">
        <v>1023</v>
      </c>
      <c r="H1024" s="38" t="s">
        <v>9</v>
      </c>
      <c r="I1024" s="38">
        <v>1</v>
      </c>
      <c r="J1024" s="39">
        <v>0.13015278338657588</v>
      </c>
      <c r="K1024" s="40">
        <f>ROUND(NORMINV(J1024,IO!$B$10,IO!$B$11),0)</f>
        <v>97</v>
      </c>
      <c r="L1024" s="40">
        <f>MIN(K1024,IO!$B$4+IO!$B$8)</f>
        <v>97</v>
      </c>
      <c r="M1024" s="40">
        <f>IF(L1024-I1024&gt;IO!$B$4,Model!L1024-Model!I1024-IO!$B$4,0)</f>
        <v>0</v>
      </c>
      <c r="N1024" s="41">
        <f>IO!$B$5*Model!L1024-IO!$B$6*Model!M1024</f>
        <v>3880</v>
      </c>
    </row>
    <row r="1025" spans="1:14" x14ac:dyDescent="0.35">
      <c r="A1025" s="30">
        <v>1024</v>
      </c>
      <c r="B1025" s="31">
        <v>1</v>
      </c>
      <c r="C1025" s="32">
        <f>(IO!$B$4+IO!$B$8)</f>
        <v>102</v>
      </c>
      <c r="D1025" s="32">
        <f>IF(B1025&gt;IO!$B$8,0,IO!$B$8-Model!B1025)</f>
        <v>1</v>
      </c>
      <c r="E1025" s="33">
        <f>IO!$B$5*C1025-IO!$B$6*D1025</f>
        <v>3980</v>
      </c>
      <c r="G1025" s="47">
        <v>1024</v>
      </c>
      <c r="H1025" s="38" t="s">
        <v>7</v>
      </c>
      <c r="I1025" s="38">
        <v>1</v>
      </c>
      <c r="J1025" s="39">
        <v>4.8704328570140287E-2</v>
      </c>
      <c r="K1025" s="40">
        <f>ROUND(NORMINV(J1025,IO!$B$10,IO!$B$11),0)</f>
        <v>95</v>
      </c>
      <c r="L1025" s="40">
        <f>MIN(K1025,IO!$B$4+IO!$B$8)</f>
        <v>95</v>
      </c>
      <c r="M1025" s="40">
        <f>IF(L1025-I1025&gt;IO!$B$4,Model!L1025-Model!I1025-IO!$B$4,0)</f>
        <v>0</v>
      </c>
      <c r="N1025" s="41">
        <f>IO!$B$5*Model!L1025-IO!$B$6*Model!M1025</f>
        <v>3800</v>
      </c>
    </row>
    <row r="1026" spans="1:14" x14ac:dyDescent="0.35">
      <c r="A1026" s="30">
        <v>1025</v>
      </c>
      <c r="B1026" s="31">
        <v>5</v>
      </c>
      <c r="C1026" s="32">
        <f>(IO!$B$4+IO!$B$8)</f>
        <v>102</v>
      </c>
      <c r="D1026" s="32">
        <f>IF(B1026&gt;IO!$B$8,0,IO!$B$8-Model!B1026)</f>
        <v>0</v>
      </c>
      <c r="E1026" s="33">
        <f>IO!$B$5*C1026-IO!$B$6*D1026</f>
        <v>4080</v>
      </c>
      <c r="G1026" s="47">
        <v>1025</v>
      </c>
      <c r="H1026" s="38" t="s">
        <v>8</v>
      </c>
      <c r="I1026" s="38">
        <v>5</v>
      </c>
      <c r="J1026" s="39">
        <v>0.89253616784580636</v>
      </c>
      <c r="K1026" s="40">
        <f>ROUND(NORMINV(J1026,IO!$B$10,IO!$B$11),0)</f>
        <v>109</v>
      </c>
      <c r="L1026" s="40">
        <f>MIN(K1026,IO!$B$4+IO!$B$8)</f>
        <v>102</v>
      </c>
      <c r="M1026" s="40">
        <f>IF(L1026-I1026&gt;IO!$B$4,Model!L1026-Model!I1026-IO!$B$4,0)</f>
        <v>0</v>
      </c>
      <c r="N1026" s="41">
        <f>IO!$B$5*Model!L1026-IO!$B$6*Model!M1026</f>
        <v>4080</v>
      </c>
    </row>
    <row r="1027" spans="1:14" x14ac:dyDescent="0.35">
      <c r="A1027" s="30">
        <v>1026</v>
      </c>
      <c r="B1027" s="31">
        <v>2</v>
      </c>
      <c r="C1027" s="32">
        <f>(IO!$B$4+IO!$B$8)</f>
        <v>102</v>
      </c>
      <c r="D1027" s="32">
        <f>IF(B1027&gt;IO!$B$8,0,IO!$B$8-Model!B1027)</f>
        <v>0</v>
      </c>
      <c r="E1027" s="33">
        <f>IO!$B$5*C1027-IO!$B$6*D1027</f>
        <v>4080</v>
      </c>
      <c r="G1027" s="47">
        <v>1026</v>
      </c>
      <c r="H1027" s="38" t="s">
        <v>9</v>
      </c>
      <c r="I1027" s="38">
        <v>2</v>
      </c>
      <c r="J1027" s="39">
        <v>0.6157749234252301</v>
      </c>
      <c r="K1027" s="40">
        <f>ROUND(NORMINV(J1027,IO!$B$10,IO!$B$11),0)</f>
        <v>104</v>
      </c>
      <c r="L1027" s="40">
        <f>MIN(K1027,IO!$B$4+IO!$B$8)</f>
        <v>102</v>
      </c>
      <c r="M1027" s="40">
        <f>IF(L1027-I1027&gt;IO!$B$4,Model!L1027-Model!I1027-IO!$B$4,0)</f>
        <v>0</v>
      </c>
      <c r="N1027" s="41">
        <f>IO!$B$5*Model!L1027-IO!$B$6*Model!M1027</f>
        <v>4080</v>
      </c>
    </row>
    <row r="1028" spans="1:14" x14ac:dyDescent="0.35">
      <c r="A1028" s="30">
        <v>1027</v>
      </c>
      <c r="B1028" s="31">
        <v>0</v>
      </c>
      <c r="C1028" s="32">
        <f>(IO!$B$4+IO!$B$8)</f>
        <v>102</v>
      </c>
      <c r="D1028" s="32">
        <f>IF(B1028&gt;IO!$B$8,0,IO!$B$8-Model!B1028)</f>
        <v>2</v>
      </c>
      <c r="E1028" s="33">
        <f>IO!$B$5*C1028-IO!$B$6*D1028</f>
        <v>3880</v>
      </c>
      <c r="G1028" s="47">
        <v>1027</v>
      </c>
      <c r="H1028" s="38" t="s">
        <v>7</v>
      </c>
      <c r="I1028" s="38">
        <v>0</v>
      </c>
      <c r="J1028" s="39">
        <v>0.55701839388883667</v>
      </c>
      <c r="K1028" s="40">
        <f>ROUND(NORMINV(J1028,IO!$B$10,IO!$B$11),0)</f>
        <v>104</v>
      </c>
      <c r="L1028" s="40">
        <f>MIN(K1028,IO!$B$4+IO!$B$8)</f>
        <v>102</v>
      </c>
      <c r="M1028" s="40">
        <f>IF(L1028-I1028&gt;IO!$B$4,Model!L1028-Model!I1028-IO!$B$4,0)</f>
        <v>2</v>
      </c>
      <c r="N1028" s="41">
        <f>IO!$B$5*Model!L1028-IO!$B$6*Model!M1028</f>
        <v>3880</v>
      </c>
    </row>
    <row r="1029" spans="1:14" x14ac:dyDescent="0.35">
      <c r="A1029" s="30">
        <v>1028</v>
      </c>
      <c r="B1029" s="31">
        <v>5</v>
      </c>
      <c r="C1029" s="32">
        <f>(IO!$B$4+IO!$B$8)</f>
        <v>102</v>
      </c>
      <c r="D1029" s="32">
        <f>IF(B1029&gt;IO!$B$8,0,IO!$B$8-Model!B1029)</f>
        <v>0</v>
      </c>
      <c r="E1029" s="33">
        <f>IO!$B$5*C1029-IO!$B$6*D1029</f>
        <v>4080</v>
      </c>
      <c r="G1029" s="47">
        <v>1028</v>
      </c>
      <c r="H1029" s="38" t="s">
        <v>8</v>
      </c>
      <c r="I1029" s="38">
        <v>5</v>
      </c>
      <c r="J1029" s="39">
        <v>0.54997368789004419</v>
      </c>
      <c r="K1029" s="40">
        <f>ROUND(NORMINV(J1029,IO!$B$10,IO!$B$11),0)</f>
        <v>104</v>
      </c>
      <c r="L1029" s="40">
        <f>MIN(K1029,IO!$B$4+IO!$B$8)</f>
        <v>102</v>
      </c>
      <c r="M1029" s="40">
        <f>IF(L1029-I1029&gt;IO!$B$4,Model!L1029-Model!I1029-IO!$B$4,0)</f>
        <v>0</v>
      </c>
      <c r="N1029" s="41">
        <f>IO!$B$5*Model!L1029-IO!$B$6*Model!M1029</f>
        <v>4080</v>
      </c>
    </row>
    <row r="1030" spans="1:14" x14ac:dyDescent="0.35">
      <c r="A1030" s="30">
        <v>1029</v>
      </c>
      <c r="B1030" s="31">
        <v>0</v>
      </c>
      <c r="C1030" s="32">
        <f>(IO!$B$4+IO!$B$8)</f>
        <v>102</v>
      </c>
      <c r="D1030" s="32">
        <f>IF(B1030&gt;IO!$B$8,0,IO!$B$8-Model!B1030)</f>
        <v>2</v>
      </c>
      <c r="E1030" s="33">
        <f>IO!$B$5*C1030-IO!$B$6*D1030</f>
        <v>3880</v>
      </c>
      <c r="G1030" s="47">
        <v>1029</v>
      </c>
      <c r="H1030" s="38" t="s">
        <v>9</v>
      </c>
      <c r="I1030" s="38">
        <v>0</v>
      </c>
      <c r="J1030" s="39">
        <v>0.80074039760615923</v>
      </c>
      <c r="K1030" s="40">
        <f>ROUND(NORMINV(J1030,IO!$B$10,IO!$B$11),0)</f>
        <v>107</v>
      </c>
      <c r="L1030" s="40">
        <f>MIN(K1030,IO!$B$4+IO!$B$8)</f>
        <v>102</v>
      </c>
      <c r="M1030" s="40">
        <f>IF(L1030-I1030&gt;IO!$B$4,Model!L1030-Model!I1030-IO!$B$4,0)</f>
        <v>2</v>
      </c>
      <c r="N1030" s="41">
        <f>IO!$B$5*Model!L1030-IO!$B$6*Model!M1030</f>
        <v>3880</v>
      </c>
    </row>
    <row r="1031" spans="1:14" x14ac:dyDescent="0.35">
      <c r="A1031" s="30">
        <v>1030</v>
      </c>
      <c r="B1031" s="31">
        <v>1</v>
      </c>
      <c r="C1031" s="32">
        <f>(IO!$B$4+IO!$B$8)</f>
        <v>102</v>
      </c>
      <c r="D1031" s="32">
        <f>IF(B1031&gt;IO!$B$8,0,IO!$B$8-Model!B1031)</f>
        <v>1</v>
      </c>
      <c r="E1031" s="33">
        <f>IO!$B$5*C1031-IO!$B$6*D1031</f>
        <v>3980</v>
      </c>
      <c r="G1031" s="47">
        <v>1030</v>
      </c>
      <c r="H1031" s="38" t="s">
        <v>7</v>
      </c>
      <c r="I1031" s="38">
        <v>1</v>
      </c>
      <c r="J1031" s="39">
        <v>0.63166816341274468</v>
      </c>
      <c r="K1031" s="40">
        <f>ROUND(NORMINV(J1031,IO!$B$10,IO!$B$11),0)</f>
        <v>105</v>
      </c>
      <c r="L1031" s="40">
        <f>MIN(K1031,IO!$B$4+IO!$B$8)</f>
        <v>102</v>
      </c>
      <c r="M1031" s="40">
        <f>IF(L1031-I1031&gt;IO!$B$4,Model!L1031-Model!I1031-IO!$B$4,0)</f>
        <v>1</v>
      </c>
      <c r="N1031" s="41">
        <f>IO!$B$5*Model!L1031-IO!$B$6*Model!M1031</f>
        <v>3980</v>
      </c>
    </row>
    <row r="1032" spans="1:14" x14ac:dyDescent="0.35">
      <c r="A1032" s="30">
        <v>1031</v>
      </c>
      <c r="B1032" s="31">
        <v>4</v>
      </c>
      <c r="C1032" s="32">
        <f>(IO!$B$4+IO!$B$8)</f>
        <v>102</v>
      </c>
      <c r="D1032" s="32">
        <f>IF(B1032&gt;IO!$B$8,0,IO!$B$8-Model!B1032)</f>
        <v>0</v>
      </c>
      <c r="E1032" s="33">
        <f>IO!$B$5*C1032-IO!$B$6*D1032</f>
        <v>4080</v>
      </c>
      <c r="G1032" s="47">
        <v>1031</v>
      </c>
      <c r="H1032" s="38" t="s">
        <v>8</v>
      </c>
      <c r="I1032" s="38">
        <v>4</v>
      </c>
      <c r="J1032" s="39">
        <v>0.95423803615959268</v>
      </c>
      <c r="K1032" s="40">
        <f>ROUND(NORMINV(J1032,IO!$B$10,IO!$B$11),0)</f>
        <v>111</v>
      </c>
      <c r="L1032" s="40">
        <f>MIN(K1032,IO!$B$4+IO!$B$8)</f>
        <v>102</v>
      </c>
      <c r="M1032" s="40">
        <f>IF(L1032-I1032&gt;IO!$B$4,Model!L1032-Model!I1032-IO!$B$4,0)</f>
        <v>0</v>
      </c>
      <c r="N1032" s="41">
        <f>IO!$B$5*Model!L1032-IO!$B$6*Model!M1032</f>
        <v>4080</v>
      </c>
    </row>
    <row r="1033" spans="1:14" x14ac:dyDescent="0.35">
      <c r="A1033" s="30">
        <v>1032</v>
      </c>
      <c r="B1033" s="31">
        <v>2</v>
      </c>
      <c r="C1033" s="32">
        <f>(IO!$B$4+IO!$B$8)</f>
        <v>102</v>
      </c>
      <c r="D1033" s="32">
        <f>IF(B1033&gt;IO!$B$8,0,IO!$B$8-Model!B1033)</f>
        <v>0</v>
      </c>
      <c r="E1033" s="33">
        <f>IO!$B$5*C1033-IO!$B$6*D1033</f>
        <v>4080</v>
      </c>
      <c r="G1033" s="47">
        <v>1032</v>
      </c>
      <c r="H1033" s="38" t="s">
        <v>9</v>
      </c>
      <c r="I1033" s="38">
        <v>2</v>
      </c>
      <c r="J1033" s="39">
        <v>0.81686016307728226</v>
      </c>
      <c r="K1033" s="40">
        <f>ROUND(NORMINV(J1033,IO!$B$10,IO!$B$11),0)</f>
        <v>108</v>
      </c>
      <c r="L1033" s="40">
        <f>MIN(K1033,IO!$B$4+IO!$B$8)</f>
        <v>102</v>
      </c>
      <c r="M1033" s="40">
        <f>IF(L1033-I1033&gt;IO!$B$4,Model!L1033-Model!I1033-IO!$B$4,0)</f>
        <v>0</v>
      </c>
      <c r="N1033" s="41">
        <f>IO!$B$5*Model!L1033-IO!$B$6*Model!M1033</f>
        <v>4080</v>
      </c>
    </row>
    <row r="1034" spans="1:14" x14ac:dyDescent="0.35">
      <c r="A1034" s="30">
        <v>1033</v>
      </c>
      <c r="B1034" s="31">
        <v>7</v>
      </c>
      <c r="C1034" s="32">
        <f>(IO!$B$4+IO!$B$8)</f>
        <v>102</v>
      </c>
      <c r="D1034" s="32">
        <f>IF(B1034&gt;IO!$B$8,0,IO!$B$8-Model!B1034)</f>
        <v>0</v>
      </c>
      <c r="E1034" s="33">
        <f>IO!$B$5*C1034-IO!$B$6*D1034</f>
        <v>4080</v>
      </c>
      <c r="G1034" s="47">
        <v>1033</v>
      </c>
      <c r="H1034" s="38" t="s">
        <v>7</v>
      </c>
      <c r="I1034" s="38">
        <v>7</v>
      </c>
      <c r="J1034" s="39">
        <v>0.26763427607672419</v>
      </c>
      <c r="K1034" s="40">
        <f>ROUND(NORMINV(J1034,IO!$B$10,IO!$B$11),0)</f>
        <v>100</v>
      </c>
      <c r="L1034" s="40">
        <f>MIN(K1034,IO!$B$4+IO!$B$8)</f>
        <v>100</v>
      </c>
      <c r="M1034" s="40">
        <f>IF(L1034-I1034&gt;IO!$B$4,Model!L1034-Model!I1034-IO!$B$4,0)</f>
        <v>0</v>
      </c>
      <c r="N1034" s="41">
        <f>IO!$B$5*Model!L1034-IO!$B$6*Model!M1034</f>
        <v>4000</v>
      </c>
    </row>
    <row r="1035" spans="1:14" x14ac:dyDescent="0.35">
      <c r="A1035" s="30">
        <v>1034</v>
      </c>
      <c r="B1035" s="31">
        <v>2</v>
      </c>
      <c r="C1035" s="32">
        <f>(IO!$B$4+IO!$B$8)</f>
        <v>102</v>
      </c>
      <c r="D1035" s="32">
        <f>IF(B1035&gt;IO!$B$8,0,IO!$B$8-Model!B1035)</f>
        <v>0</v>
      </c>
      <c r="E1035" s="33">
        <f>IO!$B$5*C1035-IO!$B$6*D1035</f>
        <v>4080</v>
      </c>
      <c r="G1035" s="47">
        <v>1034</v>
      </c>
      <c r="H1035" s="38" t="s">
        <v>8</v>
      </c>
      <c r="I1035" s="38">
        <v>2</v>
      </c>
      <c r="J1035" s="39">
        <v>0.61865822759178646</v>
      </c>
      <c r="K1035" s="40">
        <f>ROUND(NORMINV(J1035,IO!$B$10,IO!$B$11),0)</f>
        <v>105</v>
      </c>
      <c r="L1035" s="40">
        <f>MIN(K1035,IO!$B$4+IO!$B$8)</f>
        <v>102</v>
      </c>
      <c r="M1035" s="40">
        <f>IF(L1035-I1035&gt;IO!$B$4,Model!L1035-Model!I1035-IO!$B$4,0)</f>
        <v>0</v>
      </c>
      <c r="N1035" s="41">
        <f>IO!$B$5*Model!L1035-IO!$B$6*Model!M1035</f>
        <v>4080</v>
      </c>
    </row>
    <row r="1036" spans="1:14" x14ac:dyDescent="0.35">
      <c r="A1036" s="30">
        <v>1035</v>
      </c>
      <c r="B1036" s="31">
        <v>1</v>
      </c>
      <c r="C1036" s="32">
        <f>(IO!$B$4+IO!$B$8)</f>
        <v>102</v>
      </c>
      <c r="D1036" s="32">
        <f>IF(B1036&gt;IO!$B$8,0,IO!$B$8-Model!B1036)</f>
        <v>1</v>
      </c>
      <c r="E1036" s="33">
        <f>IO!$B$5*C1036-IO!$B$6*D1036</f>
        <v>3980</v>
      </c>
      <c r="G1036" s="47">
        <v>1035</v>
      </c>
      <c r="H1036" s="38" t="s">
        <v>9</v>
      </c>
      <c r="I1036" s="38">
        <v>1</v>
      </c>
      <c r="J1036" s="39">
        <v>0.28774639392419932</v>
      </c>
      <c r="K1036" s="40">
        <f>ROUND(NORMINV(J1036,IO!$B$10,IO!$B$11),0)</f>
        <v>100</v>
      </c>
      <c r="L1036" s="40">
        <f>MIN(K1036,IO!$B$4+IO!$B$8)</f>
        <v>100</v>
      </c>
      <c r="M1036" s="40">
        <f>IF(L1036-I1036&gt;IO!$B$4,Model!L1036-Model!I1036-IO!$B$4,0)</f>
        <v>0</v>
      </c>
      <c r="N1036" s="41">
        <f>IO!$B$5*Model!L1036-IO!$B$6*Model!M1036</f>
        <v>4000</v>
      </c>
    </row>
    <row r="1037" spans="1:14" x14ac:dyDescent="0.35">
      <c r="A1037" s="30">
        <v>1036</v>
      </c>
      <c r="B1037" s="31">
        <v>5</v>
      </c>
      <c r="C1037" s="32">
        <f>(IO!$B$4+IO!$B$8)</f>
        <v>102</v>
      </c>
      <c r="D1037" s="32">
        <f>IF(B1037&gt;IO!$B$8,0,IO!$B$8-Model!B1037)</f>
        <v>0</v>
      </c>
      <c r="E1037" s="33">
        <f>IO!$B$5*C1037-IO!$B$6*D1037</f>
        <v>4080</v>
      </c>
      <c r="G1037" s="47">
        <v>1036</v>
      </c>
      <c r="H1037" s="38" t="s">
        <v>7</v>
      </c>
      <c r="I1037" s="38">
        <v>5</v>
      </c>
      <c r="J1037" s="39">
        <v>0.41823946047718197</v>
      </c>
      <c r="K1037" s="40">
        <f>ROUND(NORMINV(J1037,IO!$B$10,IO!$B$11),0)</f>
        <v>102</v>
      </c>
      <c r="L1037" s="40">
        <f>MIN(K1037,IO!$B$4+IO!$B$8)</f>
        <v>102</v>
      </c>
      <c r="M1037" s="40">
        <f>IF(L1037-I1037&gt;IO!$B$4,Model!L1037-Model!I1037-IO!$B$4,0)</f>
        <v>0</v>
      </c>
      <c r="N1037" s="41">
        <f>IO!$B$5*Model!L1037-IO!$B$6*Model!M1037</f>
        <v>4080</v>
      </c>
    </row>
    <row r="1038" spans="1:14" x14ac:dyDescent="0.35">
      <c r="A1038" s="30">
        <v>1037</v>
      </c>
      <c r="B1038" s="31">
        <v>1</v>
      </c>
      <c r="C1038" s="32">
        <f>(IO!$B$4+IO!$B$8)</f>
        <v>102</v>
      </c>
      <c r="D1038" s="32">
        <f>IF(B1038&gt;IO!$B$8,0,IO!$B$8-Model!B1038)</f>
        <v>1</v>
      </c>
      <c r="E1038" s="33">
        <f>IO!$B$5*C1038-IO!$B$6*D1038</f>
        <v>3980</v>
      </c>
      <c r="G1038" s="47">
        <v>1037</v>
      </c>
      <c r="H1038" s="38" t="s">
        <v>8</v>
      </c>
      <c r="I1038" s="38">
        <v>1</v>
      </c>
      <c r="J1038" s="39">
        <v>0.94969580944969212</v>
      </c>
      <c r="K1038" s="40">
        <f>ROUND(NORMINV(J1038,IO!$B$10,IO!$B$11),0)</f>
        <v>111</v>
      </c>
      <c r="L1038" s="40">
        <f>MIN(K1038,IO!$B$4+IO!$B$8)</f>
        <v>102</v>
      </c>
      <c r="M1038" s="40">
        <f>IF(L1038-I1038&gt;IO!$B$4,Model!L1038-Model!I1038-IO!$B$4,0)</f>
        <v>1</v>
      </c>
      <c r="N1038" s="41">
        <f>IO!$B$5*Model!L1038-IO!$B$6*Model!M1038</f>
        <v>3980</v>
      </c>
    </row>
    <row r="1039" spans="1:14" x14ac:dyDescent="0.35">
      <c r="A1039" s="30">
        <v>1038</v>
      </c>
      <c r="B1039" s="31">
        <v>0</v>
      </c>
      <c r="C1039" s="32">
        <f>(IO!$B$4+IO!$B$8)</f>
        <v>102</v>
      </c>
      <c r="D1039" s="32">
        <f>IF(B1039&gt;IO!$B$8,0,IO!$B$8-Model!B1039)</f>
        <v>2</v>
      </c>
      <c r="E1039" s="33">
        <f>IO!$B$5*C1039-IO!$B$6*D1039</f>
        <v>3880</v>
      </c>
      <c r="G1039" s="47">
        <v>1038</v>
      </c>
      <c r="H1039" s="38" t="s">
        <v>9</v>
      </c>
      <c r="I1039" s="38">
        <v>0</v>
      </c>
      <c r="J1039" s="39">
        <v>0.7434157750679361</v>
      </c>
      <c r="K1039" s="40">
        <f>ROUND(NORMINV(J1039,IO!$B$10,IO!$B$11),0)</f>
        <v>106</v>
      </c>
      <c r="L1039" s="40">
        <f>MIN(K1039,IO!$B$4+IO!$B$8)</f>
        <v>102</v>
      </c>
      <c r="M1039" s="40">
        <f>IF(L1039-I1039&gt;IO!$B$4,Model!L1039-Model!I1039-IO!$B$4,0)</f>
        <v>2</v>
      </c>
      <c r="N1039" s="41">
        <f>IO!$B$5*Model!L1039-IO!$B$6*Model!M1039</f>
        <v>3880</v>
      </c>
    </row>
    <row r="1040" spans="1:14" x14ac:dyDescent="0.35">
      <c r="A1040" s="30">
        <v>1039</v>
      </c>
      <c r="B1040" s="31">
        <v>5</v>
      </c>
      <c r="C1040" s="32">
        <f>(IO!$B$4+IO!$B$8)</f>
        <v>102</v>
      </c>
      <c r="D1040" s="32">
        <f>IF(B1040&gt;IO!$B$8,0,IO!$B$8-Model!B1040)</f>
        <v>0</v>
      </c>
      <c r="E1040" s="33">
        <f>IO!$B$5*C1040-IO!$B$6*D1040</f>
        <v>4080</v>
      </c>
      <c r="G1040" s="47">
        <v>1039</v>
      </c>
      <c r="H1040" s="38" t="s">
        <v>7</v>
      </c>
      <c r="I1040" s="38">
        <v>5</v>
      </c>
      <c r="J1040" s="39">
        <v>0.91184513972537462</v>
      </c>
      <c r="K1040" s="40">
        <f>ROUND(NORMINV(J1040,IO!$B$10,IO!$B$11),0)</f>
        <v>110</v>
      </c>
      <c r="L1040" s="40">
        <f>MIN(K1040,IO!$B$4+IO!$B$8)</f>
        <v>102</v>
      </c>
      <c r="M1040" s="40">
        <f>IF(L1040-I1040&gt;IO!$B$4,Model!L1040-Model!I1040-IO!$B$4,0)</f>
        <v>0</v>
      </c>
      <c r="N1040" s="41">
        <f>IO!$B$5*Model!L1040-IO!$B$6*Model!M1040</f>
        <v>4080</v>
      </c>
    </row>
    <row r="1041" spans="1:14" x14ac:dyDescent="0.35">
      <c r="A1041" s="30">
        <v>1040</v>
      </c>
      <c r="B1041" s="31">
        <v>3</v>
      </c>
      <c r="C1041" s="32">
        <f>(IO!$B$4+IO!$B$8)</f>
        <v>102</v>
      </c>
      <c r="D1041" s="32">
        <f>IF(B1041&gt;IO!$B$8,0,IO!$B$8-Model!B1041)</f>
        <v>0</v>
      </c>
      <c r="E1041" s="33">
        <f>IO!$B$5*C1041-IO!$B$6*D1041</f>
        <v>4080</v>
      </c>
      <c r="G1041" s="47">
        <v>1040</v>
      </c>
      <c r="H1041" s="38" t="s">
        <v>8</v>
      </c>
      <c r="I1041" s="38">
        <v>3</v>
      </c>
      <c r="J1041" s="39">
        <v>0.12901271368869105</v>
      </c>
      <c r="K1041" s="40">
        <f>ROUND(NORMINV(J1041,IO!$B$10,IO!$B$11),0)</f>
        <v>97</v>
      </c>
      <c r="L1041" s="40">
        <f>MIN(K1041,IO!$B$4+IO!$B$8)</f>
        <v>97</v>
      </c>
      <c r="M1041" s="40">
        <f>IF(L1041-I1041&gt;IO!$B$4,Model!L1041-Model!I1041-IO!$B$4,0)</f>
        <v>0</v>
      </c>
      <c r="N1041" s="41">
        <f>IO!$B$5*Model!L1041-IO!$B$6*Model!M1041</f>
        <v>3880</v>
      </c>
    </row>
    <row r="1042" spans="1:14" x14ac:dyDescent="0.35">
      <c r="A1042" s="30">
        <v>1041</v>
      </c>
      <c r="B1042" s="31">
        <v>1</v>
      </c>
      <c r="C1042" s="32">
        <f>(IO!$B$4+IO!$B$8)</f>
        <v>102</v>
      </c>
      <c r="D1042" s="32">
        <f>IF(B1042&gt;IO!$B$8,0,IO!$B$8-Model!B1042)</f>
        <v>1</v>
      </c>
      <c r="E1042" s="33">
        <f>IO!$B$5*C1042-IO!$B$6*D1042</f>
        <v>3980</v>
      </c>
      <c r="G1042" s="47">
        <v>1041</v>
      </c>
      <c r="H1042" s="38" t="s">
        <v>9</v>
      </c>
      <c r="I1042" s="38">
        <v>1</v>
      </c>
      <c r="J1042" s="39">
        <v>0.18040898247796289</v>
      </c>
      <c r="K1042" s="40">
        <f>ROUND(NORMINV(J1042,IO!$B$10,IO!$B$11),0)</f>
        <v>98</v>
      </c>
      <c r="L1042" s="40">
        <f>MIN(K1042,IO!$B$4+IO!$B$8)</f>
        <v>98</v>
      </c>
      <c r="M1042" s="40">
        <f>IF(L1042-I1042&gt;IO!$B$4,Model!L1042-Model!I1042-IO!$B$4,0)</f>
        <v>0</v>
      </c>
      <c r="N1042" s="41">
        <f>IO!$B$5*Model!L1042-IO!$B$6*Model!M1042</f>
        <v>3920</v>
      </c>
    </row>
    <row r="1043" spans="1:14" x14ac:dyDescent="0.35">
      <c r="A1043" s="30">
        <v>1042</v>
      </c>
      <c r="B1043" s="31">
        <v>8</v>
      </c>
      <c r="C1043" s="32">
        <f>(IO!$B$4+IO!$B$8)</f>
        <v>102</v>
      </c>
      <c r="D1043" s="32">
        <f>IF(B1043&gt;IO!$B$8,0,IO!$B$8-Model!B1043)</f>
        <v>0</v>
      </c>
      <c r="E1043" s="33">
        <f>IO!$B$5*C1043-IO!$B$6*D1043</f>
        <v>4080</v>
      </c>
      <c r="G1043" s="47">
        <v>1042</v>
      </c>
      <c r="H1043" s="38" t="s">
        <v>7</v>
      </c>
      <c r="I1043" s="38">
        <v>8</v>
      </c>
      <c r="J1043" s="39">
        <v>0.96500210571828982</v>
      </c>
      <c r="K1043" s="40">
        <f>ROUND(NORMINV(J1043,IO!$B$10,IO!$B$11),0)</f>
        <v>112</v>
      </c>
      <c r="L1043" s="40">
        <f>MIN(K1043,IO!$B$4+IO!$B$8)</f>
        <v>102</v>
      </c>
      <c r="M1043" s="40">
        <f>IF(L1043-I1043&gt;IO!$B$4,Model!L1043-Model!I1043-IO!$B$4,0)</f>
        <v>0</v>
      </c>
      <c r="N1043" s="41">
        <f>IO!$B$5*Model!L1043-IO!$B$6*Model!M1043</f>
        <v>4080</v>
      </c>
    </row>
    <row r="1044" spans="1:14" x14ac:dyDescent="0.35">
      <c r="A1044" s="30">
        <v>1043</v>
      </c>
      <c r="B1044" s="31">
        <v>0</v>
      </c>
      <c r="C1044" s="32">
        <f>(IO!$B$4+IO!$B$8)</f>
        <v>102</v>
      </c>
      <c r="D1044" s="32">
        <f>IF(B1044&gt;IO!$B$8,0,IO!$B$8-Model!B1044)</f>
        <v>2</v>
      </c>
      <c r="E1044" s="33">
        <f>IO!$B$5*C1044-IO!$B$6*D1044</f>
        <v>3880</v>
      </c>
      <c r="G1044" s="47">
        <v>1043</v>
      </c>
      <c r="H1044" s="38" t="s">
        <v>8</v>
      </c>
      <c r="I1044" s="38">
        <v>0</v>
      </c>
      <c r="J1044" s="39">
        <v>0.14690563328016004</v>
      </c>
      <c r="K1044" s="40">
        <f>ROUND(NORMINV(J1044,IO!$B$10,IO!$B$11),0)</f>
        <v>98</v>
      </c>
      <c r="L1044" s="40">
        <f>MIN(K1044,IO!$B$4+IO!$B$8)</f>
        <v>98</v>
      </c>
      <c r="M1044" s="40">
        <f>IF(L1044-I1044&gt;IO!$B$4,Model!L1044-Model!I1044-IO!$B$4,0)</f>
        <v>0</v>
      </c>
      <c r="N1044" s="41">
        <f>IO!$B$5*Model!L1044-IO!$B$6*Model!M1044</f>
        <v>3920</v>
      </c>
    </row>
    <row r="1045" spans="1:14" x14ac:dyDescent="0.35">
      <c r="A1045" s="30">
        <v>1044</v>
      </c>
      <c r="B1045" s="31">
        <v>0</v>
      </c>
      <c r="C1045" s="32">
        <f>(IO!$B$4+IO!$B$8)</f>
        <v>102</v>
      </c>
      <c r="D1045" s="32">
        <f>IF(B1045&gt;IO!$B$8,0,IO!$B$8-Model!B1045)</f>
        <v>2</v>
      </c>
      <c r="E1045" s="33">
        <f>IO!$B$5*C1045-IO!$B$6*D1045</f>
        <v>3880</v>
      </c>
      <c r="G1045" s="47">
        <v>1044</v>
      </c>
      <c r="H1045" s="38" t="s">
        <v>9</v>
      </c>
      <c r="I1045" s="38">
        <v>0</v>
      </c>
      <c r="J1045" s="39">
        <v>0.92191338678279233</v>
      </c>
      <c r="K1045" s="40">
        <f>ROUND(NORMINV(J1045,IO!$B$10,IO!$B$11),0)</f>
        <v>110</v>
      </c>
      <c r="L1045" s="40">
        <f>MIN(K1045,IO!$B$4+IO!$B$8)</f>
        <v>102</v>
      </c>
      <c r="M1045" s="40">
        <f>IF(L1045-I1045&gt;IO!$B$4,Model!L1045-Model!I1045-IO!$B$4,0)</f>
        <v>2</v>
      </c>
      <c r="N1045" s="41">
        <f>IO!$B$5*Model!L1045-IO!$B$6*Model!M1045</f>
        <v>3880</v>
      </c>
    </row>
    <row r="1046" spans="1:14" x14ac:dyDescent="0.35">
      <c r="A1046" s="30">
        <v>1045</v>
      </c>
      <c r="B1046" s="31">
        <v>5</v>
      </c>
      <c r="C1046" s="32">
        <f>(IO!$B$4+IO!$B$8)</f>
        <v>102</v>
      </c>
      <c r="D1046" s="32">
        <f>IF(B1046&gt;IO!$B$8,0,IO!$B$8-Model!B1046)</f>
        <v>0</v>
      </c>
      <c r="E1046" s="33">
        <f>IO!$B$5*C1046-IO!$B$6*D1046</f>
        <v>4080</v>
      </c>
      <c r="G1046" s="47">
        <v>1045</v>
      </c>
      <c r="H1046" s="38" t="s">
        <v>7</v>
      </c>
      <c r="I1046" s="38">
        <v>5</v>
      </c>
      <c r="J1046" s="39">
        <v>0.39350868096311786</v>
      </c>
      <c r="K1046" s="40">
        <f>ROUND(NORMINV(J1046,IO!$B$10,IO!$B$11),0)</f>
        <v>102</v>
      </c>
      <c r="L1046" s="40">
        <f>MIN(K1046,IO!$B$4+IO!$B$8)</f>
        <v>102</v>
      </c>
      <c r="M1046" s="40">
        <f>IF(L1046-I1046&gt;IO!$B$4,Model!L1046-Model!I1046-IO!$B$4,0)</f>
        <v>0</v>
      </c>
      <c r="N1046" s="41">
        <f>IO!$B$5*Model!L1046-IO!$B$6*Model!M1046</f>
        <v>4080</v>
      </c>
    </row>
    <row r="1047" spans="1:14" x14ac:dyDescent="0.35">
      <c r="A1047" s="30">
        <v>1046</v>
      </c>
      <c r="B1047" s="31">
        <v>7</v>
      </c>
      <c r="C1047" s="32">
        <f>(IO!$B$4+IO!$B$8)</f>
        <v>102</v>
      </c>
      <c r="D1047" s="32">
        <f>IF(B1047&gt;IO!$B$8,0,IO!$B$8-Model!B1047)</f>
        <v>0</v>
      </c>
      <c r="E1047" s="33">
        <f>IO!$B$5*C1047-IO!$B$6*D1047</f>
        <v>4080</v>
      </c>
      <c r="G1047" s="47">
        <v>1046</v>
      </c>
      <c r="H1047" s="38" t="s">
        <v>8</v>
      </c>
      <c r="I1047" s="38">
        <v>7</v>
      </c>
      <c r="J1047" s="39">
        <v>0.84288136006253844</v>
      </c>
      <c r="K1047" s="40">
        <f>ROUND(NORMINV(J1047,IO!$B$10,IO!$B$11),0)</f>
        <v>108</v>
      </c>
      <c r="L1047" s="40">
        <f>MIN(K1047,IO!$B$4+IO!$B$8)</f>
        <v>102</v>
      </c>
      <c r="M1047" s="40">
        <f>IF(L1047-I1047&gt;IO!$B$4,Model!L1047-Model!I1047-IO!$B$4,0)</f>
        <v>0</v>
      </c>
      <c r="N1047" s="41">
        <f>IO!$B$5*Model!L1047-IO!$B$6*Model!M1047</f>
        <v>4080</v>
      </c>
    </row>
    <row r="1048" spans="1:14" x14ac:dyDescent="0.35">
      <c r="A1048" s="30">
        <v>1047</v>
      </c>
      <c r="B1048" s="31">
        <v>0</v>
      </c>
      <c r="C1048" s="32">
        <f>(IO!$B$4+IO!$B$8)</f>
        <v>102</v>
      </c>
      <c r="D1048" s="32">
        <f>IF(B1048&gt;IO!$B$8,0,IO!$B$8-Model!B1048)</f>
        <v>2</v>
      </c>
      <c r="E1048" s="33">
        <f>IO!$B$5*C1048-IO!$B$6*D1048</f>
        <v>3880</v>
      </c>
      <c r="G1048" s="47">
        <v>1047</v>
      </c>
      <c r="H1048" s="38" t="s">
        <v>9</v>
      </c>
      <c r="I1048" s="38">
        <v>0</v>
      </c>
      <c r="J1048" s="39">
        <v>0.40130864585537784</v>
      </c>
      <c r="K1048" s="40">
        <f>ROUND(NORMINV(J1048,IO!$B$10,IO!$B$11),0)</f>
        <v>102</v>
      </c>
      <c r="L1048" s="40">
        <f>MIN(K1048,IO!$B$4+IO!$B$8)</f>
        <v>102</v>
      </c>
      <c r="M1048" s="40">
        <f>IF(L1048-I1048&gt;IO!$B$4,Model!L1048-Model!I1048-IO!$B$4,0)</f>
        <v>2</v>
      </c>
      <c r="N1048" s="41">
        <f>IO!$B$5*Model!L1048-IO!$B$6*Model!M1048</f>
        <v>3880</v>
      </c>
    </row>
    <row r="1049" spans="1:14" x14ac:dyDescent="0.35">
      <c r="A1049" s="30">
        <v>1048</v>
      </c>
      <c r="B1049" s="31">
        <v>2</v>
      </c>
      <c r="C1049" s="32">
        <f>(IO!$B$4+IO!$B$8)</f>
        <v>102</v>
      </c>
      <c r="D1049" s="32">
        <f>IF(B1049&gt;IO!$B$8,0,IO!$B$8-Model!B1049)</f>
        <v>0</v>
      </c>
      <c r="E1049" s="33">
        <f>IO!$B$5*C1049-IO!$B$6*D1049</f>
        <v>4080</v>
      </c>
      <c r="G1049" s="47">
        <v>1048</v>
      </c>
      <c r="H1049" s="38" t="s">
        <v>7</v>
      </c>
      <c r="I1049" s="38">
        <v>2</v>
      </c>
      <c r="J1049" s="39">
        <v>0.78518089659268486</v>
      </c>
      <c r="K1049" s="40">
        <f>ROUND(NORMINV(J1049,IO!$B$10,IO!$B$11),0)</f>
        <v>107</v>
      </c>
      <c r="L1049" s="40">
        <f>MIN(K1049,IO!$B$4+IO!$B$8)</f>
        <v>102</v>
      </c>
      <c r="M1049" s="40">
        <f>IF(L1049-I1049&gt;IO!$B$4,Model!L1049-Model!I1049-IO!$B$4,0)</f>
        <v>0</v>
      </c>
      <c r="N1049" s="41">
        <f>IO!$B$5*Model!L1049-IO!$B$6*Model!M1049</f>
        <v>4080</v>
      </c>
    </row>
    <row r="1050" spans="1:14" x14ac:dyDescent="0.35">
      <c r="A1050" s="30">
        <v>1049</v>
      </c>
      <c r="B1050" s="31">
        <v>3</v>
      </c>
      <c r="C1050" s="32">
        <f>(IO!$B$4+IO!$B$8)</f>
        <v>102</v>
      </c>
      <c r="D1050" s="32">
        <f>IF(B1050&gt;IO!$B$8,0,IO!$B$8-Model!B1050)</f>
        <v>0</v>
      </c>
      <c r="E1050" s="33">
        <f>IO!$B$5*C1050-IO!$B$6*D1050</f>
        <v>4080</v>
      </c>
      <c r="G1050" s="47">
        <v>1049</v>
      </c>
      <c r="H1050" s="38" t="s">
        <v>8</v>
      </c>
      <c r="I1050" s="38">
        <v>3</v>
      </c>
      <c r="J1050" s="39">
        <v>9.6325719304230395E-2</v>
      </c>
      <c r="K1050" s="40">
        <f>ROUND(NORMINV(J1050,IO!$B$10,IO!$B$11),0)</f>
        <v>96</v>
      </c>
      <c r="L1050" s="40">
        <f>MIN(K1050,IO!$B$4+IO!$B$8)</f>
        <v>96</v>
      </c>
      <c r="M1050" s="40">
        <f>IF(L1050-I1050&gt;IO!$B$4,Model!L1050-Model!I1050-IO!$B$4,0)</f>
        <v>0</v>
      </c>
      <c r="N1050" s="41">
        <f>IO!$B$5*Model!L1050-IO!$B$6*Model!M1050</f>
        <v>3840</v>
      </c>
    </row>
    <row r="1051" spans="1:14" x14ac:dyDescent="0.35">
      <c r="A1051" s="30">
        <v>1050</v>
      </c>
      <c r="B1051" s="31">
        <v>0</v>
      </c>
      <c r="C1051" s="32">
        <f>(IO!$B$4+IO!$B$8)</f>
        <v>102</v>
      </c>
      <c r="D1051" s="32">
        <f>IF(B1051&gt;IO!$B$8,0,IO!$B$8-Model!B1051)</f>
        <v>2</v>
      </c>
      <c r="E1051" s="33">
        <f>IO!$B$5*C1051-IO!$B$6*D1051</f>
        <v>3880</v>
      </c>
      <c r="G1051" s="47">
        <v>1050</v>
      </c>
      <c r="H1051" s="38" t="s">
        <v>9</v>
      </c>
      <c r="I1051" s="38">
        <v>0</v>
      </c>
      <c r="J1051" s="39">
        <v>0.83067816425064267</v>
      </c>
      <c r="K1051" s="40">
        <f>ROUND(NORMINV(J1051,IO!$B$10,IO!$B$11),0)</f>
        <v>108</v>
      </c>
      <c r="L1051" s="40">
        <f>MIN(K1051,IO!$B$4+IO!$B$8)</f>
        <v>102</v>
      </c>
      <c r="M1051" s="40">
        <f>IF(L1051-I1051&gt;IO!$B$4,Model!L1051-Model!I1051-IO!$B$4,0)</f>
        <v>2</v>
      </c>
      <c r="N1051" s="41">
        <f>IO!$B$5*Model!L1051-IO!$B$6*Model!M1051</f>
        <v>3880</v>
      </c>
    </row>
    <row r="1052" spans="1:14" x14ac:dyDescent="0.35">
      <c r="A1052" s="30">
        <v>1051</v>
      </c>
      <c r="B1052" s="31">
        <v>5</v>
      </c>
      <c r="C1052" s="32">
        <f>(IO!$B$4+IO!$B$8)</f>
        <v>102</v>
      </c>
      <c r="D1052" s="32">
        <f>IF(B1052&gt;IO!$B$8,0,IO!$B$8-Model!B1052)</f>
        <v>0</v>
      </c>
      <c r="E1052" s="33">
        <f>IO!$B$5*C1052-IO!$B$6*D1052</f>
        <v>4080</v>
      </c>
      <c r="G1052" s="47">
        <v>1051</v>
      </c>
      <c r="H1052" s="38" t="s">
        <v>7</v>
      </c>
      <c r="I1052" s="38">
        <v>5</v>
      </c>
      <c r="J1052" s="39">
        <v>0.80511450270463314</v>
      </c>
      <c r="K1052" s="40">
        <f>ROUND(NORMINV(J1052,IO!$B$10,IO!$B$11),0)</f>
        <v>107</v>
      </c>
      <c r="L1052" s="40">
        <f>MIN(K1052,IO!$B$4+IO!$B$8)</f>
        <v>102</v>
      </c>
      <c r="M1052" s="40">
        <f>IF(L1052-I1052&gt;IO!$B$4,Model!L1052-Model!I1052-IO!$B$4,0)</f>
        <v>0</v>
      </c>
      <c r="N1052" s="41">
        <f>IO!$B$5*Model!L1052-IO!$B$6*Model!M1052</f>
        <v>4080</v>
      </c>
    </row>
    <row r="1053" spans="1:14" x14ac:dyDescent="0.35">
      <c r="A1053" s="30">
        <v>1052</v>
      </c>
      <c r="B1053" s="31">
        <v>3</v>
      </c>
      <c r="C1053" s="32">
        <f>(IO!$B$4+IO!$B$8)</f>
        <v>102</v>
      </c>
      <c r="D1053" s="32">
        <f>IF(B1053&gt;IO!$B$8,0,IO!$B$8-Model!B1053)</f>
        <v>0</v>
      </c>
      <c r="E1053" s="33">
        <f>IO!$B$5*C1053-IO!$B$6*D1053</f>
        <v>4080</v>
      </c>
      <c r="G1053" s="47">
        <v>1052</v>
      </c>
      <c r="H1053" s="38" t="s">
        <v>8</v>
      </c>
      <c r="I1053" s="38">
        <v>3</v>
      </c>
      <c r="J1053" s="39">
        <v>0.8290972554260132</v>
      </c>
      <c r="K1053" s="40">
        <f>ROUND(NORMINV(J1053,IO!$B$10,IO!$B$11),0)</f>
        <v>108</v>
      </c>
      <c r="L1053" s="40">
        <f>MIN(K1053,IO!$B$4+IO!$B$8)</f>
        <v>102</v>
      </c>
      <c r="M1053" s="40">
        <f>IF(L1053-I1053&gt;IO!$B$4,Model!L1053-Model!I1053-IO!$B$4,0)</f>
        <v>0</v>
      </c>
      <c r="N1053" s="41">
        <f>IO!$B$5*Model!L1053-IO!$B$6*Model!M1053</f>
        <v>4080</v>
      </c>
    </row>
    <row r="1054" spans="1:14" x14ac:dyDescent="0.35">
      <c r="A1054" s="30">
        <v>1053</v>
      </c>
      <c r="B1054" s="31">
        <v>1</v>
      </c>
      <c r="C1054" s="32">
        <f>(IO!$B$4+IO!$B$8)</f>
        <v>102</v>
      </c>
      <c r="D1054" s="32">
        <f>IF(B1054&gt;IO!$B$8,0,IO!$B$8-Model!B1054)</f>
        <v>1</v>
      </c>
      <c r="E1054" s="33">
        <f>IO!$B$5*C1054-IO!$B$6*D1054</f>
        <v>3980</v>
      </c>
      <c r="G1054" s="47">
        <v>1053</v>
      </c>
      <c r="H1054" s="38" t="s">
        <v>9</v>
      </c>
      <c r="I1054" s="38">
        <v>1</v>
      </c>
      <c r="J1054" s="39">
        <v>0.51828448273073002</v>
      </c>
      <c r="K1054" s="40">
        <f>ROUND(NORMINV(J1054,IO!$B$10,IO!$B$11),0)</f>
        <v>103</v>
      </c>
      <c r="L1054" s="40">
        <f>MIN(K1054,IO!$B$4+IO!$B$8)</f>
        <v>102</v>
      </c>
      <c r="M1054" s="40">
        <f>IF(L1054-I1054&gt;IO!$B$4,Model!L1054-Model!I1054-IO!$B$4,0)</f>
        <v>1</v>
      </c>
      <c r="N1054" s="41">
        <f>IO!$B$5*Model!L1054-IO!$B$6*Model!M1054</f>
        <v>3980</v>
      </c>
    </row>
    <row r="1055" spans="1:14" x14ac:dyDescent="0.35">
      <c r="A1055" s="30">
        <v>1054</v>
      </c>
      <c r="B1055" s="31">
        <v>1</v>
      </c>
      <c r="C1055" s="32">
        <f>(IO!$B$4+IO!$B$8)</f>
        <v>102</v>
      </c>
      <c r="D1055" s="32">
        <f>IF(B1055&gt;IO!$B$8,0,IO!$B$8-Model!B1055)</f>
        <v>1</v>
      </c>
      <c r="E1055" s="33">
        <f>IO!$B$5*C1055-IO!$B$6*D1055</f>
        <v>3980</v>
      </c>
      <c r="G1055" s="47">
        <v>1054</v>
      </c>
      <c r="H1055" s="38" t="s">
        <v>7</v>
      </c>
      <c r="I1055" s="38">
        <v>1</v>
      </c>
      <c r="J1055" s="39">
        <v>0.83216447015519635</v>
      </c>
      <c r="K1055" s="40">
        <f>ROUND(NORMINV(J1055,IO!$B$10,IO!$B$11),0)</f>
        <v>108</v>
      </c>
      <c r="L1055" s="40">
        <f>MIN(K1055,IO!$B$4+IO!$B$8)</f>
        <v>102</v>
      </c>
      <c r="M1055" s="40">
        <f>IF(L1055-I1055&gt;IO!$B$4,Model!L1055-Model!I1055-IO!$B$4,0)</f>
        <v>1</v>
      </c>
      <c r="N1055" s="41">
        <f>IO!$B$5*Model!L1055-IO!$B$6*Model!M1055</f>
        <v>3980</v>
      </c>
    </row>
    <row r="1056" spans="1:14" x14ac:dyDescent="0.35">
      <c r="A1056" s="30">
        <v>1055</v>
      </c>
      <c r="B1056" s="31">
        <v>2</v>
      </c>
      <c r="C1056" s="32">
        <f>(IO!$B$4+IO!$B$8)</f>
        <v>102</v>
      </c>
      <c r="D1056" s="32">
        <f>IF(B1056&gt;IO!$B$8,0,IO!$B$8-Model!B1056)</f>
        <v>0</v>
      </c>
      <c r="E1056" s="33">
        <f>IO!$B$5*C1056-IO!$B$6*D1056</f>
        <v>4080</v>
      </c>
      <c r="G1056" s="47">
        <v>1055</v>
      </c>
      <c r="H1056" s="38" t="s">
        <v>8</v>
      </c>
      <c r="I1056" s="38">
        <v>2</v>
      </c>
      <c r="J1056" s="39">
        <v>0.44698668524312368</v>
      </c>
      <c r="K1056" s="40">
        <f>ROUND(NORMINV(J1056,IO!$B$10,IO!$B$11),0)</f>
        <v>102</v>
      </c>
      <c r="L1056" s="40">
        <f>MIN(K1056,IO!$B$4+IO!$B$8)</f>
        <v>102</v>
      </c>
      <c r="M1056" s="40">
        <f>IF(L1056-I1056&gt;IO!$B$4,Model!L1056-Model!I1056-IO!$B$4,0)</f>
        <v>0</v>
      </c>
      <c r="N1056" s="41">
        <f>IO!$B$5*Model!L1056-IO!$B$6*Model!M1056</f>
        <v>4080</v>
      </c>
    </row>
    <row r="1057" spans="1:14" x14ac:dyDescent="0.35">
      <c r="A1057" s="30">
        <v>1056</v>
      </c>
      <c r="B1057" s="31">
        <v>1</v>
      </c>
      <c r="C1057" s="32">
        <f>(IO!$B$4+IO!$B$8)</f>
        <v>102</v>
      </c>
      <c r="D1057" s="32">
        <f>IF(B1057&gt;IO!$B$8,0,IO!$B$8-Model!B1057)</f>
        <v>1</v>
      </c>
      <c r="E1057" s="33">
        <f>IO!$B$5*C1057-IO!$B$6*D1057</f>
        <v>3980</v>
      </c>
      <c r="G1057" s="47">
        <v>1056</v>
      </c>
      <c r="H1057" s="38" t="s">
        <v>9</v>
      </c>
      <c r="I1057" s="38">
        <v>1</v>
      </c>
      <c r="J1057" s="39">
        <v>0.92612814473889526</v>
      </c>
      <c r="K1057" s="40">
        <f>ROUND(NORMINV(J1057,IO!$B$10,IO!$B$11),0)</f>
        <v>110</v>
      </c>
      <c r="L1057" s="40">
        <f>MIN(K1057,IO!$B$4+IO!$B$8)</f>
        <v>102</v>
      </c>
      <c r="M1057" s="40">
        <f>IF(L1057-I1057&gt;IO!$B$4,Model!L1057-Model!I1057-IO!$B$4,0)</f>
        <v>1</v>
      </c>
      <c r="N1057" s="41">
        <f>IO!$B$5*Model!L1057-IO!$B$6*Model!M1057</f>
        <v>3980</v>
      </c>
    </row>
    <row r="1058" spans="1:14" x14ac:dyDescent="0.35">
      <c r="A1058" s="30">
        <v>1057</v>
      </c>
      <c r="B1058" s="31">
        <v>4</v>
      </c>
      <c r="C1058" s="32">
        <f>(IO!$B$4+IO!$B$8)</f>
        <v>102</v>
      </c>
      <c r="D1058" s="32">
        <f>IF(B1058&gt;IO!$B$8,0,IO!$B$8-Model!B1058)</f>
        <v>0</v>
      </c>
      <c r="E1058" s="33">
        <f>IO!$B$5*C1058-IO!$B$6*D1058</f>
        <v>4080</v>
      </c>
      <c r="G1058" s="47">
        <v>1057</v>
      </c>
      <c r="H1058" s="38" t="s">
        <v>7</v>
      </c>
      <c r="I1058" s="38">
        <v>4</v>
      </c>
      <c r="J1058" s="39">
        <v>0.12008845523997758</v>
      </c>
      <c r="K1058" s="40">
        <f>ROUND(NORMINV(J1058,IO!$B$10,IO!$B$11),0)</f>
        <v>97</v>
      </c>
      <c r="L1058" s="40">
        <f>MIN(K1058,IO!$B$4+IO!$B$8)</f>
        <v>97</v>
      </c>
      <c r="M1058" s="40">
        <f>IF(L1058-I1058&gt;IO!$B$4,Model!L1058-Model!I1058-IO!$B$4,0)</f>
        <v>0</v>
      </c>
      <c r="N1058" s="41">
        <f>IO!$B$5*Model!L1058-IO!$B$6*Model!M1058</f>
        <v>3880</v>
      </c>
    </row>
    <row r="1059" spans="1:14" x14ac:dyDescent="0.35">
      <c r="A1059" s="30">
        <v>1058</v>
      </c>
      <c r="B1059" s="31">
        <v>2</v>
      </c>
      <c r="C1059" s="32">
        <f>(IO!$B$4+IO!$B$8)</f>
        <v>102</v>
      </c>
      <c r="D1059" s="32">
        <f>IF(B1059&gt;IO!$B$8,0,IO!$B$8-Model!B1059)</f>
        <v>0</v>
      </c>
      <c r="E1059" s="33">
        <f>IO!$B$5*C1059-IO!$B$6*D1059</f>
        <v>4080</v>
      </c>
      <c r="G1059" s="47">
        <v>1058</v>
      </c>
      <c r="H1059" s="38" t="s">
        <v>8</v>
      </c>
      <c r="I1059" s="38">
        <v>2</v>
      </c>
      <c r="J1059" s="39">
        <v>0.87527479442745693</v>
      </c>
      <c r="K1059" s="40">
        <f>ROUND(NORMINV(J1059,IO!$B$10,IO!$B$11),0)</f>
        <v>109</v>
      </c>
      <c r="L1059" s="40">
        <f>MIN(K1059,IO!$B$4+IO!$B$8)</f>
        <v>102</v>
      </c>
      <c r="M1059" s="40">
        <f>IF(L1059-I1059&gt;IO!$B$4,Model!L1059-Model!I1059-IO!$B$4,0)</f>
        <v>0</v>
      </c>
      <c r="N1059" s="41">
        <f>IO!$B$5*Model!L1059-IO!$B$6*Model!M1059</f>
        <v>4080</v>
      </c>
    </row>
    <row r="1060" spans="1:14" x14ac:dyDescent="0.35">
      <c r="A1060" s="30">
        <v>1059</v>
      </c>
      <c r="B1060" s="31">
        <v>0</v>
      </c>
      <c r="C1060" s="32">
        <f>(IO!$B$4+IO!$B$8)</f>
        <v>102</v>
      </c>
      <c r="D1060" s="32">
        <f>IF(B1060&gt;IO!$B$8,0,IO!$B$8-Model!B1060)</f>
        <v>2</v>
      </c>
      <c r="E1060" s="33">
        <f>IO!$B$5*C1060-IO!$B$6*D1060</f>
        <v>3880</v>
      </c>
      <c r="G1060" s="47">
        <v>1059</v>
      </c>
      <c r="H1060" s="38" t="s">
        <v>9</v>
      </c>
      <c r="I1060" s="38">
        <v>0</v>
      </c>
      <c r="J1060" s="39">
        <v>0.14517214414887536</v>
      </c>
      <c r="K1060" s="40">
        <f>ROUND(NORMINV(J1060,IO!$B$10,IO!$B$11),0)</f>
        <v>98</v>
      </c>
      <c r="L1060" s="40">
        <f>MIN(K1060,IO!$B$4+IO!$B$8)</f>
        <v>98</v>
      </c>
      <c r="M1060" s="40">
        <f>IF(L1060-I1060&gt;IO!$B$4,Model!L1060-Model!I1060-IO!$B$4,0)</f>
        <v>0</v>
      </c>
      <c r="N1060" s="41">
        <f>IO!$B$5*Model!L1060-IO!$B$6*Model!M1060</f>
        <v>3920</v>
      </c>
    </row>
    <row r="1061" spans="1:14" x14ac:dyDescent="0.35">
      <c r="A1061" s="30">
        <v>1060</v>
      </c>
      <c r="B1061" s="31">
        <v>4</v>
      </c>
      <c r="C1061" s="32">
        <f>(IO!$B$4+IO!$B$8)</f>
        <v>102</v>
      </c>
      <c r="D1061" s="32">
        <f>IF(B1061&gt;IO!$B$8,0,IO!$B$8-Model!B1061)</f>
        <v>0</v>
      </c>
      <c r="E1061" s="33">
        <f>IO!$B$5*C1061-IO!$B$6*D1061</f>
        <v>4080</v>
      </c>
      <c r="G1061" s="47">
        <v>1060</v>
      </c>
      <c r="H1061" s="38" t="s">
        <v>7</v>
      </c>
      <c r="I1061" s="38">
        <v>4</v>
      </c>
      <c r="J1061" s="39">
        <v>0.95084982048881861</v>
      </c>
      <c r="K1061" s="40">
        <f>ROUND(NORMINV(J1061,IO!$B$10,IO!$B$11),0)</f>
        <v>111</v>
      </c>
      <c r="L1061" s="40">
        <f>MIN(K1061,IO!$B$4+IO!$B$8)</f>
        <v>102</v>
      </c>
      <c r="M1061" s="40">
        <f>IF(L1061-I1061&gt;IO!$B$4,Model!L1061-Model!I1061-IO!$B$4,0)</f>
        <v>0</v>
      </c>
      <c r="N1061" s="41">
        <f>IO!$B$5*Model!L1061-IO!$B$6*Model!M1061</f>
        <v>4080</v>
      </c>
    </row>
    <row r="1062" spans="1:14" x14ac:dyDescent="0.35">
      <c r="A1062" s="30">
        <v>1061</v>
      </c>
      <c r="B1062" s="31">
        <v>0</v>
      </c>
      <c r="C1062" s="32">
        <f>(IO!$B$4+IO!$B$8)</f>
        <v>102</v>
      </c>
      <c r="D1062" s="32">
        <f>IF(B1062&gt;IO!$B$8,0,IO!$B$8-Model!B1062)</f>
        <v>2</v>
      </c>
      <c r="E1062" s="33">
        <f>IO!$B$5*C1062-IO!$B$6*D1062</f>
        <v>3880</v>
      </c>
      <c r="G1062" s="47">
        <v>1061</v>
      </c>
      <c r="H1062" s="38" t="s">
        <v>8</v>
      </c>
      <c r="I1062" s="38">
        <v>0</v>
      </c>
      <c r="J1062" s="39">
        <v>0.96732393960775553</v>
      </c>
      <c r="K1062" s="40">
        <f>ROUND(NORMINV(J1062,IO!$B$10,IO!$B$11),0)</f>
        <v>112</v>
      </c>
      <c r="L1062" s="40">
        <f>MIN(K1062,IO!$B$4+IO!$B$8)</f>
        <v>102</v>
      </c>
      <c r="M1062" s="40">
        <f>IF(L1062-I1062&gt;IO!$B$4,Model!L1062-Model!I1062-IO!$B$4,0)</f>
        <v>2</v>
      </c>
      <c r="N1062" s="41">
        <f>IO!$B$5*Model!L1062-IO!$B$6*Model!M1062</f>
        <v>3880</v>
      </c>
    </row>
    <row r="1063" spans="1:14" x14ac:dyDescent="0.35">
      <c r="A1063" s="30">
        <v>1062</v>
      </c>
      <c r="B1063" s="31">
        <v>3</v>
      </c>
      <c r="C1063" s="32">
        <f>(IO!$B$4+IO!$B$8)</f>
        <v>102</v>
      </c>
      <c r="D1063" s="32">
        <f>IF(B1063&gt;IO!$B$8,0,IO!$B$8-Model!B1063)</f>
        <v>0</v>
      </c>
      <c r="E1063" s="33">
        <f>IO!$B$5*C1063-IO!$B$6*D1063</f>
        <v>4080</v>
      </c>
      <c r="G1063" s="47">
        <v>1062</v>
      </c>
      <c r="H1063" s="38" t="s">
        <v>9</v>
      </c>
      <c r="I1063" s="38">
        <v>3</v>
      </c>
      <c r="J1063" s="39">
        <v>0.4384070633283278</v>
      </c>
      <c r="K1063" s="40">
        <f>ROUND(NORMINV(J1063,IO!$B$10,IO!$B$11),0)</f>
        <v>102</v>
      </c>
      <c r="L1063" s="40">
        <f>MIN(K1063,IO!$B$4+IO!$B$8)</f>
        <v>102</v>
      </c>
      <c r="M1063" s="40">
        <f>IF(L1063-I1063&gt;IO!$B$4,Model!L1063-Model!I1063-IO!$B$4,0)</f>
        <v>0</v>
      </c>
      <c r="N1063" s="41">
        <f>IO!$B$5*Model!L1063-IO!$B$6*Model!M1063</f>
        <v>4080</v>
      </c>
    </row>
    <row r="1064" spans="1:14" x14ac:dyDescent="0.35">
      <c r="A1064" s="30">
        <v>1063</v>
      </c>
      <c r="B1064" s="31">
        <v>3</v>
      </c>
      <c r="C1064" s="32">
        <f>(IO!$B$4+IO!$B$8)</f>
        <v>102</v>
      </c>
      <c r="D1064" s="32">
        <f>IF(B1064&gt;IO!$B$8,0,IO!$B$8-Model!B1064)</f>
        <v>0</v>
      </c>
      <c r="E1064" s="33">
        <f>IO!$B$5*C1064-IO!$B$6*D1064</f>
        <v>4080</v>
      </c>
      <c r="G1064" s="47">
        <v>1063</v>
      </c>
      <c r="H1064" s="38" t="s">
        <v>7</v>
      </c>
      <c r="I1064" s="38">
        <v>3</v>
      </c>
      <c r="J1064" s="39">
        <v>0.66733136979633034</v>
      </c>
      <c r="K1064" s="40">
        <f>ROUND(NORMINV(J1064,IO!$B$10,IO!$B$11),0)</f>
        <v>105</v>
      </c>
      <c r="L1064" s="40">
        <f>MIN(K1064,IO!$B$4+IO!$B$8)</f>
        <v>102</v>
      </c>
      <c r="M1064" s="40">
        <f>IF(L1064-I1064&gt;IO!$B$4,Model!L1064-Model!I1064-IO!$B$4,0)</f>
        <v>0</v>
      </c>
      <c r="N1064" s="41">
        <f>IO!$B$5*Model!L1064-IO!$B$6*Model!M1064</f>
        <v>4080</v>
      </c>
    </row>
    <row r="1065" spans="1:14" x14ac:dyDescent="0.35">
      <c r="A1065" s="30">
        <v>1064</v>
      </c>
      <c r="B1065" s="31">
        <v>2</v>
      </c>
      <c r="C1065" s="32">
        <f>(IO!$B$4+IO!$B$8)</f>
        <v>102</v>
      </c>
      <c r="D1065" s="32">
        <f>IF(B1065&gt;IO!$B$8,0,IO!$B$8-Model!B1065)</f>
        <v>0</v>
      </c>
      <c r="E1065" s="33">
        <f>IO!$B$5*C1065-IO!$B$6*D1065</f>
        <v>4080</v>
      </c>
      <c r="G1065" s="47">
        <v>1064</v>
      </c>
      <c r="H1065" s="38" t="s">
        <v>8</v>
      </c>
      <c r="I1065" s="38">
        <v>2</v>
      </c>
      <c r="J1065" s="39">
        <v>3.0574686691596353E-2</v>
      </c>
      <c r="K1065" s="40">
        <f>ROUND(NORMINV(J1065,IO!$B$10,IO!$B$11),0)</f>
        <v>94</v>
      </c>
      <c r="L1065" s="40">
        <f>MIN(K1065,IO!$B$4+IO!$B$8)</f>
        <v>94</v>
      </c>
      <c r="M1065" s="40">
        <f>IF(L1065-I1065&gt;IO!$B$4,Model!L1065-Model!I1065-IO!$B$4,0)</f>
        <v>0</v>
      </c>
      <c r="N1065" s="41">
        <f>IO!$B$5*Model!L1065-IO!$B$6*Model!M1065</f>
        <v>3760</v>
      </c>
    </row>
    <row r="1066" spans="1:14" x14ac:dyDescent="0.35">
      <c r="A1066" s="30">
        <v>1065</v>
      </c>
      <c r="B1066" s="31">
        <v>1</v>
      </c>
      <c r="C1066" s="32">
        <f>(IO!$B$4+IO!$B$8)</f>
        <v>102</v>
      </c>
      <c r="D1066" s="32">
        <f>IF(B1066&gt;IO!$B$8,0,IO!$B$8-Model!B1066)</f>
        <v>1</v>
      </c>
      <c r="E1066" s="33">
        <f>IO!$B$5*C1066-IO!$B$6*D1066</f>
        <v>3980</v>
      </c>
      <c r="G1066" s="47">
        <v>1065</v>
      </c>
      <c r="H1066" s="38" t="s">
        <v>9</v>
      </c>
      <c r="I1066" s="38">
        <v>1</v>
      </c>
      <c r="J1066" s="39">
        <v>1.5216024434672182E-3</v>
      </c>
      <c r="K1066" s="40">
        <f>ROUND(NORMINV(J1066,IO!$B$10,IO!$B$11),0)</f>
        <v>88</v>
      </c>
      <c r="L1066" s="40">
        <f>MIN(K1066,IO!$B$4+IO!$B$8)</f>
        <v>88</v>
      </c>
      <c r="M1066" s="40">
        <f>IF(L1066-I1066&gt;IO!$B$4,Model!L1066-Model!I1066-IO!$B$4,0)</f>
        <v>0</v>
      </c>
      <c r="N1066" s="41">
        <f>IO!$B$5*Model!L1066-IO!$B$6*Model!M1066</f>
        <v>3520</v>
      </c>
    </row>
    <row r="1067" spans="1:14" x14ac:dyDescent="0.35">
      <c r="A1067" s="30">
        <v>1066</v>
      </c>
      <c r="B1067" s="31">
        <v>4</v>
      </c>
      <c r="C1067" s="32">
        <f>(IO!$B$4+IO!$B$8)</f>
        <v>102</v>
      </c>
      <c r="D1067" s="32">
        <f>IF(B1067&gt;IO!$B$8,0,IO!$B$8-Model!B1067)</f>
        <v>0</v>
      </c>
      <c r="E1067" s="33">
        <f>IO!$B$5*C1067-IO!$B$6*D1067</f>
        <v>4080</v>
      </c>
      <c r="G1067" s="47">
        <v>1066</v>
      </c>
      <c r="H1067" s="38" t="s">
        <v>7</v>
      </c>
      <c r="I1067" s="38">
        <v>4</v>
      </c>
      <c r="J1067" s="39">
        <v>0.82823741135684692</v>
      </c>
      <c r="K1067" s="40">
        <f>ROUND(NORMINV(J1067,IO!$B$10,IO!$B$11),0)</f>
        <v>108</v>
      </c>
      <c r="L1067" s="40">
        <f>MIN(K1067,IO!$B$4+IO!$B$8)</f>
        <v>102</v>
      </c>
      <c r="M1067" s="40">
        <f>IF(L1067-I1067&gt;IO!$B$4,Model!L1067-Model!I1067-IO!$B$4,0)</f>
        <v>0</v>
      </c>
      <c r="N1067" s="41">
        <f>IO!$B$5*Model!L1067-IO!$B$6*Model!M1067</f>
        <v>4080</v>
      </c>
    </row>
    <row r="1068" spans="1:14" x14ac:dyDescent="0.35">
      <c r="A1068" s="30">
        <v>1067</v>
      </c>
      <c r="B1068" s="31">
        <v>2</v>
      </c>
      <c r="C1068" s="32">
        <f>(IO!$B$4+IO!$B$8)</f>
        <v>102</v>
      </c>
      <c r="D1068" s="32">
        <f>IF(B1068&gt;IO!$B$8,0,IO!$B$8-Model!B1068)</f>
        <v>0</v>
      </c>
      <c r="E1068" s="33">
        <f>IO!$B$5*C1068-IO!$B$6*D1068</f>
        <v>4080</v>
      </c>
      <c r="G1068" s="47">
        <v>1067</v>
      </c>
      <c r="H1068" s="38" t="s">
        <v>8</v>
      </c>
      <c r="I1068" s="38">
        <v>2</v>
      </c>
      <c r="J1068" s="39">
        <v>0.51048668218617865</v>
      </c>
      <c r="K1068" s="40">
        <f>ROUND(NORMINV(J1068,IO!$B$10,IO!$B$11),0)</f>
        <v>103</v>
      </c>
      <c r="L1068" s="40">
        <f>MIN(K1068,IO!$B$4+IO!$B$8)</f>
        <v>102</v>
      </c>
      <c r="M1068" s="40">
        <f>IF(L1068-I1068&gt;IO!$B$4,Model!L1068-Model!I1068-IO!$B$4,0)</f>
        <v>0</v>
      </c>
      <c r="N1068" s="41">
        <f>IO!$B$5*Model!L1068-IO!$B$6*Model!M1068</f>
        <v>4080</v>
      </c>
    </row>
    <row r="1069" spans="1:14" x14ac:dyDescent="0.35">
      <c r="A1069" s="30">
        <v>1068</v>
      </c>
      <c r="B1069" s="31">
        <v>2</v>
      </c>
      <c r="C1069" s="32">
        <f>(IO!$B$4+IO!$B$8)</f>
        <v>102</v>
      </c>
      <c r="D1069" s="32">
        <f>IF(B1069&gt;IO!$B$8,0,IO!$B$8-Model!B1069)</f>
        <v>0</v>
      </c>
      <c r="E1069" s="33">
        <f>IO!$B$5*C1069-IO!$B$6*D1069</f>
        <v>4080</v>
      </c>
      <c r="G1069" s="47">
        <v>1068</v>
      </c>
      <c r="H1069" s="38" t="s">
        <v>9</v>
      </c>
      <c r="I1069" s="38">
        <v>2</v>
      </c>
      <c r="J1069" s="39">
        <v>0.74997128508197686</v>
      </c>
      <c r="K1069" s="40">
        <f>ROUND(NORMINV(J1069,IO!$B$10,IO!$B$11),0)</f>
        <v>106</v>
      </c>
      <c r="L1069" s="40">
        <f>MIN(K1069,IO!$B$4+IO!$B$8)</f>
        <v>102</v>
      </c>
      <c r="M1069" s="40">
        <f>IF(L1069-I1069&gt;IO!$B$4,Model!L1069-Model!I1069-IO!$B$4,0)</f>
        <v>0</v>
      </c>
      <c r="N1069" s="41">
        <f>IO!$B$5*Model!L1069-IO!$B$6*Model!M1069</f>
        <v>4080</v>
      </c>
    </row>
    <row r="1070" spans="1:14" x14ac:dyDescent="0.35">
      <c r="A1070" s="30">
        <v>1069</v>
      </c>
      <c r="B1070" s="31">
        <v>3</v>
      </c>
      <c r="C1070" s="32">
        <f>(IO!$B$4+IO!$B$8)</f>
        <v>102</v>
      </c>
      <c r="D1070" s="32">
        <f>IF(B1070&gt;IO!$B$8,0,IO!$B$8-Model!B1070)</f>
        <v>0</v>
      </c>
      <c r="E1070" s="33">
        <f>IO!$B$5*C1070-IO!$B$6*D1070</f>
        <v>4080</v>
      </c>
      <c r="G1070" s="47">
        <v>1069</v>
      </c>
      <c r="H1070" s="38" t="s">
        <v>7</v>
      </c>
      <c r="I1070" s="38">
        <v>3</v>
      </c>
      <c r="J1070" s="39">
        <v>0.6766755571330072</v>
      </c>
      <c r="K1070" s="40">
        <f>ROUND(NORMINV(J1070,IO!$B$10,IO!$B$11),0)</f>
        <v>105</v>
      </c>
      <c r="L1070" s="40">
        <f>MIN(K1070,IO!$B$4+IO!$B$8)</f>
        <v>102</v>
      </c>
      <c r="M1070" s="40">
        <f>IF(L1070-I1070&gt;IO!$B$4,Model!L1070-Model!I1070-IO!$B$4,0)</f>
        <v>0</v>
      </c>
      <c r="N1070" s="41">
        <f>IO!$B$5*Model!L1070-IO!$B$6*Model!M1070</f>
        <v>4080</v>
      </c>
    </row>
    <row r="1071" spans="1:14" x14ac:dyDescent="0.35">
      <c r="A1071" s="30">
        <v>1070</v>
      </c>
      <c r="B1071" s="31">
        <v>4</v>
      </c>
      <c r="C1071" s="32">
        <f>(IO!$B$4+IO!$B$8)</f>
        <v>102</v>
      </c>
      <c r="D1071" s="32">
        <f>IF(B1071&gt;IO!$B$8,0,IO!$B$8-Model!B1071)</f>
        <v>0</v>
      </c>
      <c r="E1071" s="33">
        <f>IO!$B$5*C1071-IO!$B$6*D1071</f>
        <v>4080</v>
      </c>
      <c r="G1071" s="47">
        <v>1070</v>
      </c>
      <c r="H1071" s="38" t="s">
        <v>8</v>
      </c>
      <c r="I1071" s="38">
        <v>4</v>
      </c>
      <c r="J1071" s="39">
        <v>0.58623507037858125</v>
      </c>
      <c r="K1071" s="40">
        <f>ROUND(NORMINV(J1071,IO!$B$10,IO!$B$11),0)</f>
        <v>104</v>
      </c>
      <c r="L1071" s="40">
        <f>MIN(K1071,IO!$B$4+IO!$B$8)</f>
        <v>102</v>
      </c>
      <c r="M1071" s="40">
        <f>IF(L1071-I1071&gt;IO!$B$4,Model!L1071-Model!I1071-IO!$B$4,0)</f>
        <v>0</v>
      </c>
      <c r="N1071" s="41">
        <f>IO!$B$5*Model!L1071-IO!$B$6*Model!M1071</f>
        <v>4080</v>
      </c>
    </row>
    <row r="1072" spans="1:14" x14ac:dyDescent="0.35">
      <c r="A1072" s="30">
        <v>1071</v>
      </c>
      <c r="B1072" s="31">
        <v>1</v>
      </c>
      <c r="C1072" s="32">
        <f>(IO!$B$4+IO!$B$8)</f>
        <v>102</v>
      </c>
      <c r="D1072" s="32">
        <f>IF(B1072&gt;IO!$B$8,0,IO!$B$8-Model!B1072)</f>
        <v>1</v>
      </c>
      <c r="E1072" s="33">
        <f>IO!$B$5*C1072-IO!$B$6*D1072</f>
        <v>3980</v>
      </c>
      <c r="G1072" s="47">
        <v>1071</v>
      </c>
      <c r="H1072" s="38" t="s">
        <v>9</v>
      </c>
      <c r="I1072" s="38">
        <v>1</v>
      </c>
      <c r="J1072" s="39">
        <v>0.74606409682409236</v>
      </c>
      <c r="K1072" s="40">
        <f>ROUND(NORMINV(J1072,IO!$B$10,IO!$B$11),0)</f>
        <v>106</v>
      </c>
      <c r="L1072" s="40">
        <f>MIN(K1072,IO!$B$4+IO!$B$8)</f>
        <v>102</v>
      </c>
      <c r="M1072" s="40">
        <f>IF(L1072-I1072&gt;IO!$B$4,Model!L1072-Model!I1072-IO!$B$4,0)</f>
        <v>1</v>
      </c>
      <c r="N1072" s="41">
        <f>IO!$B$5*Model!L1072-IO!$B$6*Model!M1072</f>
        <v>3980</v>
      </c>
    </row>
    <row r="1073" spans="1:14" x14ac:dyDescent="0.35">
      <c r="A1073" s="30">
        <v>1072</v>
      </c>
      <c r="B1073" s="31">
        <v>0</v>
      </c>
      <c r="C1073" s="32">
        <f>(IO!$B$4+IO!$B$8)</f>
        <v>102</v>
      </c>
      <c r="D1073" s="32">
        <f>IF(B1073&gt;IO!$B$8,0,IO!$B$8-Model!B1073)</f>
        <v>2</v>
      </c>
      <c r="E1073" s="33">
        <f>IO!$B$5*C1073-IO!$B$6*D1073</f>
        <v>3880</v>
      </c>
      <c r="G1073" s="47">
        <v>1072</v>
      </c>
      <c r="H1073" s="38" t="s">
        <v>7</v>
      </c>
      <c r="I1073" s="38">
        <v>0</v>
      </c>
      <c r="J1073" s="39">
        <v>0.66741477229909929</v>
      </c>
      <c r="K1073" s="40">
        <f>ROUND(NORMINV(J1073,IO!$B$10,IO!$B$11),0)</f>
        <v>105</v>
      </c>
      <c r="L1073" s="40">
        <f>MIN(K1073,IO!$B$4+IO!$B$8)</f>
        <v>102</v>
      </c>
      <c r="M1073" s="40">
        <f>IF(L1073-I1073&gt;IO!$B$4,Model!L1073-Model!I1073-IO!$B$4,0)</f>
        <v>2</v>
      </c>
      <c r="N1073" s="41">
        <f>IO!$B$5*Model!L1073-IO!$B$6*Model!M1073</f>
        <v>3880</v>
      </c>
    </row>
    <row r="1074" spans="1:14" x14ac:dyDescent="0.35">
      <c r="A1074" s="30">
        <v>1073</v>
      </c>
      <c r="B1074" s="31">
        <v>3</v>
      </c>
      <c r="C1074" s="32">
        <f>(IO!$B$4+IO!$B$8)</f>
        <v>102</v>
      </c>
      <c r="D1074" s="32">
        <f>IF(B1074&gt;IO!$B$8,0,IO!$B$8-Model!B1074)</f>
        <v>0</v>
      </c>
      <c r="E1074" s="33">
        <f>IO!$B$5*C1074-IO!$B$6*D1074</f>
        <v>4080</v>
      </c>
      <c r="G1074" s="47">
        <v>1073</v>
      </c>
      <c r="H1074" s="38" t="s">
        <v>8</v>
      </c>
      <c r="I1074" s="38">
        <v>3</v>
      </c>
      <c r="J1074" s="39">
        <v>0.39811705757162763</v>
      </c>
      <c r="K1074" s="40">
        <f>ROUND(NORMINV(J1074,IO!$B$10,IO!$B$11),0)</f>
        <v>102</v>
      </c>
      <c r="L1074" s="40">
        <f>MIN(K1074,IO!$B$4+IO!$B$8)</f>
        <v>102</v>
      </c>
      <c r="M1074" s="40">
        <f>IF(L1074-I1074&gt;IO!$B$4,Model!L1074-Model!I1074-IO!$B$4,0)</f>
        <v>0</v>
      </c>
      <c r="N1074" s="41">
        <f>IO!$B$5*Model!L1074-IO!$B$6*Model!M1074</f>
        <v>4080</v>
      </c>
    </row>
    <row r="1075" spans="1:14" x14ac:dyDescent="0.35">
      <c r="A1075" s="30">
        <v>1074</v>
      </c>
      <c r="B1075" s="31">
        <v>0</v>
      </c>
      <c r="C1075" s="32">
        <f>(IO!$B$4+IO!$B$8)</f>
        <v>102</v>
      </c>
      <c r="D1075" s="32">
        <f>IF(B1075&gt;IO!$B$8,0,IO!$B$8-Model!B1075)</f>
        <v>2</v>
      </c>
      <c r="E1075" s="33">
        <f>IO!$B$5*C1075-IO!$B$6*D1075</f>
        <v>3880</v>
      </c>
      <c r="G1075" s="47">
        <v>1074</v>
      </c>
      <c r="H1075" s="38" t="s">
        <v>9</v>
      </c>
      <c r="I1075" s="38">
        <v>0</v>
      </c>
      <c r="J1075" s="39">
        <v>0.90386619600372009</v>
      </c>
      <c r="K1075" s="40">
        <f>ROUND(NORMINV(J1075,IO!$B$10,IO!$B$11),0)</f>
        <v>110</v>
      </c>
      <c r="L1075" s="40">
        <f>MIN(K1075,IO!$B$4+IO!$B$8)</f>
        <v>102</v>
      </c>
      <c r="M1075" s="40">
        <f>IF(L1075-I1075&gt;IO!$B$4,Model!L1075-Model!I1075-IO!$B$4,0)</f>
        <v>2</v>
      </c>
      <c r="N1075" s="41">
        <f>IO!$B$5*Model!L1075-IO!$B$6*Model!M1075</f>
        <v>3880</v>
      </c>
    </row>
    <row r="1076" spans="1:14" x14ac:dyDescent="0.35">
      <c r="A1076" s="30">
        <v>1075</v>
      </c>
      <c r="B1076" s="31">
        <v>4</v>
      </c>
      <c r="C1076" s="32">
        <f>(IO!$B$4+IO!$B$8)</f>
        <v>102</v>
      </c>
      <c r="D1076" s="32">
        <f>IF(B1076&gt;IO!$B$8,0,IO!$B$8-Model!B1076)</f>
        <v>0</v>
      </c>
      <c r="E1076" s="33">
        <f>IO!$B$5*C1076-IO!$B$6*D1076</f>
        <v>4080</v>
      </c>
      <c r="G1076" s="47">
        <v>1075</v>
      </c>
      <c r="H1076" s="38" t="s">
        <v>7</v>
      </c>
      <c r="I1076" s="38">
        <v>4</v>
      </c>
      <c r="J1076" s="39">
        <v>0.48770473145000659</v>
      </c>
      <c r="K1076" s="40">
        <f>ROUND(NORMINV(J1076,IO!$B$10,IO!$B$11),0)</f>
        <v>103</v>
      </c>
      <c r="L1076" s="40">
        <f>MIN(K1076,IO!$B$4+IO!$B$8)</f>
        <v>102</v>
      </c>
      <c r="M1076" s="40">
        <f>IF(L1076-I1076&gt;IO!$B$4,Model!L1076-Model!I1076-IO!$B$4,0)</f>
        <v>0</v>
      </c>
      <c r="N1076" s="41">
        <f>IO!$B$5*Model!L1076-IO!$B$6*Model!M1076</f>
        <v>4080</v>
      </c>
    </row>
    <row r="1077" spans="1:14" x14ac:dyDescent="0.35">
      <c r="A1077" s="30">
        <v>1076</v>
      </c>
      <c r="B1077" s="31">
        <v>2</v>
      </c>
      <c r="C1077" s="32">
        <f>(IO!$B$4+IO!$B$8)</f>
        <v>102</v>
      </c>
      <c r="D1077" s="32">
        <f>IF(B1077&gt;IO!$B$8,0,IO!$B$8-Model!B1077)</f>
        <v>0</v>
      </c>
      <c r="E1077" s="33">
        <f>IO!$B$5*C1077-IO!$B$6*D1077</f>
        <v>4080</v>
      </c>
      <c r="G1077" s="47">
        <v>1076</v>
      </c>
      <c r="H1077" s="38" t="s">
        <v>8</v>
      </c>
      <c r="I1077" s="38">
        <v>2</v>
      </c>
      <c r="J1077" s="39">
        <v>0.5103018467185505</v>
      </c>
      <c r="K1077" s="40">
        <f>ROUND(NORMINV(J1077,IO!$B$10,IO!$B$11),0)</f>
        <v>103</v>
      </c>
      <c r="L1077" s="40">
        <f>MIN(K1077,IO!$B$4+IO!$B$8)</f>
        <v>102</v>
      </c>
      <c r="M1077" s="40">
        <f>IF(L1077-I1077&gt;IO!$B$4,Model!L1077-Model!I1077-IO!$B$4,0)</f>
        <v>0</v>
      </c>
      <c r="N1077" s="41">
        <f>IO!$B$5*Model!L1077-IO!$B$6*Model!M1077</f>
        <v>4080</v>
      </c>
    </row>
    <row r="1078" spans="1:14" x14ac:dyDescent="0.35">
      <c r="A1078" s="30">
        <v>1077</v>
      </c>
      <c r="B1078" s="31">
        <v>0</v>
      </c>
      <c r="C1078" s="32">
        <f>(IO!$B$4+IO!$B$8)</f>
        <v>102</v>
      </c>
      <c r="D1078" s="32">
        <f>IF(B1078&gt;IO!$B$8,0,IO!$B$8-Model!B1078)</f>
        <v>2</v>
      </c>
      <c r="E1078" s="33">
        <f>IO!$B$5*C1078-IO!$B$6*D1078</f>
        <v>3880</v>
      </c>
      <c r="G1078" s="47">
        <v>1077</v>
      </c>
      <c r="H1078" s="38" t="s">
        <v>9</v>
      </c>
      <c r="I1078" s="38">
        <v>0</v>
      </c>
      <c r="J1078" s="39">
        <v>0.53314150501599289</v>
      </c>
      <c r="K1078" s="40">
        <f>ROUND(NORMINV(J1078,IO!$B$10,IO!$B$11),0)</f>
        <v>103</v>
      </c>
      <c r="L1078" s="40">
        <f>MIN(K1078,IO!$B$4+IO!$B$8)</f>
        <v>102</v>
      </c>
      <c r="M1078" s="40">
        <f>IF(L1078-I1078&gt;IO!$B$4,Model!L1078-Model!I1078-IO!$B$4,0)</f>
        <v>2</v>
      </c>
      <c r="N1078" s="41">
        <f>IO!$B$5*Model!L1078-IO!$B$6*Model!M1078</f>
        <v>3880</v>
      </c>
    </row>
    <row r="1079" spans="1:14" x14ac:dyDescent="0.35">
      <c r="A1079" s="30">
        <v>1078</v>
      </c>
      <c r="B1079" s="31">
        <v>2</v>
      </c>
      <c r="C1079" s="32">
        <f>(IO!$B$4+IO!$B$8)</f>
        <v>102</v>
      </c>
      <c r="D1079" s="32">
        <f>IF(B1079&gt;IO!$B$8,0,IO!$B$8-Model!B1079)</f>
        <v>0</v>
      </c>
      <c r="E1079" s="33">
        <f>IO!$B$5*C1079-IO!$B$6*D1079</f>
        <v>4080</v>
      </c>
      <c r="G1079" s="47">
        <v>1078</v>
      </c>
      <c r="H1079" s="38" t="s">
        <v>7</v>
      </c>
      <c r="I1079" s="38">
        <v>2</v>
      </c>
      <c r="J1079" s="39">
        <v>0.24386215990137561</v>
      </c>
      <c r="K1079" s="40">
        <f>ROUND(NORMINV(J1079,IO!$B$10,IO!$B$11),0)</f>
        <v>100</v>
      </c>
      <c r="L1079" s="40">
        <f>MIN(K1079,IO!$B$4+IO!$B$8)</f>
        <v>100</v>
      </c>
      <c r="M1079" s="40">
        <f>IF(L1079-I1079&gt;IO!$B$4,Model!L1079-Model!I1079-IO!$B$4,0)</f>
        <v>0</v>
      </c>
      <c r="N1079" s="41">
        <f>IO!$B$5*Model!L1079-IO!$B$6*Model!M1079</f>
        <v>4000</v>
      </c>
    </row>
    <row r="1080" spans="1:14" x14ac:dyDescent="0.35">
      <c r="A1080" s="30">
        <v>1079</v>
      </c>
      <c r="B1080" s="31">
        <v>5</v>
      </c>
      <c r="C1080" s="32">
        <f>(IO!$B$4+IO!$B$8)</f>
        <v>102</v>
      </c>
      <c r="D1080" s="32">
        <f>IF(B1080&gt;IO!$B$8,0,IO!$B$8-Model!B1080)</f>
        <v>0</v>
      </c>
      <c r="E1080" s="33">
        <f>IO!$B$5*C1080-IO!$B$6*D1080</f>
        <v>4080</v>
      </c>
      <c r="G1080" s="47">
        <v>1079</v>
      </c>
      <c r="H1080" s="38" t="s">
        <v>8</v>
      </c>
      <c r="I1080" s="38">
        <v>5</v>
      </c>
      <c r="J1080" s="39">
        <v>0.35996670916043472</v>
      </c>
      <c r="K1080" s="40">
        <f>ROUND(NORMINV(J1080,IO!$B$10,IO!$B$11),0)</f>
        <v>101</v>
      </c>
      <c r="L1080" s="40">
        <f>MIN(K1080,IO!$B$4+IO!$B$8)</f>
        <v>101</v>
      </c>
      <c r="M1080" s="40">
        <f>IF(L1080-I1080&gt;IO!$B$4,Model!L1080-Model!I1080-IO!$B$4,0)</f>
        <v>0</v>
      </c>
      <c r="N1080" s="41">
        <f>IO!$B$5*Model!L1080-IO!$B$6*Model!M1080</f>
        <v>4040</v>
      </c>
    </row>
    <row r="1081" spans="1:14" x14ac:dyDescent="0.35">
      <c r="A1081" s="30">
        <v>1080</v>
      </c>
      <c r="B1081" s="31">
        <v>0</v>
      </c>
      <c r="C1081" s="32">
        <f>(IO!$B$4+IO!$B$8)</f>
        <v>102</v>
      </c>
      <c r="D1081" s="32">
        <f>IF(B1081&gt;IO!$B$8,0,IO!$B$8-Model!B1081)</f>
        <v>2</v>
      </c>
      <c r="E1081" s="33">
        <f>IO!$B$5*C1081-IO!$B$6*D1081</f>
        <v>3880</v>
      </c>
      <c r="G1081" s="47">
        <v>1080</v>
      </c>
      <c r="H1081" s="38" t="s">
        <v>9</v>
      </c>
      <c r="I1081" s="38">
        <v>0</v>
      </c>
      <c r="J1081" s="39">
        <v>0.769074268313651</v>
      </c>
      <c r="K1081" s="40">
        <f>ROUND(NORMINV(J1081,IO!$B$10,IO!$B$11),0)</f>
        <v>107</v>
      </c>
      <c r="L1081" s="40">
        <f>MIN(K1081,IO!$B$4+IO!$B$8)</f>
        <v>102</v>
      </c>
      <c r="M1081" s="40">
        <f>IF(L1081-I1081&gt;IO!$B$4,Model!L1081-Model!I1081-IO!$B$4,0)</f>
        <v>2</v>
      </c>
      <c r="N1081" s="41">
        <f>IO!$B$5*Model!L1081-IO!$B$6*Model!M1081</f>
        <v>3880</v>
      </c>
    </row>
    <row r="1082" spans="1:14" x14ac:dyDescent="0.35">
      <c r="A1082" s="30">
        <v>1081</v>
      </c>
      <c r="B1082" s="31">
        <v>2</v>
      </c>
      <c r="C1082" s="32">
        <f>(IO!$B$4+IO!$B$8)</f>
        <v>102</v>
      </c>
      <c r="D1082" s="32">
        <f>IF(B1082&gt;IO!$B$8,0,IO!$B$8-Model!B1082)</f>
        <v>0</v>
      </c>
      <c r="E1082" s="33">
        <f>IO!$B$5*C1082-IO!$B$6*D1082</f>
        <v>4080</v>
      </c>
      <c r="G1082" s="47">
        <v>1081</v>
      </c>
      <c r="H1082" s="38" t="s">
        <v>7</v>
      </c>
      <c r="I1082" s="38">
        <v>2</v>
      </c>
      <c r="J1082" s="39">
        <v>0.61761316042713321</v>
      </c>
      <c r="K1082" s="40">
        <f>ROUND(NORMINV(J1082,IO!$B$10,IO!$B$11),0)</f>
        <v>104</v>
      </c>
      <c r="L1082" s="40">
        <f>MIN(K1082,IO!$B$4+IO!$B$8)</f>
        <v>102</v>
      </c>
      <c r="M1082" s="40">
        <f>IF(L1082-I1082&gt;IO!$B$4,Model!L1082-Model!I1082-IO!$B$4,0)</f>
        <v>0</v>
      </c>
      <c r="N1082" s="41">
        <f>IO!$B$5*Model!L1082-IO!$B$6*Model!M1082</f>
        <v>4080</v>
      </c>
    </row>
    <row r="1083" spans="1:14" x14ac:dyDescent="0.35">
      <c r="A1083" s="30">
        <v>1082</v>
      </c>
      <c r="B1083" s="31">
        <v>4</v>
      </c>
      <c r="C1083" s="32">
        <f>(IO!$B$4+IO!$B$8)</f>
        <v>102</v>
      </c>
      <c r="D1083" s="32">
        <f>IF(B1083&gt;IO!$B$8,0,IO!$B$8-Model!B1083)</f>
        <v>0</v>
      </c>
      <c r="E1083" s="33">
        <f>IO!$B$5*C1083-IO!$B$6*D1083</f>
        <v>4080</v>
      </c>
      <c r="G1083" s="47">
        <v>1082</v>
      </c>
      <c r="H1083" s="38" t="s">
        <v>8</v>
      </c>
      <c r="I1083" s="38">
        <v>4</v>
      </c>
      <c r="J1083" s="39">
        <v>0.6777109429038306</v>
      </c>
      <c r="K1083" s="40">
        <f>ROUND(NORMINV(J1083,IO!$B$10,IO!$B$11),0)</f>
        <v>105</v>
      </c>
      <c r="L1083" s="40">
        <f>MIN(K1083,IO!$B$4+IO!$B$8)</f>
        <v>102</v>
      </c>
      <c r="M1083" s="40">
        <f>IF(L1083-I1083&gt;IO!$B$4,Model!L1083-Model!I1083-IO!$B$4,0)</f>
        <v>0</v>
      </c>
      <c r="N1083" s="41">
        <f>IO!$B$5*Model!L1083-IO!$B$6*Model!M1083</f>
        <v>4080</v>
      </c>
    </row>
    <row r="1084" spans="1:14" x14ac:dyDescent="0.35">
      <c r="A1084" s="30">
        <v>1083</v>
      </c>
      <c r="B1084" s="31">
        <v>2</v>
      </c>
      <c r="C1084" s="32">
        <f>(IO!$B$4+IO!$B$8)</f>
        <v>102</v>
      </c>
      <c r="D1084" s="32">
        <f>IF(B1084&gt;IO!$B$8,0,IO!$B$8-Model!B1084)</f>
        <v>0</v>
      </c>
      <c r="E1084" s="33">
        <f>IO!$B$5*C1084-IO!$B$6*D1084</f>
        <v>4080</v>
      </c>
      <c r="G1084" s="47">
        <v>1083</v>
      </c>
      <c r="H1084" s="38" t="s">
        <v>9</v>
      </c>
      <c r="I1084" s="38">
        <v>2</v>
      </c>
      <c r="J1084" s="39">
        <v>0.68113369882746999</v>
      </c>
      <c r="K1084" s="40">
        <f>ROUND(NORMINV(J1084,IO!$B$10,IO!$B$11),0)</f>
        <v>105</v>
      </c>
      <c r="L1084" s="40">
        <f>MIN(K1084,IO!$B$4+IO!$B$8)</f>
        <v>102</v>
      </c>
      <c r="M1084" s="40">
        <f>IF(L1084-I1084&gt;IO!$B$4,Model!L1084-Model!I1084-IO!$B$4,0)</f>
        <v>0</v>
      </c>
      <c r="N1084" s="41">
        <f>IO!$B$5*Model!L1084-IO!$B$6*Model!M1084</f>
        <v>4080</v>
      </c>
    </row>
    <row r="1085" spans="1:14" x14ac:dyDescent="0.35">
      <c r="A1085" s="30">
        <v>1084</v>
      </c>
      <c r="B1085" s="31">
        <v>2</v>
      </c>
      <c r="C1085" s="32">
        <f>(IO!$B$4+IO!$B$8)</f>
        <v>102</v>
      </c>
      <c r="D1085" s="32">
        <f>IF(B1085&gt;IO!$B$8,0,IO!$B$8-Model!B1085)</f>
        <v>0</v>
      </c>
      <c r="E1085" s="33">
        <f>IO!$B$5*C1085-IO!$B$6*D1085</f>
        <v>4080</v>
      </c>
      <c r="G1085" s="47">
        <v>1084</v>
      </c>
      <c r="H1085" s="38" t="s">
        <v>7</v>
      </c>
      <c r="I1085" s="38">
        <v>2</v>
      </c>
      <c r="J1085" s="39">
        <v>6.1380917564961557E-3</v>
      </c>
      <c r="K1085" s="40">
        <f>ROUND(NORMINV(J1085,IO!$B$10,IO!$B$11),0)</f>
        <v>90</v>
      </c>
      <c r="L1085" s="40">
        <f>MIN(K1085,IO!$B$4+IO!$B$8)</f>
        <v>90</v>
      </c>
      <c r="M1085" s="40">
        <f>IF(L1085-I1085&gt;IO!$B$4,Model!L1085-Model!I1085-IO!$B$4,0)</f>
        <v>0</v>
      </c>
      <c r="N1085" s="41">
        <f>IO!$B$5*Model!L1085-IO!$B$6*Model!M1085</f>
        <v>3600</v>
      </c>
    </row>
    <row r="1086" spans="1:14" x14ac:dyDescent="0.35">
      <c r="A1086" s="30">
        <v>1085</v>
      </c>
      <c r="B1086" s="31">
        <v>4</v>
      </c>
      <c r="C1086" s="32">
        <f>(IO!$B$4+IO!$B$8)</f>
        <v>102</v>
      </c>
      <c r="D1086" s="32">
        <f>IF(B1086&gt;IO!$B$8,0,IO!$B$8-Model!B1086)</f>
        <v>0</v>
      </c>
      <c r="E1086" s="33">
        <f>IO!$B$5*C1086-IO!$B$6*D1086</f>
        <v>4080</v>
      </c>
      <c r="G1086" s="47">
        <v>1085</v>
      </c>
      <c r="H1086" s="38" t="s">
        <v>8</v>
      </c>
      <c r="I1086" s="38">
        <v>4</v>
      </c>
      <c r="J1086" s="39">
        <v>2.3026408640330676E-2</v>
      </c>
      <c r="K1086" s="40">
        <f>ROUND(NORMINV(J1086,IO!$B$10,IO!$B$11),0)</f>
        <v>93</v>
      </c>
      <c r="L1086" s="40">
        <f>MIN(K1086,IO!$B$4+IO!$B$8)</f>
        <v>93</v>
      </c>
      <c r="M1086" s="40">
        <f>IF(L1086-I1086&gt;IO!$B$4,Model!L1086-Model!I1086-IO!$B$4,0)</f>
        <v>0</v>
      </c>
      <c r="N1086" s="41">
        <f>IO!$B$5*Model!L1086-IO!$B$6*Model!M1086</f>
        <v>3720</v>
      </c>
    </row>
    <row r="1087" spans="1:14" x14ac:dyDescent="0.35">
      <c r="A1087" s="30">
        <v>1086</v>
      </c>
      <c r="B1087" s="31">
        <v>0</v>
      </c>
      <c r="C1087" s="32">
        <f>(IO!$B$4+IO!$B$8)</f>
        <v>102</v>
      </c>
      <c r="D1087" s="32">
        <f>IF(B1087&gt;IO!$B$8,0,IO!$B$8-Model!B1087)</f>
        <v>2</v>
      </c>
      <c r="E1087" s="33">
        <f>IO!$B$5*C1087-IO!$B$6*D1087</f>
        <v>3880</v>
      </c>
      <c r="G1087" s="47">
        <v>1086</v>
      </c>
      <c r="H1087" s="38" t="s">
        <v>9</v>
      </c>
      <c r="I1087" s="38">
        <v>0</v>
      </c>
      <c r="J1087" s="39">
        <v>0.75995190256925216</v>
      </c>
      <c r="K1087" s="40">
        <f>ROUND(NORMINV(J1087,IO!$B$10,IO!$B$11),0)</f>
        <v>107</v>
      </c>
      <c r="L1087" s="40">
        <f>MIN(K1087,IO!$B$4+IO!$B$8)</f>
        <v>102</v>
      </c>
      <c r="M1087" s="40">
        <f>IF(L1087-I1087&gt;IO!$B$4,Model!L1087-Model!I1087-IO!$B$4,0)</f>
        <v>2</v>
      </c>
      <c r="N1087" s="41">
        <f>IO!$B$5*Model!L1087-IO!$B$6*Model!M1087</f>
        <v>3880</v>
      </c>
    </row>
    <row r="1088" spans="1:14" x14ac:dyDescent="0.35">
      <c r="A1088" s="30">
        <v>1087</v>
      </c>
      <c r="B1088" s="31">
        <v>2</v>
      </c>
      <c r="C1088" s="32">
        <f>(IO!$B$4+IO!$B$8)</f>
        <v>102</v>
      </c>
      <c r="D1088" s="32">
        <f>IF(B1088&gt;IO!$B$8,0,IO!$B$8-Model!B1088)</f>
        <v>0</v>
      </c>
      <c r="E1088" s="33">
        <f>IO!$B$5*C1088-IO!$B$6*D1088</f>
        <v>4080</v>
      </c>
      <c r="G1088" s="47">
        <v>1087</v>
      </c>
      <c r="H1088" s="38" t="s">
        <v>7</v>
      </c>
      <c r="I1088" s="38">
        <v>2</v>
      </c>
      <c r="J1088" s="39">
        <v>0.68896200972109001</v>
      </c>
      <c r="K1088" s="40">
        <f>ROUND(NORMINV(J1088,IO!$B$10,IO!$B$11),0)</f>
        <v>105</v>
      </c>
      <c r="L1088" s="40">
        <f>MIN(K1088,IO!$B$4+IO!$B$8)</f>
        <v>102</v>
      </c>
      <c r="M1088" s="40">
        <f>IF(L1088-I1088&gt;IO!$B$4,Model!L1088-Model!I1088-IO!$B$4,0)</f>
        <v>0</v>
      </c>
      <c r="N1088" s="41">
        <f>IO!$B$5*Model!L1088-IO!$B$6*Model!M1088</f>
        <v>4080</v>
      </c>
    </row>
    <row r="1089" spans="1:14" x14ac:dyDescent="0.35">
      <c r="A1089" s="30">
        <v>1088</v>
      </c>
      <c r="B1089" s="31">
        <v>0</v>
      </c>
      <c r="C1089" s="32">
        <f>(IO!$B$4+IO!$B$8)</f>
        <v>102</v>
      </c>
      <c r="D1089" s="32">
        <f>IF(B1089&gt;IO!$B$8,0,IO!$B$8-Model!B1089)</f>
        <v>2</v>
      </c>
      <c r="E1089" s="33">
        <f>IO!$B$5*C1089-IO!$B$6*D1089</f>
        <v>3880</v>
      </c>
      <c r="G1089" s="47">
        <v>1088</v>
      </c>
      <c r="H1089" s="38" t="s">
        <v>8</v>
      </c>
      <c r="I1089" s="38">
        <v>0</v>
      </c>
      <c r="J1089" s="39">
        <v>0.12268099371122798</v>
      </c>
      <c r="K1089" s="40">
        <f>ROUND(NORMINV(J1089,IO!$B$10,IO!$B$11),0)</f>
        <v>97</v>
      </c>
      <c r="L1089" s="40">
        <f>MIN(K1089,IO!$B$4+IO!$B$8)</f>
        <v>97</v>
      </c>
      <c r="M1089" s="40">
        <f>IF(L1089-I1089&gt;IO!$B$4,Model!L1089-Model!I1089-IO!$B$4,0)</f>
        <v>0</v>
      </c>
      <c r="N1089" s="41">
        <f>IO!$B$5*Model!L1089-IO!$B$6*Model!M1089</f>
        <v>3880</v>
      </c>
    </row>
    <row r="1090" spans="1:14" x14ac:dyDescent="0.35">
      <c r="A1090" s="30">
        <v>1089</v>
      </c>
      <c r="B1090" s="31">
        <v>0</v>
      </c>
      <c r="C1090" s="32">
        <f>(IO!$B$4+IO!$B$8)</f>
        <v>102</v>
      </c>
      <c r="D1090" s="32">
        <f>IF(B1090&gt;IO!$B$8,0,IO!$B$8-Model!B1090)</f>
        <v>2</v>
      </c>
      <c r="E1090" s="33">
        <f>IO!$B$5*C1090-IO!$B$6*D1090</f>
        <v>3880</v>
      </c>
      <c r="G1090" s="47">
        <v>1089</v>
      </c>
      <c r="H1090" s="38" t="s">
        <v>9</v>
      </c>
      <c r="I1090" s="38">
        <v>0</v>
      </c>
      <c r="J1090" s="39">
        <v>0.70368633767770505</v>
      </c>
      <c r="K1090" s="40">
        <f>ROUND(NORMINV(J1090,IO!$B$10,IO!$B$11),0)</f>
        <v>106</v>
      </c>
      <c r="L1090" s="40">
        <f>MIN(K1090,IO!$B$4+IO!$B$8)</f>
        <v>102</v>
      </c>
      <c r="M1090" s="40">
        <f>IF(L1090-I1090&gt;IO!$B$4,Model!L1090-Model!I1090-IO!$B$4,0)</f>
        <v>2</v>
      </c>
      <c r="N1090" s="41">
        <f>IO!$B$5*Model!L1090-IO!$B$6*Model!M1090</f>
        <v>3880</v>
      </c>
    </row>
    <row r="1091" spans="1:14" x14ac:dyDescent="0.35">
      <c r="A1091" s="30">
        <v>1090</v>
      </c>
      <c r="B1091" s="31">
        <v>6</v>
      </c>
      <c r="C1091" s="32">
        <f>(IO!$B$4+IO!$B$8)</f>
        <v>102</v>
      </c>
      <c r="D1091" s="32">
        <f>IF(B1091&gt;IO!$B$8,0,IO!$B$8-Model!B1091)</f>
        <v>0</v>
      </c>
      <c r="E1091" s="33">
        <f>IO!$B$5*C1091-IO!$B$6*D1091</f>
        <v>4080</v>
      </c>
      <c r="G1091" s="47">
        <v>1090</v>
      </c>
      <c r="H1091" s="38" t="s">
        <v>7</v>
      </c>
      <c r="I1091" s="38">
        <v>6</v>
      </c>
      <c r="J1091" s="39">
        <v>0.62328015718227447</v>
      </c>
      <c r="K1091" s="40">
        <f>ROUND(NORMINV(J1091,IO!$B$10,IO!$B$11),0)</f>
        <v>105</v>
      </c>
      <c r="L1091" s="40">
        <f>MIN(K1091,IO!$B$4+IO!$B$8)</f>
        <v>102</v>
      </c>
      <c r="M1091" s="40">
        <f>IF(L1091-I1091&gt;IO!$B$4,Model!L1091-Model!I1091-IO!$B$4,0)</f>
        <v>0</v>
      </c>
      <c r="N1091" s="41">
        <f>IO!$B$5*Model!L1091-IO!$B$6*Model!M1091</f>
        <v>4080</v>
      </c>
    </row>
    <row r="1092" spans="1:14" x14ac:dyDescent="0.35">
      <c r="A1092" s="30">
        <v>1091</v>
      </c>
      <c r="B1092" s="31">
        <v>5</v>
      </c>
      <c r="C1092" s="32">
        <f>(IO!$B$4+IO!$B$8)</f>
        <v>102</v>
      </c>
      <c r="D1092" s="32">
        <f>IF(B1092&gt;IO!$B$8,0,IO!$B$8-Model!B1092)</f>
        <v>0</v>
      </c>
      <c r="E1092" s="33">
        <f>IO!$B$5*C1092-IO!$B$6*D1092</f>
        <v>4080</v>
      </c>
      <c r="G1092" s="47">
        <v>1091</v>
      </c>
      <c r="H1092" s="38" t="s">
        <v>8</v>
      </c>
      <c r="I1092" s="38">
        <v>5</v>
      </c>
      <c r="J1092" s="39">
        <v>0.9879784945225849</v>
      </c>
      <c r="K1092" s="40">
        <f>ROUND(NORMINV(J1092,IO!$B$10,IO!$B$11),0)</f>
        <v>114</v>
      </c>
      <c r="L1092" s="40">
        <f>MIN(K1092,IO!$B$4+IO!$B$8)</f>
        <v>102</v>
      </c>
      <c r="M1092" s="40">
        <f>IF(L1092-I1092&gt;IO!$B$4,Model!L1092-Model!I1092-IO!$B$4,0)</f>
        <v>0</v>
      </c>
      <c r="N1092" s="41">
        <f>IO!$B$5*Model!L1092-IO!$B$6*Model!M1092</f>
        <v>4080</v>
      </c>
    </row>
    <row r="1093" spans="1:14" x14ac:dyDescent="0.35">
      <c r="A1093" s="34">
        <v>1092</v>
      </c>
      <c r="B1093" s="35">
        <v>2</v>
      </c>
      <c r="C1093" s="36">
        <f>(IO!$B$4+IO!$B$8)</f>
        <v>102</v>
      </c>
      <c r="D1093" s="36">
        <f>IF(B1093&gt;IO!$B$8,0,IO!$B$8-Model!B1093)</f>
        <v>0</v>
      </c>
      <c r="E1093" s="37">
        <f>IO!$B$5*C1093-IO!$B$6*D1093</f>
        <v>4080</v>
      </c>
      <c r="G1093" s="48">
        <v>1092</v>
      </c>
      <c r="H1093" s="42" t="s">
        <v>9</v>
      </c>
      <c r="I1093" s="42">
        <v>2</v>
      </c>
      <c r="J1093" s="43">
        <v>0.10606261917727078</v>
      </c>
      <c r="K1093" s="44">
        <f>ROUND(NORMINV(J1093,IO!$B$10,IO!$B$11),0)</f>
        <v>97</v>
      </c>
      <c r="L1093" s="44">
        <f>MIN(K1093,IO!$B$4+IO!$B$8)</f>
        <v>97</v>
      </c>
      <c r="M1093" s="44">
        <f>IF(L1093-I1093&gt;IO!$B$4,Model!L1093-Model!I1093-IO!$B$4,0)</f>
        <v>0</v>
      </c>
      <c r="N1093" s="45">
        <f>IO!$B$5*Model!L1093-IO!$B$6*Model!M1093</f>
        <v>3880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J1001"/>
  <sheetViews>
    <sheetView workbookViewId="0">
      <selection activeCell="B1" sqref="B1"/>
    </sheetView>
  </sheetViews>
  <sheetFormatPr defaultColWidth="14.453125" defaultRowHeight="15" customHeight="1" x14ac:dyDescent="0.35"/>
  <cols>
    <col min="1" max="1" width="33.26953125" customWidth="1"/>
  </cols>
  <sheetData>
    <row r="1" spans="1:10" ht="14.5" x14ac:dyDescent="0.35">
      <c r="A1" s="12"/>
      <c r="B1" s="17"/>
      <c r="C1" s="13"/>
    </row>
    <row r="2" spans="1:10" ht="15" customHeight="1" x14ac:dyDescent="0.35">
      <c r="A2" s="50" t="s">
        <v>72</v>
      </c>
      <c r="B2" s="51"/>
      <c r="C2" s="13"/>
      <c r="D2" s="49" t="s">
        <v>38</v>
      </c>
      <c r="E2" s="49"/>
      <c r="F2" s="49"/>
      <c r="G2" s="49"/>
      <c r="H2" s="49"/>
      <c r="I2" s="49"/>
      <c r="J2" s="49"/>
    </row>
    <row r="3" spans="1:10" ht="14.5" x14ac:dyDescent="0.35">
      <c r="A3" s="52" t="s">
        <v>39</v>
      </c>
      <c r="B3" s="53"/>
      <c r="C3" s="13"/>
      <c r="D3" s="67" t="s">
        <v>40</v>
      </c>
      <c r="E3" s="68"/>
      <c r="G3" s="69"/>
      <c r="H3" s="28" t="s">
        <v>67</v>
      </c>
      <c r="I3" s="29" t="s">
        <v>68</v>
      </c>
    </row>
    <row r="4" spans="1:10" ht="15.5" x14ac:dyDescent="0.35">
      <c r="A4" s="97" t="s">
        <v>41</v>
      </c>
      <c r="B4" s="54">
        <v>100</v>
      </c>
      <c r="C4" s="13"/>
      <c r="D4" s="63"/>
      <c r="E4" s="64" t="s">
        <v>37</v>
      </c>
      <c r="G4" s="70">
        <v>0.45833333333333331</v>
      </c>
      <c r="H4" s="40">
        <v>101</v>
      </c>
      <c r="I4" s="65">
        <v>6</v>
      </c>
    </row>
    <row r="5" spans="1:10" ht="14.5" x14ac:dyDescent="0.35">
      <c r="A5" s="97" t="s">
        <v>42</v>
      </c>
      <c r="B5" s="33">
        <v>40</v>
      </c>
      <c r="C5" s="13"/>
      <c r="D5" s="99" t="s">
        <v>43</v>
      </c>
      <c r="E5" s="72">
        <f>AVERAGE(Model!E2:E1093)</f>
        <v>4023.3150183150183</v>
      </c>
      <c r="G5" s="70">
        <v>0.625</v>
      </c>
      <c r="H5" s="40">
        <v>103</v>
      </c>
      <c r="I5" s="65">
        <v>5</v>
      </c>
    </row>
    <row r="6" spans="1:10" ht="14.5" x14ac:dyDescent="0.35">
      <c r="A6" s="97" t="s">
        <v>44</v>
      </c>
      <c r="B6" s="33">
        <v>100</v>
      </c>
      <c r="C6" s="13"/>
      <c r="D6" s="99" t="s">
        <v>45</v>
      </c>
      <c r="E6" s="73">
        <f>STDEV(Model!E2:E1093)</f>
        <v>76.717724137200889</v>
      </c>
      <c r="G6" s="71">
        <v>0.79166666666666663</v>
      </c>
      <c r="H6" s="44">
        <v>105</v>
      </c>
      <c r="I6" s="66">
        <v>5</v>
      </c>
    </row>
    <row r="7" spans="1:10" ht="14.5" x14ac:dyDescent="0.35">
      <c r="A7" s="52" t="s">
        <v>46</v>
      </c>
      <c r="B7" s="53"/>
      <c r="C7" s="13"/>
      <c r="D7" s="99" t="s">
        <v>47</v>
      </c>
      <c r="E7" s="72">
        <f>MAX(Model!E2:E1093)</f>
        <v>4080</v>
      </c>
      <c r="G7" s="18"/>
    </row>
    <row r="8" spans="1:10" ht="14.5" x14ac:dyDescent="0.35">
      <c r="A8" s="97" t="s">
        <v>48</v>
      </c>
      <c r="B8" s="54">
        <v>2</v>
      </c>
      <c r="C8" s="13"/>
      <c r="D8" s="100" t="s">
        <v>49</v>
      </c>
      <c r="E8" s="74">
        <f>MIN(Model!E2:E1093)</f>
        <v>3880</v>
      </c>
    </row>
    <row r="9" spans="1:10" ht="14.5" x14ac:dyDescent="0.35">
      <c r="A9" s="52" t="s">
        <v>50</v>
      </c>
      <c r="B9" s="53"/>
      <c r="C9" s="13"/>
    </row>
    <row r="10" spans="1:10" ht="14.5" x14ac:dyDescent="0.35">
      <c r="A10" s="97" t="s">
        <v>51</v>
      </c>
      <c r="B10" s="54">
        <v>103</v>
      </c>
      <c r="C10" s="13"/>
    </row>
    <row r="11" spans="1:10" ht="15" customHeight="1" x14ac:dyDescent="0.35">
      <c r="A11" s="98" t="s">
        <v>52</v>
      </c>
      <c r="B11" s="55">
        <v>5</v>
      </c>
      <c r="C11" s="13"/>
      <c r="D11" s="101" t="s">
        <v>53</v>
      </c>
      <c r="E11" s="84" t="s">
        <v>54</v>
      </c>
      <c r="F11" s="84"/>
      <c r="G11" s="84"/>
      <c r="H11" s="84"/>
      <c r="I11" s="84"/>
      <c r="J11" s="85"/>
    </row>
    <row r="12" spans="1:10" ht="14.5" x14ac:dyDescent="0.35">
      <c r="C12" s="13"/>
      <c r="D12" s="104">
        <f>E5</f>
        <v>4023.3150183150183</v>
      </c>
      <c r="E12" s="93">
        <v>0</v>
      </c>
      <c r="F12" s="93">
        <v>1</v>
      </c>
      <c r="G12" s="93">
        <v>2</v>
      </c>
      <c r="H12" s="93">
        <v>3</v>
      </c>
      <c r="I12" s="93">
        <v>4</v>
      </c>
      <c r="J12" s="94">
        <v>5</v>
      </c>
    </row>
    <row r="13" spans="1:10" ht="14.5" x14ac:dyDescent="0.35">
      <c r="A13" s="14"/>
      <c r="B13" s="15"/>
      <c r="C13" s="13"/>
      <c r="D13" s="103">
        <v>100</v>
      </c>
      <c r="E13" s="86">
        <f t="dataTable" ref="E13:J13" dt2D="1" dtr="1" r1="B8" r2="B6"/>
        <v>4000</v>
      </c>
      <c r="F13" s="87">
        <v>4022.8754578754579</v>
      </c>
      <c r="G13" s="87">
        <v>4023.3150183150183</v>
      </c>
      <c r="H13" s="87">
        <v>4002.3260073260071</v>
      </c>
      <c r="I13" s="87">
        <v>3965.3113553113553</v>
      </c>
      <c r="J13" s="45">
        <v>3917.5824175824177</v>
      </c>
    </row>
    <row r="14" spans="1:10" ht="14.5" x14ac:dyDescent="0.35">
      <c r="A14" s="61" t="s">
        <v>55</v>
      </c>
      <c r="B14" s="62"/>
      <c r="C14" s="13"/>
    </row>
    <row r="15" spans="1:10" ht="15" customHeight="1" x14ac:dyDescent="0.45">
      <c r="A15" s="56" t="s">
        <v>56</v>
      </c>
      <c r="B15" s="57" t="s">
        <v>57</v>
      </c>
      <c r="C15" s="13"/>
      <c r="D15" s="88"/>
      <c r="E15" s="89"/>
      <c r="F15" s="89"/>
      <c r="G15" s="89"/>
      <c r="H15" s="89"/>
      <c r="I15" s="89"/>
      <c r="J15" s="89"/>
    </row>
    <row r="16" spans="1:10" ht="19.5" x14ac:dyDescent="0.45">
      <c r="A16" s="58">
        <f>FData!F17</f>
        <v>0</v>
      </c>
      <c r="B16" s="54">
        <v>0</v>
      </c>
      <c r="C16" s="13"/>
      <c r="D16" s="105" t="s">
        <v>73</v>
      </c>
      <c r="E16" s="106"/>
      <c r="F16" s="106"/>
      <c r="G16" s="106"/>
      <c r="H16" s="106"/>
      <c r="I16" s="106"/>
      <c r="J16" s="107"/>
    </row>
    <row r="17" spans="1:10" ht="15.5" x14ac:dyDescent="0.35">
      <c r="A17" s="59">
        <f>FData!E31</f>
        <v>0.11428571428571428</v>
      </c>
      <c r="B17" s="54">
        <v>1</v>
      </c>
      <c r="C17" s="13"/>
      <c r="D17" s="108"/>
      <c r="E17" s="102" t="s">
        <v>58</v>
      </c>
      <c r="F17" s="91" t="s">
        <v>59</v>
      </c>
      <c r="G17" s="91"/>
      <c r="H17" s="91"/>
      <c r="I17" s="91"/>
      <c r="J17" s="109"/>
    </row>
    <row r="18" spans="1:10" ht="15.5" x14ac:dyDescent="0.35">
      <c r="A18" s="59">
        <f>FData!E32</f>
        <v>0.34285714285714286</v>
      </c>
      <c r="B18" s="54">
        <v>2</v>
      </c>
      <c r="C18" s="13"/>
      <c r="D18" s="110" t="s">
        <v>60</v>
      </c>
      <c r="E18" s="95">
        <f>E5</f>
        <v>4023.3150183150183</v>
      </c>
      <c r="F18" s="92">
        <v>1</v>
      </c>
      <c r="G18" s="92">
        <v>2</v>
      </c>
      <c r="H18" s="92">
        <v>3</v>
      </c>
      <c r="I18" s="92">
        <v>4</v>
      </c>
      <c r="J18" s="111">
        <v>5</v>
      </c>
    </row>
    <row r="19" spans="1:10" ht="14.5" x14ac:dyDescent="0.35">
      <c r="A19" s="59">
        <f>FData!E33</f>
        <v>0.53333333333333333</v>
      </c>
      <c r="B19" s="54">
        <v>3</v>
      </c>
      <c r="C19" s="13"/>
      <c r="D19" s="112" t="s">
        <v>61</v>
      </c>
      <c r="E19" s="96">
        <v>25</v>
      </c>
      <c r="F19" s="90">
        <f t="dataTable" ref="F19:J20" dt2D="1" dtr="1" r1="B8" r2="B6" ca="1"/>
        <v>4035.7188644688645</v>
      </c>
      <c r="G19" s="90">
        <v>4065.8287545787548</v>
      </c>
      <c r="H19" s="90">
        <v>4090.581501831502</v>
      </c>
      <c r="I19" s="90">
        <v>4111.3278388278386</v>
      </c>
      <c r="J19" s="113">
        <v>4129.3956043956041</v>
      </c>
    </row>
    <row r="20" spans="1:10" ht="14.5" x14ac:dyDescent="0.35">
      <c r="A20" s="59">
        <f>FData!E34</f>
        <v>0.71746031746031746</v>
      </c>
      <c r="B20" s="54">
        <v>4</v>
      </c>
      <c r="C20" s="13"/>
      <c r="D20" s="114" t="s">
        <v>74</v>
      </c>
      <c r="E20" s="115">
        <v>200</v>
      </c>
      <c r="F20" s="116">
        <v>4005.7509157509157</v>
      </c>
      <c r="G20" s="116">
        <v>3966.6300366300366</v>
      </c>
      <c r="H20" s="116">
        <v>3884.6520146520147</v>
      </c>
      <c r="I20" s="116">
        <v>3770.6227106227107</v>
      </c>
      <c r="J20" s="117">
        <v>3635.164835164835</v>
      </c>
    </row>
    <row r="21" spans="1:10" ht="14.5" x14ac:dyDescent="0.35">
      <c r="A21" s="59">
        <f>FData!E35</f>
        <v>0.86031746031746037</v>
      </c>
      <c r="B21" s="54">
        <v>5</v>
      </c>
      <c r="C21" s="13"/>
      <c r="D21" s="11"/>
      <c r="E21" s="16"/>
    </row>
    <row r="22" spans="1:10" ht="19.5" x14ac:dyDescent="0.45">
      <c r="A22" s="59">
        <f>FData!E36</f>
        <v>0.93333333333333335</v>
      </c>
      <c r="B22" s="54">
        <v>6</v>
      </c>
      <c r="C22" s="13"/>
      <c r="D22" s="75"/>
      <c r="E22" s="76"/>
      <c r="F22" s="76"/>
      <c r="G22" s="76"/>
      <c r="H22" s="76"/>
      <c r="I22" s="76"/>
      <c r="J22" s="76"/>
    </row>
    <row r="23" spans="1:10" ht="14.5" x14ac:dyDescent="0.35">
      <c r="A23" s="59">
        <f>FData!E37</f>
        <v>0.97142857142857142</v>
      </c>
      <c r="B23" s="54">
        <v>7</v>
      </c>
      <c r="C23" s="13"/>
      <c r="D23" s="40"/>
      <c r="E23" s="40"/>
      <c r="F23" s="77"/>
      <c r="G23" s="78"/>
      <c r="H23" s="79"/>
      <c r="I23" s="77"/>
      <c r="J23" s="77"/>
    </row>
    <row r="24" spans="1:10" ht="14.5" x14ac:dyDescent="0.35">
      <c r="A24" s="60">
        <f>FData!E38</f>
        <v>0.98730158730158735</v>
      </c>
      <c r="B24" s="55">
        <v>8</v>
      </c>
      <c r="C24" s="13"/>
      <c r="D24" s="40"/>
      <c r="E24" s="40"/>
      <c r="F24" s="80"/>
      <c r="G24" s="81"/>
      <c r="H24" s="81"/>
      <c r="I24" s="81"/>
      <c r="J24" s="81"/>
    </row>
    <row r="25" spans="1:10" ht="14.5" x14ac:dyDescent="0.35">
      <c r="C25" s="13"/>
      <c r="D25" s="40"/>
      <c r="E25" s="77"/>
      <c r="F25" s="80"/>
      <c r="G25" s="82"/>
      <c r="H25" s="82"/>
      <c r="I25" s="82"/>
      <c r="J25" s="82"/>
    </row>
    <row r="26" spans="1:10" ht="14.5" x14ac:dyDescent="0.35">
      <c r="C26" s="13"/>
      <c r="D26" s="40"/>
      <c r="E26" s="83"/>
      <c r="F26" s="82"/>
      <c r="G26" s="82"/>
      <c r="H26" s="82"/>
      <c r="I26" s="82"/>
      <c r="J26" s="82"/>
    </row>
    <row r="27" spans="1:10" ht="14.5" x14ac:dyDescent="0.35">
      <c r="C27" s="13"/>
    </row>
    <row r="28" spans="1:10" ht="14.5" x14ac:dyDescent="0.35">
      <c r="C28" s="13"/>
    </row>
    <row r="29" spans="1:10" ht="14.5" x14ac:dyDescent="0.35">
      <c r="C29" s="13"/>
    </row>
    <row r="30" spans="1:10" ht="14.5" x14ac:dyDescent="0.35">
      <c r="C30" s="13"/>
    </row>
    <row r="31" spans="1:10" ht="14.5" x14ac:dyDescent="0.35">
      <c r="C31" s="13"/>
    </row>
    <row r="32" spans="1:10" ht="14.5" x14ac:dyDescent="0.35">
      <c r="C32" s="13"/>
    </row>
    <row r="33" spans="3:3" ht="14.5" x14ac:dyDescent="0.35">
      <c r="C33" s="13"/>
    </row>
    <row r="34" spans="3:3" ht="14.5" x14ac:dyDescent="0.35">
      <c r="C34" s="13"/>
    </row>
    <row r="35" spans="3:3" ht="14.5" x14ac:dyDescent="0.35">
      <c r="C35" s="13"/>
    </row>
    <row r="36" spans="3:3" ht="14.5" x14ac:dyDescent="0.35">
      <c r="C36" s="13"/>
    </row>
    <row r="37" spans="3:3" ht="14.5" x14ac:dyDescent="0.35">
      <c r="C37" s="13"/>
    </row>
    <row r="38" spans="3:3" ht="14.5" x14ac:dyDescent="0.35">
      <c r="C38" s="13"/>
    </row>
    <row r="39" spans="3:3" ht="14.5" x14ac:dyDescent="0.35">
      <c r="C39" s="13"/>
    </row>
    <row r="40" spans="3:3" ht="14.5" x14ac:dyDescent="0.35">
      <c r="C40" s="13"/>
    </row>
    <row r="41" spans="3:3" ht="14.5" x14ac:dyDescent="0.35">
      <c r="C41" s="13"/>
    </row>
    <row r="42" spans="3:3" ht="14.5" x14ac:dyDescent="0.35">
      <c r="C42" s="13"/>
    </row>
    <row r="43" spans="3:3" ht="14.5" x14ac:dyDescent="0.35">
      <c r="C43" s="13"/>
    </row>
    <row r="44" spans="3:3" ht="14.5" x14ac:dyDescent="0.35">
      <c r="C44" s="13"/>
    </row>
    <row r="45" spans="3:3" ht="14.5" x14ac:dyDescent="0.35">
      <c r="C45" s="13"/>
    </row>
    <row r="46" spans="3:3" ht="14.5" x14ac:dyDescent="0.35">
      <c r="C46" s="13"/>
    </row>
    <row r="47" spans="3:3" ht="14.5" x14ac:dyDescent="0.35">
      <c r="C47" s="13"/>
    </row>
    <row r="48" spans="3:3" ht="14.5" x14ac:dyDescent="0.35">
      <c r="C48" s="13"/>
    </row>
    <row r="49" spans="3:3" ht="14.5" x14ac:dyDescent="0.35">
      <c r="C49" s="13"/>
    </row>
    <row r="50" spans="3:3" ht="14.5" x14ac:dyDescent="0.35">
      <c r="C50" s="13"/>
    </row>
    <row r="51" spans="3:3" ht="14.5" x14ac:dyDescent="0.35">
      <c r="C51" s="13"/>
    </row>
    <row r="52" spans="3:3" ht="14.5" x14ac:dyDescent="0.35">
      <c r="C52" s="13"/>
    </row>
    <row r="53" spans="3:3" ht="14.5" x14ac:dyDescent="0.35">
      <c r="C53" s="13"/>
    </row>
    <row r="54" spans="3:3" ht="14.5" x14ac:dyDescent="0.35">
      <c r="C54" s="13"/>
    </row>
    <row r="55" spans="3:3" ht="14.5" x14ac:dyDescent="0.35">
      <c r="C55" s="13"/>
    </row>
    <row r="56" spans="3:3" ht="14.5" x14ac:dyDescent="0.35">
      <c r="C56" s="13"/>
    </row>
    <row r="57" spans="3:3" ht="14.5" x14ac:dyDescent="0.35">
      <c r="C57" s="13"/>
    </row>
    <row r="58" spans="3:3" ht="14.5" x14ac:dyDescent="0.35">
      <c r="C58" s="13"/>
    </row>
    <row r="59" spans="3:3" ht="14.5" x14ac:dyDescent="0.35">
      <c r="C59" s="13"/>
    </row>
    <row r="60" spans="3:3" ht="14.5" x14ac:dyDescent="0.35">
      <c r="C60" s="13"/>
    </row>
    <row r="61" spans="3:3" ht="14.5" x14ac:dyDescent="0.35">
      <c r="C61" s="13"/>
    </row>
    <row r="62" spans="3:3" ht="14.5" x14ac:dyDescent="0.35">
      <c r="C62" s="13"/>
    </row>
    <row r="63" spans="3:3" ht="14.5" x14ac:dyDescent="0.35">
      <c r="C63" s="13"/>
    </row>
    <row r="64" spans="3:3" ht="14.5" x14ac:dyDescent="0.35">
      <c r="C64" s="13"/>
    </row>
    <row r="65" spans="3:3" ht="14.5" x14ac:dyDescent="0.35">
      <c r="C65" s="13"/>
    </row>
    <row r="66" spans="3:3" ht="14.5" x14ac:dyDescent="0.35">
      <c r="C66" s="13"/>
    </row>
    <row r="67" spans="3:3" ht="14.5" x14ac:dyDescent="0.35">
      <c r="C67" s="13"/>
    </row>
    <row r="68" spans="3:3" ht="14.5" x14ac:dyDescent="0.35">
      <c r="C68" s="13"/>
    </row>
    <row r="69" spans="3:3" ht="14.5" x14ac:dyDescent="0.35">
      <c r="C69" s="13"/>
    </row>
    <row r="70" spans="3:3" ht="14.5" x14ac:dyDescent="0.35">
      <c r="C70" s="13"/>
    </row>
    <row r="71" spans="3:3" ht="14.5" x14ac:dyDescent="0.35">
      <c r="C71" s="13"/>
    </row>
    <row r="72" spans="3:3" ht="14.5" x14ac:dyDescent="0.35">
      <c r="C72" s="13"/>
    </row>
    <row r="73" spans="3:3" ht="14.5" x14ac:dyDescent="0.35">
      <c r="C73" s="13"/>
    </row>
    <row r="74" spans="3:3" ht="14.5" x14ac:dyDescent="0.35">
      <c r="C74" s="13"/>
    </row>
    <row r="75" spans="3:3" ht="14.5" x14ac:dyDescent="0.35">
      <c r="C75" s="13"/>
    </row>
    <row r="76" spans="3:3" ht="14.5" x14ac:dyDescent="0.35">
      <c r="C76" s="13"/>
    </row>
    <row r="77" spans="3:3" ht="14.5" x14ac:dyDescent="0.35">
      <c r="C77" s="13"/>
    </row>
    <row r="78" spans="3:3" ht="14.5" x14ac:dyDescent="0.35">
      <c r="C78" s="13"/>
    </row>
    <row r="79" spans="3:3" ht="14.5" x14ac:dyDescent="0.35">
      <c r="C79" s="13"/>
    </row>
    <row r="80" spans="3:3" ht="14.5" x14ac:dyDescent="0.35">
      <c r="C80" s="13"/>
    </row>
    <row r="81" spans="3:3" ht="14.5" x14ac:dyDescent="0.35">
      <c r="C81" s="13"/>
    </row>
    <row r="82" spans="3:3" ht="14.5" x14ac:dyDescent="0.35">
      <c r="C82" s="13"/>
    </row>
    <row r="83" spans="3:3" ht="14.5" x14ac:dyDescent="0.35">
      <c r="C83" s="13"/>
    </row>
    <row r="84" spans="3:3" ht="14.5" x14ac:dyDescent="0.35">
      <c r="C84" s="13"/>
    </row>
    <row r="85" spans="3:3" ht="14.5" x14ac:dyDescent="0.35">
      <c r="C85" s="13"/>
    </row>
    <row r="86" spans="3:3" ht="14.5" x14ac:dyDescent="0.35">
      <c r="C86" s="13"/>
    </row>
    <row r="87" spans="3:3" ht="14.5" x14ac:dyDescent="0.35">
      <c r="C87" s="13"/>
    </row>
    <row r="88" spans="3:3" ht="14.5" x14ac:dyDescent="0.35">
      <c r="C88" s="13"/>
    </row>
    <row r="89" spans="3:3" ht="14.5" x14ac:dyDescent="0.35">
      <c r="C89" s="13"/>
    </row>
    <row r="90" spans="3:3" ht="14.5" x14ac:dyDescent="0.35">
      <c r="C90" s="13"/>
    </row>
    <row r="91" spans="3:3" ht="14.5" x14ac:dyDescent="0.35">
      <c r="C91" s="13"/>
    </row>
    <row r="92" spans="3:3" ht="14.5" x14ac:dyDescent="0.35">
      <c r="C92" s="13"/>
    </row>
    <row r="93" spans="3:3" ht="14.5" x14ac:dyDescent="0.35">
      <c r="C93" s="13"/>
    </row>
    <row r="94" spans="3:3" ht="14.5" x14ac:dyDescent="0.35">
      <c r="C94" s="13"/>
    </row>
    <row r="95" spans="3:3" ht="14.5" x14ac:dyDescent="0.35">
      <c r="C95" s="13"/>
    </row>
    <row r="96" spans="3:3" ht="14.5" x14ac:dyDescent="0.35">
      <c r="C96" s="13"/>
    </row>
    <row r="97" spans="3:3" ht="14.5" x14ac:dyDescent="0.35">
      <c r="C97" s="13"/>
    </row>
    <row r="98" spans="3:3" ht="14.5" x14ac:dyDescent="0.35">
      <c r="C98" s="13"/>
    </row>
    <row r="99" spans="3:3" ht="14.5" x14ac:dyDescent="0.35">
      <c r="C99" s="13"/>
    </row>
    <row r="100" spans="3:3" ht="14.5" x14ac:dyDescent="0.35">
      <c r="C100" s="13"/>
    </row>
    <row r="101" spans="3:3" ht="14.5" x14ac:dyDescent="0.35">
      <c r="C101" s="13"/>
    </row>
    <row r="102" spans="3:3" ht="14.5" x14ac:dyDescent="0.35">
      <c r="C102" s="13"/>
    </row>
    <row r="103" spans="3:3" ht="14.5" x14ac:dyDescent="0.35">
      <c r="C103" s="13"/>
    </row>
    <row r="104" spans="3:3" ht="14.5" x14ac:dyDescent="0.35">
      <c r="C104" s="13"/>
    </row>
    <row r="105" spans="3:3" ht="14.5" x14ac:dyDescent="0.35">
      <c r="C105" s="13"/>
    </row>
    <row r="106" spans="3:3" ht="14.5" x14ac:dyDescent="0.35">
      <c r="C106" s="13"/>
    </row>
    <row r="107" spans="3:3" ht="14.5" x14ac:dyDescent="0.35">
      <c r="C107" s="13"/>
    </row>
    <row r="108" spans="3:3" ht="14.5" x14ac:dyDescent="0.35">
      <c r="C108" s="13"/>
    </row>
    <row r="109" spans="3:3" ht="14.5" x14ac:dyDescent="0.35">
      <c r="C109" s="13"/>
    </row>
    <row r="110" spans="3:3" ht="14.5" x14ac:dyDescent="0.35">
      <c r="C110" s="13"/>
    </row>
    <row r="111" spans="3:3" ht="14.5" x14ac:dyDescent="0.35">
      <c r="C111" s="13"/>
    </row>
    <row r="112" spans="3:3" ht="14.5" x14ac:dyDescent="0.35">
      <c r="C112" s="13"/>
    </row>
    <row r="113" spans="3:3" ht="14.5" x14ac:dyDescent="0.35">
      <c r="C113" s="13"/>
    </row>
    <row r="114" spans="3:3" ht="14.5" x14ac:dyDescent="0.35">
      <c r="C114" s="13"/>
    </row>
    <row r="115" spans="3:3" ht="14.5" x14ac:dyDescent="0.35">
      <c r="C115" s="13"/>
    </row>
    <row r="116" spans="3:3" ht="14.5" x14ac:dyDescent="0.35">
      <c r="C116" s="13"/>
    </row>
    <row r="117" spans="3:3" ht="14.5" x14ac:dyDescent="0.35">
      <c r="C117" s="13"/>
    </row>
    <row r="118" spans="3:3" ht="14.5" x14ac:dyDescent="0.35">
      <c r="C118" s="13"/>
    </row>
    <row r="119" spans="3:3" ht="14.5" x14ac:dyDescent="0.35">
      <c r="C119" s="13"/>
    </row>
    <row r="120" spans="3:3" ht="14.5" x14ac:dyDescent="0.35">
      <c r="C120" s="13"/>
    </row>
    <row r="121" spans="3:3" ht="14.5" x14ac:dyDescent="0.35">
      <c r="C121" s="13"/>
    </row>
    <row r="122" spans="3:3" ht="14.5" x14ac:dyDescent="0.35">
      <c r="C122" s="13"/>
    </row>
    <row r="123" spans="3:3" ht="14.5" x14ac:dyDescent="0.35">
      <c r="C123" s="13"/>
    </row>
    <row r="124" spans="3:3" ht="14.5" x14ac:dyDescent="0.35">
      <c r="C124" s="13"/>
    </row>
    <row r="125" spans="3:3" ht="14.5" x14ac:dyDescent="0.35">
      <c r="C125" s="13"/>
    </row>
    <row r="126" spans="3:3" ht="14.5" x14ac:dyDescent="0.35">
      <c r="C126" s="13"/>
    </row>
    <row r="127" spans="3:3" ht="14.5" x14ac:dyDescent="0.35">
      <c r="C127" s="13"/>
    </row>
    <row r="128" spans="3:3" ht="14.5" x14ac:dyDescent="0.35">
      <c r="C128" s="13"/>
    </row>
    <row r="129" spans="3:3" ht="14.5" x14ac:dyDescent="0.35">
      <c r="C129" s="13"/>
    </row>
    <row r="130" spans="3:3" ht="14.5" x14ac:dyDescent="0.35">
      <c r="C130" s="13"/>
    </row>
    <row r="131" spans="3:3" ht="14.5" x14ac:dyDescent="0.35">
      <c r="C131" s="13"/>
    </row>
    <row r="132" spans="3:3" ht="14.5" x14ac:dyDescent="0.35">
      <c r="C132" s="13"/>
    </row>
    <row r="133" spans="3:3" ht="14.5" x14ac:dyDescent="0.35">
      <c r="C133" s="13"/>
    </row>
    <row r="134" spans="3:3" ht="14.5" x14ac:dyDescent="0.35">
      <c r="C134" s="13"/>
    </row>
    <row r="135" spans="3:3" ht="14.5" x14ac:dyDescent="0.35">
      <c r="C135" s="13"/>
    </row>
    <row r="136" spans="3:3" ht="14.5" x14ac:dyDescent="0.35">
      <c r="C136" s="13"/>
    </row>
    <row r="137" spans="3:3" ht="14.5" x14ac:dyDescent="0.35">
      <c r="C137" s="13"/>
    </row>
    <row r="138" spans="3:3" ht="14.5" x14ac:dyDescent="0.35">
      <c r="C138" s="13"/>
    </row>
    <row r="139" spans="3:3" ht="14.5" x14ac:dyDescent="0.35">
      <c r="C139" s="13"/>
    </row>
    <row r="140" spans="3:3" ht="14.5" x14ac:dyDescent="0.35">
      <c r="C140" s="13"/>
    </row>
    <row r="141" spans="3:3" ht="14.5" x14ac:dyDescent="0.35">
      <c r="C141" s="13"/>
    </row>
    <row r="142" spans="3:3" ht="14.5" x14ac:dyDescent="0.35">
      <c r="C142" s="13"/>
    </row>
    <row r="143" spans="3:3" ht="14.5" x14ac:dyDescent="0.35">
      <c r="C143" s="13"/>
    </row>
    <row r="144" spans="3:3" ht="14.5" x14ac:dyDescent="0.35">
      <c r="C144" s="13"/>
    </row>
    <row r="145" spans="3:3" ht="14.5" x14ac:dyDescent="0.35">
      <c r="C145" s="13"/>
    </row>
    <row r="146" spans="3:3" ht="14.5" x14ac:dyDescent="0.35">
      <c r="C146" s="13"/>
    </row>
    <row r="147" spans="3:3" ht="14.5" x14ac:dyDescent="0.35">
      <c r="C147" s="13"/>
    </row>
    <row r="148" spans="3:3" ht="14.5" x14ac:dyDescent="0.35">
      <c r="C148" s="13"/>
    </row>
    <row r="149" spans="3:3" ht="14.5" x14ac:dyDescent="0.35">
      <c r="C149" s="13"/>
    </row>
    <row r="150" spans="3:3" ht="14.5" x14ac:dyDescent="0.35">
      <c r="C150" s="13"/>
    </row>
    <row r="151" spans="3:3" ht="14.5" x14ac:dyDescent="0.35">
      <c r="C151" s="13"/>
    </row>
    <row r="152" spans="3:3" ht="14.5" x14ac:dyDescent="0.35">
      <c r="C152" s="13"/>
    </row>
    <row r="153" spans="3:3" ht="14.5" x14ac:dyDescent="0.35">
      <c r="C153" s="13"/>
    </row>
    <row r="154" spans="3:3" ht="14.5" x14ac:dyDescent="0.35">
      <c r="C154" s="13"/>
    </row>
    <row r="155" spans="3:3" ht="14.5" x14ac:dyDescent="0.35">
      <c r="C155" s="13"/>
    </row>
    <row r="156" spans="3:3" ht="14.5" x14ac:dyDescent="0.35">
      <c r="C156" s="13"/>
    </row>
    <row r="157" spans="3:3" ht="14.5" x14ac:dyDescent="0.35">
      <c r="C157" s="13"/>
    </row>
    <row r="158" spans="3:3" ht="14.5" x14ac:dyDescent="0.35">
      <c r="C158" s="13"/>
    </row>
    <row r="159" spans="3:3" ht="14.5" x14ac:dyDescent="0.35">
      <c r="C159" s="13"/>
    </row>
    <row r="160" spans="3:3" ht="14.5" x14ac:dyDescent="0.35">
      <c r="C160" s="13"/>
    </row>
    <row r="161" spans="3:3" ht="14.5" x14ac:dyDescent="0.35">
      <c r="C161" s="13"/>
    </row>
    <row r="162" spans="3:3" ht="14.5" x14ac:dyDescent="0.35">
      <c r="C162" s="13"/>
    </row>
    <row r="163" spans="3:3" ht="14.5" x14ac:dyDescent="0.35">
      <c r="C163" s="13"/>
    </row>
    <row r="164" spans="3:3" ht="14.5" x14ac:dyDescent="0.35">
      <c r="C164" s="13"/>
    </row>
    <row r="165" spans="3:3" ht="14.5" x14ac:dyDescent="0.35">
      <c r="C165" s="13"/>
    </row>
    <row r="166" spans="3:3" ht="14.5" x14ac:dyDescent="0.35">
      <c r="C166" s="13"/>
    </row>
    <row r="167" spans="3:3" ht="14.5" x14ac:dyDescent="0.35">
      <c r="C167" s="13"/>
    </row>
    <row r="168" spans="3:3" ht="14.5" x14ac:dyDescent="0.35">
      <c r="C168" s="13"/>
    </row>
    <row r="169" spans="3:3" ht="14.5" x14ac:dyDescent="0.35">
      <c r="C169" s="13"/>
    </row>
    <row r="170" spans="3:3" ht="14.5" x14ac:dyDescent="0.35">
      <c r="C170" s="13"/>
    </row>
    <row r="171" spans="3:3" ht="14.5" x14ac:dyDescent="0.35">
      <c r="C171" s="13"/>
    </row>
    <row r="172" spans="3:3" ht="14.5" x14ac:dyDescent="0.35">
      <c r="C172" s="13"/>
    </row>
    <row r="173" spans="3:3" ht="14.5" x14ac:dyDescent="0.35">
      <c r="C173" s="13"/>
    </row>
    <row r="174" spans="3:3" ht="14.5" x14ac:dyDescent="0.35">
      <c r="C174" s="13"/>
    </row>
    <row r="175" spans="3:3" ht="14.5" x14ac:dyDescent="0.35">
      <c r="C175" s="13"/>
    </row>
    <row r="176" spans="3:3" ht="14.5" x14ac:dyDescent="0.35">
      <c r="C176" s="13"/>
    </row>
    <row r="177" spans="3:3" ht="14.5" x14ac:dyDescent="0.35">
      <c r="C177" s="13"/>
    </row>
    <row r="178" spans="3:3" ht="14.5" x14ac:dyDescent="0.35">
      <c r="C178" s="13"/>
    </row>
    <row r="179" spans="3:3" ht="14.5" x14ac:dyDescent="0.35">
      <c r="C179" s="13"/>
    </row>
    <row r="180" spans="3:3" ht="14.5" x14ac:dyDescent="0.35">
      <c r="C180" s="13"/>
    </row>
    <row r="181" spans="3:3" ht="14.5" x14ac:dyDescent="0.35">
      <c r="C181" s="13"/>
    </row>
    <row r="182" spans="3:3" ht="14.5" x14ac:dyDescent="0.35">
      <c r="C182" s="13"/>
    </row>
    <row r="183" spans="3:3" ht="14.5" x14ac:dyDescent="0.35">
      <c r="C183" s="13"/>
    </row>
    <row r="184" spans="3:3" ht="14.5" x14ac:dyDescent="0.35">
      <c r="C184" s="13"/>
    </row>
    <row r="185" spans="3:3" ht="14.5" x14ac:dyDescent="0.35">
      <c r="C185" s="13"/>
    </row>
    <row r="186" spans="3:3" ht="14.5" x14ac:dyDescent="0.35">
      <c r="C186" s="13"/>
    </row>
    <row r="187" spans="3:3" ht="14.5" x14ac:dyDescent="0.35">
      <c r="C187" s="13"/>
    </row>
    <row r="188" spans="3:3" ht="14.5" x14ac:dyDescent="0.35">
      <c r="C188" s="13"/>
    </row>
    <row r="189" spans="3:3" ht="14.5" x14ac:dyDescent="0.35">
      <c r="C189" s="13"/>
    </row>
    <row r="190" spans="3:3" ht="14.5" x14ac:dyDescent="0.35">
      <c r="C190" s="13"/>
    </row>
    <row r="191" spans="3:3" ht="14.5" x14ac:dyDescent="0.35">
      <c r="C191" s="13"/>
    </row>
    <row r="192" spans="3:3" ht="14.5" x14ac:dyDescent="0.35">
      <c r="C192" s="13"/>
    </row>
    <row r="193" spans="3:3" ht="14.5" x14ac:dyDescent="0.35">
      <c r="C193" s="13"/>
    </row>
    <row r="194" spans="3:3" ht="14.5" x14ac:dyDescent="0.35">
      <c r="C194" s="13"/>
    </row>
    <row r="195" spans="3:3" ht="14.5" x14ac:dyDescent="0.35">
      <c r="C195" s="13"/>
    </row>
    <row r="196" spans="3:3" ht="14.5" x14ac:dyDescent="0.35">
      <c r="C196" s="13"/>
    </row>
    <row r="197" spans="3:3" ht="14.5" x14ac:dyDescent="0.35">
      <c r="C197" s="13"/>
    </row>
    <row r="198" spans="3:3" ht="14.5" x14ac:dyDescent="0.35">
      <c r="C198" s="13"/>
    </row>
    <row r="199" spans="3:3" ht="14.5" x14ac:dyDescent="0.35">
      <c r="C199" s="13"/>
    </row>
    <row r="200" spans="3:3" ht="14.5" x14ac:dyDescent="0.35">
      <c r="C200" s="13"/>
    </row>
    <row r="201" spans="3:3" ht="14.5" x14ac:dyDescent="0.35">
      <c r="C201" s="13"/>
    </row>
    <row r="202" spans="3:3" ht="14.5" x14ac:dyDescent="0.35">
      <c r="C202" s="13"/>
    </row>
    <row r="203" spans="3:3" ht="14.5" x14ac:dyDescent="0.35">
      <c r="C203" s="13"/>
    </row>
    <row r="204" spans="3:3" ht="14.5" x14ac:dyDescent="0.35">
      <c r="C204" s="13"/>
    </row>
    <row r="205" spans="3:3" ht="14.5" x14ac:dyDescent="0.35">
      <c r="C205" s="13"/>
    </row>
    <row r="206" spans="3:3" ht="14.5" x14ac:dyDescent="0.35">
      <c r="C206" s="13"/>
    </row>
    <row r="207" spans="3:3" ht="14.5" x14ac:dyDescent="0.35">
      <c r="C207" s="13"/>
    </row>
    <row r="208" spans="3:3" ht="14.5" x14ac:dyDescent="0.35">
      <c r="C208" s="13"/>
    </row>
    <row r="209" spans="3:3" ht="14.5" x14ac:dyDescent="0.35">
      <c r="C209" s="13"/>
    </row>
    <row r="210" spans="3:3" ht="14.5" x14ac:dyDescent="0.35">
      <c r="C210" s="13"/>
    </row>
    <row r="211" spans="3:3" ht="14.5" x14ac:dyDescent="0.35">
      <c r="C211" s="13"/>
    </row>
    <row r="212" spans="3:3" ht="14.5" x14ac:dyDescent="0.35">
      <c r="C212" s="13"/>
    </row>
    <row r="213" spans="3:3" ht="14.5" x14ac:dyDescent="0.35">
      <c r="C213" s="13"/>
    </row>
    <row r="214" spans="3:3" ht="14.5" x14ac:dyDescent="0.35">
      <c r="C214" s="13"/>
    </row>
    <row r="215" spans="3:3" ht="14.5" x14ac:dyDescent="0.35">
      <c r="C215" s="13"/>
    </row>
    <row r="216" spans="3:3" ht="14.5" x14ac:dyDescent="0.35">
      <c r="C216" s="13"/>
    </row>
    <row r="217" spans="3:3" ht="14.5" x14ac:dyDescent="0.35">
      <c r="C217" s="13"/>
    </row>
    <row r="218" spans="3:3" ht="14.5" x14ac:dyDescent="0.35">
      <c r="C218" s="13"/>
    </row>
    <row r="219" spans="3:3" ht="14.5" x14ac:dyDescent="0.35">
      <c r="C219" s="13"/>
    </row>
    <row r="220" spans="3:3" ht="14.5" x14ac:dyDescent="0.35">
      <c r="C220" s="13"/>
    </row>
    <row r="221" spans="3:3" ht="14.5" x14ac:dyDescent="0.35">
      <c r="C221" s="13"/>
    </row>
    <row r="222" spans="3:3" ht="14.5" x14ac:dyDescent="0.35">
      <c r="C222" s="13"/>
    </row>
    <row r="223" spans="3:3" ht="14.5" x14ac:dyDescent="0.35">
      <c r="C223" s="13"/>
    </row>
    <row r="224" spans="3:3" ht="14.5" x14ac:dyDescent="0.35">
      <c r="C224" s="13"/>
    </row>
    <row r="225" spans="3:3" ht="14.5" x14ac:dyDescent="0.35">
      <c r="C225" s="13"/>
    </row>
    <row r="226" spans="3:3" ht="14.5" x14ac:dyDescent="0.35">
      <c r="C226" s="13"/>
    </row>
    <row r="227" spans="3:3" ht="14.5" x14ac:dyDescent="0.35">
      <c r="C227" s="13"/>
    </row>
    <row r="228" spans="3:3" ht="14.5" x14ac:dyDescent="0.35">
      <c r="C228" s="13"/>
    </row>
    <row r="229" spans="3:3" ht="14.5" x14ac:dyDescent="0.35">
      <c r="C229" s="13"/>
    </row>
    <row r="230" spans="3:3" ht="14.5" x14ac:dyDescent="0.35">
      <c r="C230" s="13"/>
    </row>
    <row r="231" spans="3:3" ht="14.5" x14ac:dyDescent="0.35">
      <c r="C231" s="13"/>
    </row>
    <row r="232" spans="3:3" ht="14.5" x14ac:dyDescent="0.35">
      <c r="C232" s="13"/>
    </row>
    <row r="233" spans="3:3" ht="14.5" x14ac:dyDescent="0.35">
      <c r="C233" s="13"/>
    </row>
    <row r="234" spans="3:3" ht="14.5" x14ac:dyDescent="0.35">
      <c r="C234" s="13"/>
    </row>
    <row r="235" spans="3:3" ht="14.5" x14ac:dyDescent="0.35">
      <c r="C235" s="13"/>
    </row>
    <row r="236" spans="3:3" ht="14.5" x14ac:dyDescent="0.35">
      <c r="C236" s="13"/>
    </row>
    <row r="237" spans="3:3" ht="14.5" x14ac:dyDescent="0.35">
      <c r="C237" s="13"/>
    </row>
    <row r="238" spans="3:3" ht="14.5" x14ac:dyDescent="0.35">
      <c r="C238" s="13"/>
    </row>
    <row r="239" spans="3:3" ht="14.5" x14ac:dyDescent="0.35">
      <c r="C239" s="13"/>
    </row>
    <row r="240" spans="3:3" ht="14.5" x14ac:dyDescent="0.35">
      <c r="C240" s="13"/>
    </row>
    <row r="241" spans="3:3" ht="14.5" x14ac:dyDescent="0.35">
      <c r="C241" s="13"/>
    </row>
    <row r="242" spans="3:3" ht="14.5" x14ac:dyDescent="0.35">
      <c r="C242" s="13"/>
    </row>
    <row r="243" spans="3:3" ht="14.5" x14ac:dyDescent="0.35">
      <c r="C243" s="13"/>
    </row>
    <row r="244" spans="3:3" ht="14.5" x14ac:dyDescent="0.35">
      <c r="C244" s="13"/>
    </row>
    <row r="245" spans="3:3" ht="14.5" x14ac:dyDescent="0.35">
      <c r="C245" s="13"/>
    </row>
    <row r="246" spans="3:3" ht="14.5" x14ac:dyDescent="0.35">
      <c r="C246" s="13"/>
    </row>
    <row r="247" spans="3:3" ht="14.5" x14ac:dyDescent="0.35">
      <c r="C247" s="13"/>
    </row>
    <row r="248" spans="3:3" ht="14.5" x14ac:dyDescent="0.35">
      <c r="C248" s="13"/>
    </row>
    <row r="249" spans="3:3" ht="14.5" x14ac:dyDescent="0.35">
      <c r="C249" s="13"/>
    </row>
    <row r="250" spans="3:3" ht="14.5" x14ac:dyDescent="0.35">
      <c r="C250" s="13"/>
    </row>
    <row r="251" spans="3:3" ht="14.5" x14ac:dyDescent="0.35">
      <c r="C251" s="13"/>
    </row>
    <row r="252" spans="3:3" ht="14.5" x14ac:dyDescent="0.35">
      <c r="C252" s="13"/>
    </row>
    <row r="253" spans="3:3" ht="14.5" x14ac:dyDescent="0.35">
      <c r="C253" s="13"/>
    </row>
    <row r="254" spans="3:3" ht="14.5" x14ac:dyDescent="0.35">
      <c r="C254" s="13"/>
    </row>
    <row r="255" spans="3:3" ht="14.5" x14ac:dyDescent="0.35">
      <c r="C255" s="13"/>
    </row>
    <row r="256" spans="3:3" ht="14.5" x14ac:dyDescent="0.35">
      <c r="C256" s="13"/>
    </row>
    <row r="257" spans="3:3" ht="14.5" x14ac:dyDescent="0.35">
      <c r="C257" s="13"/>
    </row>
    <row r="258" spans="3:3" ht="14.5" x14ac:dyDescent="0.35">
      <c r="C258" s="13"/>
    </row>
    <row r="259" spans="3:3" ht="14.5" x14ac:dyDescent="0.35">
      <c r="C259" s="13"/>
    </row>
    <row r="260" spans="3:3" ht="14.5" x14ac:dyDescent="0.35">
      <c r="C260" s="13"/>
    </row>
    <row r="261" spans="3:3" ht="14.5" x14ac:dyDescent="0.35">
      <c r="C261" s="13"/>
    </row>
    <row r="262" spans="3:3" ht="14.5" x14ac:dyDescent="0.35">
      <c r="C262" s="13"/>
    </row>
    <row r="263" spans="3:3" ht="14.5" x14ac:dyDescent="0.35">
      <c r="C263" s="13"/>
    </row>
    <row r="264" spans="3:3" ht="14.5" x14ac:dyDescent="0.35">
      <c r="C264" s="13"/>
    </row>
    <row r="265" spans="3:3" ht="14.5" x14ac:dyDescent="0.35">
      <c r="C265" s="13"/>
    </row>
    <row r="266" spans="3:3" ht="14.5" x14ac:dyDescent="0.35">
      <c r="C266" s="13"/>
    </row>
    <row r="267" spans="3:3" ht="14.5" x14ac:dyDescent="0.35">
      <c r="C267" s="13"/>
    </row>
    <row r="268" spans="3:3" ht="14.5" x14ac:dyDescent="0.35">
      <c r="C268" s="13"/>
    </row>
    <row r="269" spans="3:3" ht="14.5" x14ac:dyDescent="0.35">
      <c r="C269" s="13"/>
    </row>
    <row r="270" spans="3:3" ht="14.5" x14ac:dyDescent="0.35">
      <c r="C270" s="13"/>
    </row>
    <row r="271" spans="3:3" ht="14.5" x14ac:dyDescent="0.35">
      <c r="C271" s="13"/>
    </row>
    <row r="272" spans="3:3" ht="14.5" x14ac:dyDescent="0.35">
      <c r="C272" s="13"/>
    </row>
    <row r="273" spans="3:3" ht="14.5" x14ac:dyDescent="0.35">
      <c r="C273" s="13"/>
    </row>
    <row r="274" spans="3:3" ht="14.5" x14ac:dyDescent="0.35">
      <c r="C274" s="13"/>
    </row>
    <row r="275" spans="3:3" ht="14.5" x14ac:dyDescent="0.35">
      <c r="C275" s="13"/>
    </row>
    <row r="276" spans="3:3" ht="14.5" x14ac:dyDescent="0.35">
      <c r="C276" s="13"/>
    </row>
    <row r="277" spans="3:3" ht="14.5" x14ac:dyDescent="0.35">
      <c r="C277" s="13"/>
    </row>
    <row r="278" spans="3:3" ht="14.5" x14ac:dyDescent="0.35">
      <c r="C278" s="13"/>
    </row>
    <row r="279" spans="3:3" ht="14.5" x14ac:dyDescent="0.35">
      <c r="C279" s="13"/>
    </row>
    <row r="280" spans="3:3" ht="14.5" x14ac:dyDescent="0.35">
      <c r="C280" s="13"/>
    </row>
    <row r="281" spans="3:3" ht="14.5" x14ac:dyDescent="0.35">
      <c r="C281" s="13"/>
    </row>
    <row r="282" spans="3:3" ht="14.5" x14ac:dyDescent="0.35">
      <c r="C282" s="13"/>
    </row>
    <row r="283" spans="3:3" ht="14.5" x14ac:dyDescent="0.35">
      <c r="C283" s="13"/>
    </row>
    <row r="284" spans="3:3" ht="14.5" x14ac:dyDescent="0.35">
      <c r="C284" s="13"/>
    </row>
    <row r="285" spans="3:3" ht="14.5" x14ac:dyDescent="0.35">
      <c r="C285" s="13"/>
    </row>
    <row r="286" spans="3:3" ht="14.5" x14ac:dyDescent="0.35">
      <c r="C286" s="13"/>
    </row>
    <row r="287" spans="3:3" ht="14.5" x14ac:dyDescent="0.35">
      <c r="C287" s="13"/>
    </row>
    <row r="288" spans="3:3" ht="14.5" x14ac:dyDescent="0.35">
      <c r="C288" s="13"/>
    </row>
    <row r="289" spans="3:3" ht="14.5" x14ac:dyDescent="0.35">
      <c r="C289" s="13"/>
    </row>
    <row r="290" spans="3:3" ht="14.5" x14ac:dyDescent="0.35">
      <c r="C290" s="13"/>
    </row>
    <row r="291" spans="3:3" ht="14.5" x14ac:dyDescent="0.35">
      <c r="C291" s="13"/>
    </row>
    <row r="292" spans="3:3" ht="14.5" x14ac:dyDescent="0.35">
      <c r="C292" s="13"/>
    </row>
    <row r="293" spans="3:3" ht="14.5" x14ac:dyDescent="0.35">
      <c r="C293" s="13"/>
    </row>
    <row r="294" spans="3:3" ht="14.5" x14ac:dyDescent="0.35">
      <c r="C294" s="13"/>
    </row>
    <row r="295" spans="3:3" ht="14.5" x14ac:dyDescent="0.35">
      <c r="C295" s="13"/>
    </row>
    <row r="296" spans="3:3" ht="14.5" x14ac:dyDescent="0.35">
      <c r="C296" s="13"/>
    </row>
    <row r="297" spans="3:3" ht="14.5" x14ac:dyDescent="0.35">
      <c r="C297" s="13"/>
    </row>
    <row r="298" spans="3:3" ht="14.5" x14ac:dyDescent="0.35">
      <c r="C298" s="13"/>
    </row>
    <row r="299" spans="3:3" ht="14.5" x14ac:dyDescent="0.35">
      <c r="C299" s="13"/>
    </row>
    <row r="300" spans="3:3" ht="14.5" x14ac:dyDescent="0.35">
      <c r="C300" s="13"/>
    </row>
    <row r="301" spans="3:3" ht="14.5" x14ac:dyDescent="0.35">
      <c r="C301" s="13"/>
    </row>
    <row r="302" spans="3:3" ht="14.5" x14ac:dyDescent="0.35">
      <c r="C302" s="13"/>
    </row>
    <row r="303" spans="3:3" ht="14.5" x14ac:dyDescent="0.35">
      <c r="C303" s="13"/>
    </row>
    <row r="304" spans="3:3" ht="14.5" x14ac:dyDescent="0.35">
      <c r="C304" s="13"/>
    </row>
    <row r="305" spans="3:3" ht="14.5" x14ac:dyDescent="0.35">
      <c r="C305" s="13"/>
    </row>
    <row r="306" spans="3:3" ht="14.5" x14ac:dyDescent="0.35">
      <c r="C306" s="13"/>
    </row>
    <row r="307" spans="3:3" ht="14.5" x14ac:dyDescent="0.35">
      <c r="C307" s="13"/>
    </row>
    <row r="308" spans="3:3" ht="14.5" x14ac:dyDescent="0.35">
      <c r="C308" s="13"/>
    </row>
    <row r="309" spans="3:3" ht="14.5" x14ac:dyDescent="0.35">
      <c r="C309" s="13"/>
    </row>
    <row r="310" spans="3:3" ht="14.5" x14ac:dyDescent="0.35">
      <c r="C310" s="13"/>
    </row>
    <row r="311" spans="3:3" ht="14.5" x14ac:dyDescent="0.35">
      <c r="C311" s="13"/>
    </row>
    <row r="312" spans="3:3" ht="14.5" x14ac:dyDescent="0.35">
      <c r="C312" s="13"/>
    </row>
    <row r="313" spans="3:3" ht="14.5" x14ac:dyDescent="0.35">
      <c r="C313" s="13"/>
    </row>
    <row r="314" spans="3:3" ht="14.5" x14ac:dyDescent="0.35">
      <c r="C314" s="13"/>
    </row>
    <row r="315" spans="3:3" ht="14.5" x14ac:dyDescent="0.35">
      <c r="C315" s="13"/>
    </row>
    <row r="316" spans="3:3" ht="14.5" x14ac:dyDescent="0.35">
      <c r="C316" s="13"/>
    </row>
    <row r="317" spans="3:3" ht="14.5" x14ac:dyDescent="0.35">
      <c r="C317" s="13"/>
    </row>
    <row r="318" spans="3:3" ht="14.5" x14ac:dyDescent="0.35">
      <c r="C318" s="13"/>
    </row>
    <row r="319" spans="3:3" ht="14.5" x14ac:dyDescent="0.35">
      <c r="C319" s="13"/>
    </row>
    <row r="320" spans="3:3" ht="14.5" x14ac:dyDescent="0.35">
      <c r="C320" s="13"/>
    </row>
    <row r="321" spans="3:3" ht="14.5" x14ac:dyDescent="0.35">
      <c r="C321" s="13"/>
    </row>
    <row r="322" spans="3:3" ht="14.5" x14ac:dyDescent="0.35">
      <c r="C322" s="13"/>
    </row>
    <row r="323" spans="3:3" ht="14.5" x14ac:dyDescent="0.35">
      <c r="C323" s="13"/>
    </row>
    <row r="324" spans="3:3" ht="14.5" x14ac:dyDescent="0.35">
      <c r="C324" s="13"/>
    </row>
    <row r="325" spans="3:3" ht="14.5" x14ac:dyDescent="0.35">
      <c r="C325" s="13"/>
    </row>
    <row r="326" spans="3:3" ht="14.5" x14ac:dyDescent="0.35">
      <c r="C326" s="13"/>
    </row>
    <row r="327" spans="3:3" ht="14.5" x14ac:dyDescent="0.35">
      <c r="C327" s="13"/>
    </row>
    <row r="328" spans="3:3" ht="14.5" x14ac:dyDescent="0.35">
      <c r="C328" s="13"/>
    </row>
    <row r="329" spans="3:3" ht="14.5" x14ac:dyDescent="0.35">
      <c r="C329" s="13"/>
    </row>
    <row r="330" spans="3:3" ht="14.5" x14ac:dyDescent="0.35">
      <c r="C330" s="13"/>
    </row>
    <row r="331" spans="3:3" ht="14.5" x14ac:dyDescent="0.35">
      <c r="C331" s="13"/>
    </row>
    <row r="332" spans="3:3" ht="14.5" x14ac:dyDescent="0.35">
      <c r="C332" s="13"/>
    </row>
    <row r="333" spans="3:3" ht="14.5" x14ac:dyDescent="0.35">
      <c r="C333" s="13"/>
    </row>
    <row r="334" spans="3:3" ht="14.5" x14ac:dyDescent="0.35">
      <c r="C334" s="13"/>
    </row>
    <row r="335" spans="3:3" ht="14.5" x14ac:dyDescent="0.35">
      <c r="C335" s="13"/>
    </row>
    <row r="336" spans="3:3" ht="14.5" x14ac:dyDescent="0.35">
      <c r="C336" s="13"/>
    </row>
    <row r="337" spans="3:3" ht="14.5" x14ac:dyDescent="0.35">
      <c r="C337" s="13"/>
    </row>
    <row r="338" spans="3:3" ht="14.5" x14ac:dyDescent="0.35">
      <c r="C338" s="13"/>
    </row>
    <row r="339" spans="3:3" ht="14.5" x14ac:dyDescent="0.35">
      <c r="C339" s="13"/>
    </row>
    <row r="340" spans="3:3" ht="14.5" x14ac:dyDescent="0.35">
      <c r="C340" s="13"/>
    </row>
    <row r="341" spans="3:3" ht="14.5" x14ac:dyDescent="0.35">
      <c r="C341" s="13"/>
    </row>
    <row r="342" spans="3:3" ht="14.5" x14ac:dyDescent="0.35">
      <c r="C342" s="13"/>
    </row>
    <row r="343" spans="3:3" ht="14.5" x14ac:dyDescent="0.35">
      <c r="C343" s="13"/>
    </row>
    <row r="344" spans="3:3" ht="14.5" x14ac:dyDescent="0.35">
      <c r="C344" s="13"/>
    </row>
    <row r="345" spans="3:3" ht="14.5" x14ac:dyDescent="0.35">
      <c r="C345" s="13"/>
    </row>
    <row r="346" spans="3:3" ht="14.5" x14ac:dyDescent="0.35">
      <c r="C346" s="13"/>
    </row>
    <row r="347" spans="3:3" ht="14.5" x14ac:dyDescent="0.35">
      <c r="C347" s="13"/>
    </row>
    <row r="348" spans="3:3" ht="14.5" x14ac:dyDescent="0.35">
      <c r="C348" s="13"/>
    </row>
    <row r="349" spans="3:3" ht="14.5" x14ac:dyDescent="0.35">
      <c r="C349" s="13"/>
    </row>
    <row r="350" spans="3:3" ht="14.5" x14ac:dyDescent="0.35">
      <c r="C350" s="13"/>
    </row>
    <row r="351" spans="3:3" ht="14.5" x14ac:dyDescent="0.35">
      <c r="C351" s="13"/>
    </row>
    <row r="352" spans="3:3" ht="14.5" x14ac:dyDescent="0.35">
      <c r="C352" s="13"/>
    </row>
    <row r="353" spans="3:3" ht="14.5" x14ac:dyDescent="0.35">
      <c r="C353" s="13"/>
    </row>
    <row r="354" spans="3:3" ht="14.5" x14ac:dyDescent="0.35">
      <c r="C354" s="13"/>
    </row>
    <row r="355" spans="3:3" ht="14.5" x14ac:dyDescent="0.35">
      <c r="C355" s="13"/>
    </row>
    <row r="356" spans="3:3" ht="14.5" x14ac:dyDescent="0.35">
      <c r="C356" s="13"/>
    </row>
    <row r="357" spans="3:3" ht="14.5" x14ac:dyDescent="0.35">
      <c r="C357" s="13"/>
    </row>
    <row r="358" spans="3:3" ht="14.5" x14ac:dyDescent="0.35">
      <c r="C358" s="13"/>
    </row>
    <row r="359" spans="3:3" ht="14.5" x14ac:dyDescent="0.35">
      <c r="C359" s="13"/>
    </row>
    <row r="360" spans="3:3" ht="14.5" x14ac:dyDescent="0.35">
      <c r="C360" s="13"/>
    </row>
    <row r="361" spans="3:3" ht="14.5" x14ac:dyDescent="0.35">
      <c r="C361" s="13"/>
    </row>
    <row r="362" spans="3:3" ht="14.5" x14ac:dyDescent="0.35">
      <c r="C362" s="13"/>
    </row>
    <row r="363" spans="3:3" ht="14.5" x14ac:dyDescent="0.35">
      <c r="C363" s="13"/>
    </row>
    <row r="364" spans="3:3" ht="14.5" x14ac:dyDescent="0.35">
      <c r="C364" s="13"/>
    </row>
    <row r="365" spans="3:3" ht="14.5" x14ac:dyDescent="0.35">
      <c r="C365" s="13"/>
    </row>
    <row r="366" spans="3:3" ht="14.5" x14ac:dyDescent="0.35">
      <c r="C366" s="13"/>
    </row>
    <row r="367" spans="3:3" ht="14.5" x14ac:dyDescent="0.35">
      <c r="C367" s="13"/>
    </row>
    <row r="368" spans="3:3" ht="14.5" x14ac:dyDescent="0.35">
      <c r="C368" s="13"/>
    </row>
    <row r="369" spans="3:3" ht="14.5" x14ac:dyDescent="0.35">
      <c r="C369" s="13"/>
    </row>
    <row r="370" spans="3:3" ht="14.5" x14ac:dyDescent="0.35">
      <c r="C370" s="13"/>
    </row>
    <row r="371" spans="3:3" ht="14.5" x14ac:dyDescent="0.35">
      <c r="C371" s="13"/>
    </row>
    <row r="372" spans="3:3" ht="14.5" x14ac:dyDescent="0.35">
      <c r="C372" s="13"/>
    </row>
    <row r="373" spans="3:3" ht="14.5" x14ac:dyDescent="0.35">
      <c r="C373" s="13"/>
    </row>
    <row r="374" spans="3:3" ht="14.5" x14ac:dyDescent="0.35">
      <c r="C374" s="13"/>
    </row>
    <row r="375" spans="3:3" ht="14.5" x14ac:dyDescent="0.35">
      <c r="C375" s="13"/>
    </row>
    <row r="376" spans="3:3" ht="14.5" x14ac:dyDescent="0.35">
      <c r="C376" s="13"/>
    </row>
    <row r="377" spans="3:3" ht="14.5" x14ac:dyDescent="0.35">
      <c r="C377" s="13"/>
    </row>
    <row r="378" spans="3:3" ht="14.5" x14ac:dyDescent="0.35">
      <c r="C378" s="13"/>
    </row>
    <row r="379" spans="3:3" ht="14.5" x14ac:dyDescent="0.35">
      <c r="C379" s="13"/>
    </row>
    <row r="380" spans="3:3" ht="14.5" x14ac:dyDescent="0.35">
      <c r="C380" s="13"/>
    </row>
    <row r="381" spans="3:3" ht="14.5" x14ac:dyDescent="0.35">
      <c r="C381" s="13"/>
    </row>
    <row r="382" spans="3:3" ht="14.5" x14ac:dyDescent="0.35">
      <c r="C382" s="13"/>
    </row>
    <row r="383" spans="3:3" ht="14.5" x14ac:dyDescent="0.35">
      <c r="C383" s="13"/>
    </row>
    <row r="384" spans="3:3" ht="14.5" x14ac:dyDescent="0.35">
      <c r="C384" s="13"/>
    </row>
    <row r="385" spans="3:3" ht="14.5" x14ac:dyDescent="0.35">
      <c r="C385" s="13"/>
    </row>
    <row r="386" spans="3:3" ht="14.5" x14ac:dyDescent="0.35">
      <c r="C386" s="13"/>
    </row>
    <row r="387" spans="3:3" ht="14.5" x14ac:dyDescent="0.35">
      <c r="C387" s="13"/>
    </row>
    <row r="388" spans="3:3" ht="14.5" x14ac:dyDescent="0.35">
      <c r="C388" s="13"/>
    </row>
    <row r="389" spans="3:3" ht="14.5" x14ac:dyDescent="0.35">
      <c r="C389" s="13"/>
    </row>
    <row r="390" spans="3:3" ht="14.5" x14ac:dyDescent="0.35">
      <c r="C390" s="13"/>
    </row>
    <row r="391" spans="3:3" ht="14.5" x14ac:dyDescent="0.35">
      <c r="C391" s="13"/>
    </row>
    <row r="392" spans="3:3" ht="14.5" x14ac:dyDescent="0.35">
      <c r="C392" s="13"/>
    </row>
    <row r="393" spans="3:3" ht="14.5" x14ac:dyDescent="0.35">
      <c r="C393" s="13"/>
    </row>
    <row r="394" spans="3:3" ht="14.5" x14ac:dyDescent="0.35">
      <c r="C394" s="13"/>
    </row>
    <row r="395" spans="3:3" ht="14.5" x14ac:dyDescent="0.35">
      <c r="C395" s="13"/>
    </row>
    <row r="396" spans="3:3" ht="14.5" x14ac:dyDescent="0.35">
      <c r="C396" s="13"/>
    </row>
    <row r="397" spans="3:3" ht="14.5" x14ac:dyDescent="0.35">
      <c r="C397" s="13"/>
    </row>
    <row r="398" spans="3:3" ht="14.5" x14ac:dyDescent="0.35">
      <c r="C398" s="13"/>
    </row>
    <row r="399" spans="3:3" ht="14.5" x14ac:dyDescent="0.35">
      <c r="C399" s="13"/>
    </row>
    <row r="400" spans="3:3" ht="14.5" x14ac:dyDescent="0.35">
      <c r="C400" s="13"/>
    </row>
    <row r="401" spans="3:3" ht="14.5" x14ac:dyDescent="0.35">
      <c r="C401" s="13"/>
    </row>
    <row r="402" spans="3:3" ht="14.5" x14ac:dyDescent="0.35">
      <c r="C402" s="13"/>
    </row>
    <row r="403" spans="3:3" ht="14.5" x14ac:dyDescent="0.35">
      <c r="C403" s="13"/>
    </row>
    <row r="404" spans="3:3" ht="14.5" x14ac:dyDescent="0.35">
      <c r="C404" s="13"/>
    </row>
    <row r="405" spans="3:3" ht="14.5" x14ac:dyDescent="0.35">
      <c r="C405" s="13"/>
    </row>
    <row r="406" spans="3:3" ht="14.5" x14ac:dyDescent="0.35">
      <c r="C406" s="13"/>
    </row>
    <row r="407" spans="3:3" ht="14.5" x14ac:dyDescent="0.35">
      <c r="C407" s="13"/>
    </row>
    <row r="408" spans="3:3" ht="14.5" x14ac:dyDescent="0.35">
      <c r="C408" s="13"/>
    </row>
    <row r="409" spans="3:3" ht="14.5" x14ac:dyDescent="0.35">
      <c r="C409" s="13"/>
    </row>
    <row r="410" spans="3:3" ht="14.5" x14ac:dyDescent="0.35">
      <c r="C410" s="13"/>
    </row>
    <row r="411" spans="3:3" ht="14.5" x14ac:dyDescent="0.35">
      <c r="C411" s="13"/>
    </row>
    <row r="412" spans="3:3" ht="14.5" x14ac:dyDescent="0.35">
      <c r="C412" s="13"/>
    </row>
    <row r="413" spans="3:3" ht="14.5" x14ac:dyDescent="0.35">
      <c r="C413" s="13"/>
    </row>
    <row r="414" spans="3:3" ht="14.5" x14ac:dyDescent="0.35">
      <c r="C414" s="13"/>
    </row>
    <row r="415" spans="3:3" ht="14.5" x14ac:dyDescent="0.35">
      <c r="C415" s="13"/>
    </row>
    <row r="416" spans="3:3" ht="14.5" x14ac:dyDescent="0.35">
      <c r="C416" s="13"/>
    </row>
    <row r="417" spans="3:3" ht="14.5" x14ac:dyDescent="0.35">
      <c r="C417" s="13"/>
    </row>
    <row r="418" spans="3:3" ht="14.5" x14ac:dyDescent="0.35">
      <c r="C418" s="13"/>
    </row>
    <row r="419" spans="3:3" ht="14.5" x14ac:dyDescent="0.35">
      <c r="C419" s="13"/>
    </row>
    <row r="420" spans="3:3" ht="14.5" x14ac:dyDescent="0.35">
      <c r="C420" s="13"/>
    </row>
    <row r="421" spans="3:3" ht="14.5" x14ac:dyDescent="0.35">
      <c r="C421" s="13"/>
    </row>
    <row r="422" spans="3:3" ht="14.5" x14ac:dyDescent="0.35">
      <c r="C422" s="13"/>
    </row>
    <row r="423" spans="3:3" ht="14.5" x14ac:dyDescent="0.35">
      <c r="C423" s="13"/>
    </row>
    <row r="424" spans="3:3" ht="14.5" x14ac:dyDescent="0.35">
      <c r="C424" s="13"/>
    </row>
    <row r="425" spans="3:3" ht="14.5" x14ac:dyDescent="0.35">
      <c r="C425" s="13"/>
    </row>
    <row r="426" spans="3:3" ht="14.5" x14ac:dyDescent="0.35">
      <c r="C426" s="13"/>
    </row>
    <row r="427" spans="3:3" ht="14.5" x14ac:dyDescent="0.35">
      <c r="C427" s="13"/>
    </row>
    <row r="428" spans="3:3" ht="14.5" x14ac:dyDescent="0.35">
      <c r="C428" s="13"/>
    </row>
    <row r="429" spans="3:3" ht="14.5" x14ac:dyDescent="0.35">
      <c r="C429" s="13"/>
    </row>
    <row r="430" spans="3:3" ht="14.5" x14ac:dyDescent="0.35">
      <c r="C430" s="13"/>
    </row>
    <row r="431" spans="3:3" ht="14.5" x14ac:dyDescent="0.35">
      <c r="C431" s="13"/>
    </row>
    <row r="432" spans="3:3" ht="14.5" x14ac:dyDescent="0.35">
      <c r="C432" s="13"/>
    </row>
    <row r="433" spans="3:3" ht="14.5" x14ac:dyDescent="0.35">
      <c r="C433" s="13"/>
    </row>
    <row r="434" spans="3:3" ht="14.5" x14ac:dyDescent="0.35">
      <c r="C434" s="13"/>
    </row>
    <row r="435" spans="3:3" ht="14.5" x14ac:dyDescent="0.35">
      <c r="C435" s="13"/>
    </row>
    <row r="436" spans="3:3" ht="14.5" x14ac:dyDescent="0.35">
      <c r="C436" s="13"/>
    </row>
    <row r="437" spans="3:3" ht="14.5" x14ac:dyDescent="0.35">
      <c r="C437" s="13"/>
    </row>
    <row r="438" spans="3:3" ht="14.5" x14ac:dyDescent="0.35">
      <c r="C438" s="13"/>
    </row>
    <row r="439" spans="3:3" ht="14.5" x14ac:dyDescent="0.35">
      <c r="C439" s="13"/>
    </row>
    <row r="440" spans="3:3" ht="14.5" x14ac:dyDescent="0.35">
      <c r="C440" s="13"/>
    </row>
    <row r="441" spans="3:3" ht="14.5" x14ac:dyDescent="0.35">
      <c r="C441" s="13"/>
    </row>
    <row r="442" spans="3:3" ht="14.5" x14ac:dyDescent="0.35">
      <c r="C442" s="13"/>
    </row>
    <row r="443" spans="3:3" ht="14.5" x14ac:dyDescent="0.35">
      <c r="C443" s="13"/>
    </row>
    <row r="444" spans="3:3" ht="14.5" x14ac:dyDescent="0.35">
      <c r="C444" s="13"/>
    </row>
    <row r="445" spans="3:3" ht="14.5" x14ac:dyDescent="0.35">
      <c r="C445" s="13"/>
    </row>
    <row r="446" spans="3:3" ht="14.5" x14ac:dyDescent="0.35">
      <c r="C446" s="13"/>
    </row>
    <row r="447" spans="3:3" ht="14.5" x14ac:dyDescent="0.35">
      <c r="C447" s="13"/>
    </row>
    <row r="448" spans="3:3" ht="14.5" x14ac:dyDescent="0.35">
      <c r="C448" s="13"/>
    </row>
    <row r="449" spans="3:3" ht="14.5" x14ac:dyDescent="0.35">
      <c r="C449" s="13"/>
    </row>
    <row r="450" spans="3:3" ht="14.5" x14ac:dyDescent="0.35">
      <c r="C450" s="13"/>
    </row>
    <row r="451" spans="3:3" ht="14.5" x14ac:dyDescent="0.35">
      <c r="C451" s="13"/>
    </row>
    <row r="452" spans="3:3" ht="14.5" x14ac:dyDescent="0.35">
      <c r="C452" s="13"/>
    </row>
    <row r="453" spans="3:3" ht="14.5" x14ac:dyDescent="0.35">
      <c r="C453" s="13"/>
    </row>
    <row r="454" spans="3:3" ht="14.5" x14ac:dyDescent="0.35">
      <c r="C454" s="13"/>
    </row>
    <row r="455" spans="3:3" ht="14.5" x14ac:dyDescent="0.35">
      <c r="C455" s="13"/>
    </row>
    <row r="456" spans="3:3" ht="14.5" x14ac:dyDescent="0.35">
      <c r="C456" s="13"/>
    </row>
    <row r="457" spans="3:3" ht="14.5" x14ac:dyDescent="0.35">
      <c r="C457" s="13"/>
    </row>
    <row r="458" spans="3:3" ht="14.5" x14ac:dyDescent="0.35">
      <c r="C458" s="13"/>
    </row>
    <row r="459" spans="3:3" ht="14.5" x14ac:dyDescent="0.35">
      <c r="C459" s="13"/>
    </row>
    <row r="460" spans="3:3" ht="14.5" x14ac:dyDescent="0.35">
      <c r="C460" s="13"/>
    </row>
    <row r="461" spans="3:3" ht="14.5" x14ac:dyDescent="0.35">
      <c r="C461" s="13"/>
    </row>
    <row r="462" spans="3:3" ht="14.5" x14ac:dyDescent="0.35">
      <c r="C462" s="13"/>
    </row>
    <row r="463" spans="3:3" ht="14.5" x14ac:dyDescent="0.35">
      <c r="C463" s="13"/>
    </row>
    <row r="464" spans="3:3" ht="14.5" x14ac:dyDescent="0.35">
      <c r="C464" s="13"/>
    </row>
    <row r="465" spans="3:3" ht="14.5" x14ac:dyDescent="0.35">
      <c r="C465" s="13"/>
    </row>
    <row r="466" spans="3:3" ht="14.5" x14ac:dyDescent="0.35">
      <c r="C466" s="13"/>
    </row>
    <row r="467" spans="3:3" ht="14.5" x14ac:dyDescent="0.35">
      <c r="C467" s="13"/>
    </row>
    <row r="468" spans="3:3" ht="14.5" x14ac:dyDescent="0.35">
      <c r="C468" s="13"/>
    </row>
    <row r="469" spans="3:3" ht="14.5" x14ac:dyDescent="0.35">
      <c r="C469" s="13"/>
    </row>
    <row r="470" spans="3:3" ht="14.5" x14ac:dyDescent="0.35">
      <c r="C470" s="13"/>
    </row>
    <row r="471" spans="3:3" ht="14.5" x14ac:dyDescent="0.35">
      <c r="C471" s="13"/>
    </row>
    <row r="472" spans="3:3" ht="14.5" x14ac:dyDescent="0.35">
      <c r="C472" s="13"/>
    </row>
    <row r="473" spans="3:3" ht="14.5" x14ac:dyDescent="0.35">
      <c r="C473" s="13"/>
    </row>
    <row r="474" spans="3:3" ht="14.5" x14ac:dyDescent="0.35">
      <c r="C474" s="13"/>
    </row>
    <row r="475" spans="3:3" ht="14.5" x14ac:dyDescent="0.35">
      <c r="C475" s="13"/>
    </row>
    <row r="476" spans="3:3" ht="14.5" x14ac:dyDescent="0.35">
      <c r="C476" s="13"/>
    </row>
    <row r="477" spans="3:3" ht="14.5" x14ac:dyDescent="0.35">
      <c r="C477" s="13"/>
    </row>
    <row r="478" spans="3:3" ht="14.5" x14ac:dyDescent="0.35">
      <c r="C478" s="13"/>
    </row>
    <row r="479" spans="3:3" ht="14.5" x14ac:dyDescent="0.35">
      <c r="C479" s="13"/>
    </row>
    <row r="480" spans="3:3" ht="14.5" x14ac:dyDescent="0.35">
      <c r="C480" s="13"/>
    </row>
    <row r="481" spans="3:3" ht="14.5" x14ac:dyDescent="0.35">
      <c r="C481" s="13"/>
    </row>
    <row r="482" spans="3:3" ht="14.5" x14ac:dyDescent="0.35">
      <c r="C482" s="13"/>
    </row>
    <row r="483" spans="3:3" ht="14.5" x14ac:dyDescent="0.35">
      <c r="C483" s="13"/>
    </row>
    <row r="484" spans="3:3" ht="14.5" x14ac:dyDescent="0.35">
      <c r="C484" s="13"/>
    </row>
    <row r="485" spans="3:3" ht="14.5" x14ac:dyDescent="0.35">
      <c r="C485" s="13"/>
    </row>
    <row r="486" spans="3:3" ht="14.5" x14ac:dyDescent="0.35">
      <c r="C486" s="13"/>
    </row>
    <row r="487" spans="3:3" ht="14.5" x14ac:dyDescent="0.35">
      <c r="C487" s="13"/>
    </row>
    <row r="488" spans="3:3" ht="14.5" x14ac:dyDescent="0.35">
      <c r="C488" s="13"/>
    </row>
    <row r="489" spans="3:3" ht="14.5" x14ac:dyDescent="0.35">
      <c r="C489" s="13"/>
    </row>
    <row r="490" spans="3:3" ht="14.5" x14ac:dyDescent="0.35">
      <c r="C490" s="13"/>
    </row>
    <row r="491" spans="3:3" ht="14.5" x14ac:dyDescent="0.35">
      <c r="C491" s="13"/>
    </row>
    <row r="492" spans="3:3" ht="14.5" x14ac:dyDescent="0.35">
      <c r="C492" s="13"/>
    </row>
    <row r="493" spans="3:3" ht="14.5" x14ac:dyDescent="0.35">
      <c r="C493" s="13"/>
    </row>
    <row r="494" spans="3:3" ht="14.5" x14ac:dyDescent="0.35">
      <c r="C494" s="13"/>
    </row>
    <row r="495" spans="3:3" ht="14.5" x14ac:dyDescent="0.35">
      <c r="C495" s="13"/>
    </row>
    <row r="496" spans="3:3" ht="14.5" x14ac:dyDescent="0.35">
      <c r="C496" s="13"/>
    </row>
    <row r="497" spans="3:3" ht="14.5" x14ac:dyDescent="0.35">
      <c r="C497" s="13"/>
    </row>
    <row r="498" spans="3:3" ht="14.5" x14ac:dyDescent="0.35">
      <c r="C498" s="13"/>
    </row>
    <row r="499" spans="3:3" ht="14.5" x14ac:dyDescent="0.35">
      <c r="C499" s="13"/>
    </row>
    <row r="500" spans="3:3" ht="14.5" x14ac:dyDescent="0.35">
      <c r="C500" s="13"/>
    </row>
    <row r="501" spans="3:3" ht="14.5" x14ac:dyDescent="0.35">
      <c r="C501" s="13"/>
    </row>
    <row r="502" spans="3:3" ht="14.5" x14ac:dyDescent="0.35">
      <c r="C502" s="13"/>
    </row>
    <row r="503" spans="3:3" ht="14.5" x14ac:dyDescent="0.35">
      <c r="C503" s="13"/>
    </row>
    <row r="504" spans="3:3" ht="14.5" x14ac:dyDescent="0.35">
      <c r="C504" s="13"/>
    </row>
    <row r="505" spans="3:3" ht="14.5" x14ac:dyDescent="0.35">
      <c r="C505" s="13"/>
    </row>
    <row r="506" spans="3:3" ht="14.5" x14ac:dyDescent="0.35">
      <c r="C506" s="13"/>
    </row>
    <row r="507" spans="3:3" ht="14.5" x14ac:dyDescent="0.35">
      <c r="C507" s="13"/>
    </row>
    <row r="508" spans="3:3" ht="14.5" x14ac:dyDescent="0.35">
      <c r="C508" s="13"/>
    </row>
    <row r="509" spans="3:3" ht="14.5" x14ac:dyDescent="0.35">
      <c r="C509" s="13"/>
    </row>
    <row r="510" spans="3:3" ht="14.5" x14ac:dyDescent="0.35">
      <c r="C510" s="13"/>
    </row>
    <row r="511" spans="3:3" ht="14.5" x14ac:dyDescent="0.35">
      <c r="C511" s="13"/>
    </row>
    <row r="512" spans="3:3" ht="14.5" x14ac:dyDescent="0.35">
      <c r="C512" s="13"/>
    </row>
    <row r="513" spans="3:3" ht="14.5" x14ac:dyDescent="0.35">
      <c r="C513" s="13"/>
    </row>
    <row r="514" spans="3:3" ht="14.5" x14ac:dyDescent="0.35">
      <c r="C514" s="13"/>
    </row>
    <row r="515" spans="3:3" ht="14.5" x14ac:dyDescent="0.35">
      <c r="C515" s="13"/>
    </row>
    <row r="516" spans="3:3" ht="14.5" x14ac:dyDescent="0.35">
      <c r="C516" s="13"/>
    </row>
    <row r="517" spans="3:3" ht="14.5" x14ac:dyDescent="0.35">
      <c r="C517" s="13"/>
    </row>
    <row r="518" spans="3:3" ht="14.5" x14ac:dyDescent="0.35">
      <c r="C518" s="13"/>
    </row>
    <row r="519" spans="3:3" ht="14.5" x14ac:dyDescent="0.35">
      <c r="C519" s="13"/>
    </row>
    <row r="520" spans="3:3" ht="14.5" x14ac:dyDescent="0.35">
      <c r="C520" s="13"/>
    </row>
    <row r="521" spans="3:3" ht="14.5" x14ac:dyDescent="0.35">
      <c r="C521" s="13"/>
    </row>
    <row r="522" spans="3:3" ht="14.5" x14ac:dyDescent="0.35">
      <c r="C522" s="13"/>
    </row>
    <row r="523" spans="3:3" ht="14.5" x14ac:dyDescent="0.35">
      <c r="C523" s="13"/>
    </row>
    <row r="524" spans="3:3" ht="14.5" x14ac:dyDescent="0.35">
      <c r="C524" s="13"/>
    </row>
    <row r="525" spans="3:3" ht="14.5" x14ac:dyDescent="0.35">
      <c r="C525" s="13"/>
    </row>
    <row r="526" spans="3:3" ht="14.5" x14ac:dyDescent="0.35">
      <c r="C526" s="13"/>
    </row>
    <row r="527" spans="3:3" ht="14.5" x14ac:dyDescent="0.35">
      <c r="C527" s="13"/>
    </row>
    <row r="528" spans="3:3" ht="14.5" x14ac:dyDescent="0.35">
      <c r="C528" s="13"/>
    </row>
    <row r="529" spans="3:3" ht="14.5" x14ac:dyDescent="0.35">
      <c r="C529" s="13"/>
    </row>
    <row r="530" spans="3:3" ht="14.5" x14ac:dyDescent="0.35">
      <c r="C530" s="13"/>
    </row>
    <row r="531" spans="3:3" ht="14.5" x14ac:dyDescent="0.35">
      <c r="C531" s="13"/>
    </row>
    <row r="532" spans="3:3" ht="14.5" x14ac:dyDescent="0.35">
      <c r="C532" s="13"/>
    </row>
    <row r="533" spans="3:3" ht="14.5" x14ac:dyDescent="0.35">
      <c r="C533" s="13"/>
    </row>
    <row r="534" spans="3:3" ht="14.5" x14ac:dyDescent="0.35">
      <c r="C534" s="13"/>
    </row>
    <row r="535" spans="3:3" ht="14.5" x14ac:dyDescent="0.35">
      <c r="C535" s="13"/>
    </row>
    <row r="536" spans="3:3" ht="14.5" x14ac:dyDescent="0.35">
      <c r="C536" s="13"/>
    </row>
    <row r="537" spans="3:3" ht="14.5" x14ac:dyDescent="0.35">
      <c r="C537" s="13"/>
    </row>
    <row r="538" spans="3:3" ht="14.5" x14ac:dyDescent="0.35">
      <c r="C538" s="13"/>
    </row>
    <row r="539" spans="3:3" ht="14.5" x14ac:dyDescent="0.35">
      <c r="C539" s="13"/>
    </row>
    <row r="540" spans="3:3" ht="14.5" x14ac:dyDescent="0.35">
      <c r="C540" s="13"/>
    </row>
    <row r="541" spans="3:3" ht="14.5" x14ac:dyDescent="0.35">
      <c r="C541" s="13"/>
    </row>
    <row r="542" spans="3:3" ht="14.5" x14ac:dyDescent="0.35">
      <c r="C542" s="13"/>
    </row>
    <row r="543" spans="3:3" ht="14.5" x14ac:dyDescent="0.35">
      <c r="C543" s="13"/>
    </row>
    <row r="544" spans="3:3" ht="14.5" x14ac:dyDescent="0.35">
      <c r="C544" s="13"/>
    </row>
    <row r="545" spans="3:3" ht="14.5" x14ac:dyDescent="0.35">
      <c r="C545" s="13"/>
    </row>
    <row r="546" spans="3:3" ht="14.5" x14ac:dyDescent="0.35">
      <c r="C546" s="13"/>
    </row>
    <row r="547" spans="3:3" ht="14.5" x14ac:dyDescent="0.35">
      <c r="C547" s="13"/>
    </row>
    <row r="548" spans="3:3" ht="14.5" x14ac:dyDescent="0.35">
      <c r="C548" s="13"/>
    </row>
    <row r="549" spans="3:3" ht="14.5" x14ac:dyDescent="0.35">
      <c r="C549" s="13"/>
    </row>
    <row r="550" spans="3:3" ht="14.5" x14ac:dyDescent="0.35">
      <c r="C550" s="13"/>
    </row>
    <row r="551" spans="3:3" ht="14.5" x14ac:dyDescent="0.35">
      <c r="C551" s="13"/>
    </row>
    <row r="552" spans="3:3" ht="14.5" x14ac:dyDescent="0.35">
      <c r="C552" s="13"/>
    </row>
    <row r="553" spans="3:3" ht="14.5" x14ac:dyDescent="0.35">
      <c r="C553" s="13"/>
    </row>
    <row r="554" spans="3:3" ht="14.5" x14ac:dyDescent="0.35">
      <c r="C554" s="13"/>
    </row>
    <row r="555" spans="3:3" ht="14.5" x14ac:dyDescent="0.35">
      <c r="C555" s="13"/>
    </row>
    <row r="556" spans="3:3" ht="14.5" x14ac:dyDescent="0.35">
      <c r="C556" s="13"/>
    </row>
    <row r="557" spans="3:3" ht="14.5" x14ac:dyDescent="0.35">
      <c r="C557" s="13"/>
    </row>
    <row r="558" spans="3:3" ht="14.5" x14ac:dyDescent="0.35">
      <c r="C558" s="13"/>
    </row>
    <row r="559" spans="3:3" ht="14.5" x14ac:dyDescent="0.35">
      <c r="C559" s="13"/>
    </row>
    <row r="560" spans="3:3" ht="14.5" x14ac:dyDescent="0.35">
      <c r="C560" s="13"/>
    </row>
    <row r="561" spans="3:3" ht="14.5" x14ac:dyDescent="0.35">
      <c r="C561" s="13"/>
    </row>
    <row r="562" spans="3:3" ht="14.5" x14ac:dyDescent="0.35">
      <c r="C562" s="13"/>
    </row>
    <row r="563" spans="3:3" ht="14.5" x14ac:dyDescent="0.35">
      <c r="C563" s="13"/>
    </row>
    <row r="564" spans="3:3" ht="14.5" x14ac:dyDescent="0.35">
      <c r="C564" s="13"/>
    </row>
    <row r="565" spans="3:3" ht="14.5" x14ac:dyDescent="0.35">
      <c r="C565" s="13"/>
    </row>
    <row r="566" spans="3:3" ht="14.5" x14ac:dyDescent="0.35">
      <c r="C566" s="13"/>
    </row>
    <row r="567" spans="3:3" ht="14.5" x14ac:dyDescent="0.35">
      <c r="C567" s="13"/>
    </row>
    <row r="568" spans="3:3" ht="14.5" x14ac:dyDescent="0.35">
      <c r="C568" s="13"/>
    </row>
    <row r="569" spans="3:3" ht="14.5" x14ac:dyDescent="0.35">
      <c r="C569" s="13"/>
    </row>
    <row r="570" spans="3:3" ht="14.5" x14ac:dyDescent="0.35">
      <c r="C570" s="13"/>
    </row>
    <row r="571" spans="3:3" ht="14.5" x14ac:dyDescent="0.35">
      <c r="C571" s="13"/>
    </row>
    <row r="572" spans="3:3" ht="14.5" x14ac:dyDescent="0.35">
      <c r="C572" s="13"/>
    </row>
    <row r="573" spans="3:3" ht="14.5" x14ac:dyDescent="0.35">
      <c r="C573" s="13"/>
    </row>
    <row r="574" spans="3:3" ht="14.5" x14ac:dyDescent="0.35">
      <c r="C574" s="13"/>
    </row>
    <row r="575" spans="3:3" ht="14.5" x14ac:dyDescent="0.35">
      <c r="C575" s="13"/>
    </row>
    <row r="576" spans="3:3" ht="14.5" x14ac:dyDescent="0.35">
      <c r="C576" s="13"/>
    </row>
    <row r="577" spans="3:3" ht="14.5" x14ac:dyDescent="0.35">
      <c r="C577" s="13"/>
    </row>
    <row r="578" spans="3:3" ht="14.5" x14ac:dyDescent="0.35">
      <c r="C578" s="13"/>
    </row>
    <row r="579" spans="3:3" ht="14.5" x14ac:dyDescent="0.35">
      <c r="C579" s="13"/>
    </row>
    <row r="580" spans="3:3" ht="14.5" x14ac:dyDescent="0.35">
      <c r="C580" s="13"/>
    </row>
    <row r="581" spans="3:3" ht="14.5" x14ac:dyDescent="0.35">
      <c r="C581" s="13"/>
    </row>
    <row r="582" spans="3:3" ht="14.5" x14ac:dyDescent="0.35">
      <c r="C582" s="13"/>
    </row>
    <row r="583" spans="3:3" ht="14.5" x14ac:dyDescent="0.35">
      <c r="C583" s="13"/>
    </row>
    <row r="584" spans="3:3" ht="14.5" x14ac:dyDescent="0.35">
      <c r="C584" s="13"/>
    </row>
    <row r="585" spans="3:3" ht="14.5" x14ac:dyDescent="0.35">
      <c r="C585" s="13"/>
    </row>
    <row r="586" spans="3:3" ht="14.5" x14ac:dyDescent="0.35">
      <c r="C586" s="13"/>
    </row>
    <row r="587" spans="3:3" ht="14.5" x14ac:dyDescent="0.35">
      <c r="C587" s="13"/>
    </row>
    <row r="588" spans="3:3" ht="14.5" x14ac:dyDescent="0.35">
      <c r="C588" s="13"/>
    </row>
    <row r="589" spans="3:3" ht="14.5" x14ac:dyDescent="0.35">
      <c r="C589" s="13"/>
    </row>
    <row r="590" spans="3:3" ht="14.5" x14ac:dyDescent="0.35">
      <c r="C590" s="13"/>
    </row>
    <row r="591" spans="3:3" ht="14.5" x14ac:dyDescent="0.35">
      <c r="C591" s="13"/>
    </row>
    <row r="592" spans="3:3" ht="14.5" x14ac:dyDescent="0.35">
      <c r="C592" s="13"/>
    </row>
    <row r="593" spans="3:3" ht="14.5" x14ac:dyDescent="0.35">
      <c r="C593" s="13"/>
    </row>
    <row r="594" spans="3:3" ht="14.5" x14ac:dyDescent="0.35">
      <c r="C594" s="13"/>
    </row>
    <row r="595" spans="3:3" ht="14.5" x14ac:dyDescent="0.35">
      <c r="C595" s="13"/>
    </row>
    <row r="596" spans="3:3" ht="14.5" x14ac:dyDescent="0.35">
      <c r="C596" s="13"/>
    </row>
    <row r="597" spans="3:3" ht="14.5" x14ac:dyDescent="0.35">
      <c r="C597" s="13"/>
    </row>
    <row r="598" spans="3:3" ht="14.5" x14ac:dyDescent="0.35">
      <c r="C598" s="13"/>
    </row>
    <row r="599" spans="3:3" ht="14.5" x14ac:dyDescent="0.35">
      <c r="C599" s="13"/>
    </row>
    <row r="600" spans="3:3" ht="14.5" x14ac:dyDescent="0.35">
      <c r="C600" s="13"/>
    </row>
    <row r="601" spans="3:3" ht="14.5" x14ac:dyDescent="0.35">
      <c r="C601" s="13"/>
    </row>
    <row r="602" spans="3:3" ht="14.5" x14ac:dyDescent="0.35">
      <c r="C602" s="13"/>
    </row>
    <row r="603" spans="3:3" ht="14.5" x14ac:dyDescent="0.35">
      <c r="C603" s="13"/>
    </row>
    <row r="604" spans="3:3" ht="14.5" x14ac:dyDescent="0.35">
      <c r="C604" s="13"/>
    </row>
    <row r="605" spans="3:3" ht="14.5" x14ac:dyDescent="0.35">
      <c r="C605" s="13"/>
    </row>
    <row r="606" spans="3:3" ht="14.5" x14ac:dyDescent="0.35">
      <c r="C606" s="13"/>
    </row>
    <row r="607" spans="3:3" ht="14.5" x14ac:dyDescent="0.35">
      <c r="C607" s="13"/>
    </row>
    <row r="608" spans="3:3" ht="14.5" x14ac:dyDescent="0.35">
      <c r="C608" s="13"/>
    </row>
    <row r="609" spans="3:3" ht="14.5" x14ac:dyDescent="0.35">
      <c r="C609" s="13"/>
    </row>
    <row r="610" spans="3:3" ht="14.5" x14ac:dyDescent="0.35">
      <c r="C610" s="13"/>
    </row>
    <row r="611" spans="3:3" ht="14.5" x14ac:dyDescent="0.35">
      <c r="C611" s="13"/>
    </row>
    <row r="612" spans="3:3" ht="14.5" x14ac:dyDescent="0.35">
      <c r="C612" s="13"/>
    </row>
    <row r="613" spans="3:3" ht="14.5" x14ac:dyDescent="0.35">
      <c r="C613" s="13"/>
    </row>
    <row r="614" spans="3:3" ht="14.5" x14ac:dyDescent="0.35">
      <c r="C614" s="13"/>
    </row>
    <row r="615" spans="3:3" ht="14.5" x14ac:dyDescent="0.35">
      <c r="C615" s="13"/>
    </row>
    <row r="616" spans="3:3" ht="14.5" x14ac:dyDescent="0.35">
      <c r="C616" s="13"/>
    </row>
    <row r="617" spans="3:3" ht="14.5" x14ac:dyDescent="0.35">
      <c r="C617" s="13"/>
    </row>
    <row r="618" spans="3:3" ht="14.5" x14ac:dyDescent="0.35">
      <c r="C618" s="13"/>
    </row>
    <row r="619" spans="3:3" ht="14.5" x14ac:dyDescent="0.35">
      <c r="C619" s="13"/>
    </row>
    <row r="620" spans="3:3" ht="14.5" x14ac:dyDescent="0.35">
      <c r="C620" s="13"/>
    </row>
    <row r="621" spans="3:3" ht="14.5" x14ac:dyDescent="0.35">
      <c r="C621" s="13"/>
    </row>
    <row r="622" spans="3:3" ht="14.5" x14ac:dyDescent="0.35">
      <c r="C622" s="13"/>
    </row>
    <row r="623" spans="3:3" ht="14.5" x14ac:dyDescent="0.35">
      <c r="C623" s="13"/>
    </row>
    <row r="624" spans="3:3" ht="14.5" x14ac:dyDescent="0.35">
      <c r="C624" s="13"/>
    </row>
    <row r="625" spans="3:3" ht="14.5" x14ac:dyDescent="0.35">
      <c r="C625" s="13"/>
    </row>
    <row r="626" spans="3:3" ht="14.5" x14ac:dyDescent="0.35">
      <c r="C626" s="13"/>
    </row>
    <row r="627" spans="3:3" ht="14.5" x14ac:dyDescent="0.35">
      <c r="C627" s="13"/>
    </row>
    <row r="628" spans="3:3" ht="14.5" x14ac:dyDescent="0.35">
      <c r="C628" s="13"/>
    </row>
    <row r="629" spans="3:3" ht="14.5" x14ac:dyDescent="0.35">
      <c r="C629" s="13"/>
    </row>
    <row r="630" spans="3:3" ht="14.5" x14ac:dyDescent="0.35">
      <c r="C630" s="13"/>
    </row>
    <row r="631" spans="3:3" ht="14.5" x14ac:dyDescent="0.35">
      <c r="C631" s="13"/>
    </row>
    <row r="632" spans="3:3" ht="14.5" x14ac:dyDescent="0.35">
      <c r="C632" s="13"/>
    </row>
    <row r="633" spans="3:3" ht="14.5" x14ac:dyDescent="0.35">
      <c r="C633" s="13"/>
    </row>
    <row r="634" spans="3:3" ht="14.5" x14ac:dyDescent="0.35">
      <c r="C634" s="13"/>
    </row>
    <row r="635" spans="3:3" ht="14.5" x14ac:dyDescent="0.35">
      <c r="C635" s="13"/>
    </row>
    <row r="636" spans="3:3" ht="14.5" x14ac:dyDescent="0.35">
      <c r="C636" s="13"/>
    </row>
    <row r="637" spans="3:3" ht="14.5" x14ac:dyDescent="0.35">
      <c r="C637" s="13"/>
    </row>
    <row r="638" spans="3:3" ht="14.5" x14ac:dyDescent="0.35">
      <c r="C638" s="13"/>
    </row>
    <row r="639" spans="3:3" ht="14.5" x14ac:dyDescent="0.35">
      <c r="C639" s="13"/>
    </row>
    <row r="640" spans="3:3" ht="14.5" x14ac:dyDescent="0.35">
      <c r="C640" s="13"/>
    </row>
    <row r="641" spans="3:3" ht="14.5" x14ac:dyDescent="0.35">
      <c r="C641" s="13"/>
    </row>
    <row r="642" spans="3:3" ht="14.5" x14ac:dyDescent="0.35">
      <c r="C642" s="13"/>
    </row>
    <row r="643" spans="3:3" ht="14.5" x14ac:dyDescent="0.35">
      <c r="C643" s="13"/>
    </row>
    <row r="644" spans="3:3" ht="14.5" x14ac:dyDescent="0.35">
      <c r="C644" s="13"/>
    </row>
    <row r="645" spans="3:3" ht="14.5" x14ac:dyDescent="0.35">
      <c r="C645" s="13"/>
    </row>
    <row r="646" spans="3:3" ht="14.5" x14ac:dyDescent="0.35">
      <c r="C646" s="13"/>
    </row>
    <row r="647" spans="3:3" ht="14.5" x14ac:dyDescent="0.35">
      <c r="C647" s="13"/>
    </row>
    <row r="648" spans="3:3" ht="14.5" x14ac:dyDescent="0.35">
      <c r="C648" s="13"/>
    </row>
    <row r="649" spans="3:3" ht="14.5" x14ac:dyDescent="0.35">
      <c r="C649" s="13"/>
    </row>
    <row r="650" spans="3:3" ht="14.5" x14ac:dyDescent="0.35">
      <c r="C650" s="13"/>
    </row>
    <row r="651" spans="3:3" ht="14.5" x14ac:dyDescent="0.35">
      <c r="C651" s="13"/>
    </row>
    <row r="652" spans="3:3" ht="14.5" x14ac:dyDescent="0.35">
      <c r="C652" s="13"/>
    </row>
    <row r="653" spans="3:3" ht="14.5" x14ac:dyDescent="0.35">
      <c r="C653" s="13"/>
    </row>
    <row r="654" spans="3:3" ht="14.5" x14ac:dyDescent="0.35">
      <c r="C654" s="13"/>
    </row>
    <row r="655" spans="3:3" ht="14.5" x14ac:dyDescent="0.35">
      <c r="C655" s="13"/>
    </row>
    <row r="656" spans="3:3" ht="14.5" x14ac:dyDescent="0.35">
      <c r="C656" s="13"/>
    </row>
    <row r="657" spans="3:3" ht="14.5" x14ac:dyDescent="0.35">
      <c r="C657" s="13"/>
    </row>
    <row r="658" spans="3:3" ht="14.5" x14ac:dyDescent="0.35">
      <c r="C658" s="13"/>
    </row>
    <row r="659" spans="3:3" ht="14.5" x14ac:dyDescent="0.35">
      <c r="C659" s="13"/>
    </row>
    <row r="660" spans="3:3" ht="14.5" x14ac:dyDescent="0.35">
      <c r="C660" s="13"/>
    </row>
    <row r="661" spans="3:3" ht="14.5" x14ac:dyDescent="0.35">
      <c r="C661" s="13"/>
    </row>
    <row r="662" spans="3:3" ht="14.5" x14ac:dyDescent="0.35">
      <c r="C662" s="13"/>
    </row>
    <row r="663" spans="3:3" ht="14.5" x14ac:dyDescent="0.35">
      <c r="C663" s="13"/>
    </row>
    <row r="664" spans="3:3" ht="14.5" x14ac:dyDescent="0.35">
      <c r="C664" s="13"/>
    </row>
    <row r="665" spans="3:3" ht="14.5" x14ac:dyDescent="0.35">
      <c r="C665" s="13"/>
    </row>
    <row r="666" spans="3:3" ht="14.5" x14ac:dyDescent="0.35">
      <c r="C666" s="13"/>
    </row>
    <row r="667" spans="3:3" ht="14.5" x14ac:dyDescent="0.35">
      <c r="C667" s="13"/>
    </row>
    <row r="668" spans="3:3" ht="14.5" x14ac:dyDescent="0.35">
      <c r="C668" s="13"/>
    </row>
    <row r="669" spans="3:3" ht="14.5" x14ac:dyDescent="0.35">
      <c r="C669" s="13"/>
    </row>
    <row r="670" spans="3:3" ht="14.5" x14ac:dyDescent="0.35">
      <c r="C670" s="13"/>
    </row>
    <row r="671" spans="3:3" ht="14.5" x14ac:dyDescent="0.35">
      <c r="C671" s="13"/>
    </row>
    <row r="672" spans="3:3" ht="14.5" x14ac:dyDescent="0.35">
      <c r="C672" s="13"/>
    </row>
    <row r="673" spans="3:3" ht="14.5" x14ac:dyDescent="0.35">
      <c r="C673" s="13"/>
    </row>
    <row r="674" spans="3:3" ht="14.5" x14ac:dyDescent="0.35">
      <c r="C674" s="13"/>
    </row>
    <row r="675" spans="3:3" ht="14.5" x14ac:dyDescent="0.35">
      <c r="C675" s="13"/>
    </row>
    <row r="676" spans="3:3" ht="14.5" x14ac:dyDescent="0.35">
      <c r="C676" s="13"/>
    </row>
    <row r="677" spans="3:3" ht="14.5" x14ac:dyDescent="0.35">
      <c r="C677" s="13"/>
    </row>
    <row r="678" spans="3:3" ht="14.5" x14ac:dyDescent="0.35">
      <c r="C678" s="13"/>
    </row>
    <row r="679" spans="3:3" ht="14.5" x14ac:dyDescent="0.35">
      <c r="C679" s="13"/>
    </row>
    <row r="680" spans="3:3" ht="14.5" x14ac:dyDescent="0.35">
      <c r="C680" s="13"/>
    </row>
    <row r="681" spans="3:3" ht="14.5" x14ac:dyDescent="0.35">
      <c r="C681" s="13"/>
    </row>
    <row r="682" spans="3:3" ht="14.5" x14ac:dyDescent="0.35">
      <c r="C682" s="13"/>
    </row>
    <row r="683" spans="3:3" ht="14.5" x14ac:dyDescent="0.35">
      <c r="C683" s="13"/>
    </row>
    <row r="684" spans="3:3" ht="14.5" x14ac:dyDescent="0.35">
      <c r="C684" s="13"/>
    </row>
    <row r="685" spans="3:3" ht="14.5" x14ac:dyDescent="0.35">
      <c r="C685" s="13"/>
    </row>
    <row r="686" spans="3:3" ht="14.5" x14ac:dyDescent="0.35">
      <c r="C686" s="13"/>
    </row>
    <row r="687" spans="3:3" ht="14.5" x14ac:dyDescent="0.35">
      <c r="C687" s="13"/>
    </row>
    <row r="688" spans="3:3" ht="14.5" x14ac:dyDescent="0.35">
      <c r="C688" s="13"/>
    </row>
    <row r="689" spans="3:3" ht="14.5" x14ac:dyDescent="0.35">
      <c r="C689" s="13"/>
    </row>
    <row r="690" spans="3:3" ht="14.5" x14ac:dyDescent="0.35">
      <c r="C690" s="13"/>
    </row>
    <row r="691" spans="3:3" ht="14.5" x14ac:dyDescent="0.35">
      <c r="C691" s="13"/>
    </row>
    <row r="692" spans="3:3" ht="14.5" x14ac:dyDescent="0.35">
      <c r="C692" s="13"/>
    </row>
    <row r="693" spans="3:3" ht="14.5" x14ac:dyDescent="0.35">
      <c r="C693" s="13"/>
    </row>
    <row r="694" spans="3:3" ht="14.5" x14ac:dyDescent="0.35">
      <c r="C694" s="13"/>
    </row>
    <row r="695" spans="3:3" ht="14.5" x14ac:dyDescent="0.35">
      <c r="C695" s="13"/>
    </row>
    <row r="696" spans="3:3" ht="14.5" x14ac:dyDescent="0.35">
      <c r="C696" s="13"/>
    </row>
    <row r="697" spans="3:3" ht="14.5" x14ac:dyDescent="0.35">
      <c r="C697" s="13"/>
    </row>
    <row r="698" spans="3:3" ht="14.5" x14ac:dyDescent="0.35">
      <c r="C698" s="13"/>
    </row>
    <row r="699" spans="3:3" ht="14.5" x14ac:dyDescent="0.35">
      <c r="C699" s="13"/>
    </row>
    <row r="700" spans="3:3" ht="14.5" x14ac:dyDescent="0.35">
      <c r="C700" s="13"/>
    </row>
    <row r="701" spans="3:3" ht="14.5" x14ac:dyDescent="0.35">
      <c r="C701" s="13"/>
    </row>
    <row r="702" spans="3:3" ht="14.5" x14ac:dyDescent="0.35">
      <c r="C702" s="13"/>
    </row>
    <row r="703" spans="3:3" ht="14.5" x14ac:dyDescent="0.35">
      <c r="C703" s="13"/>
    </row>
    <row r="704" spans="3:3" ht="14.5" x14ac:dyDescent="0.35">
      <c r="C704" s="13"/>
    </row>
    <row r="705" spans="3:3" ht="14.5" x14ac:dyDescent="0.35">
      <c r="C705" s="13"/>
    </row>
    <row r="706" spans="3:3" ht="14.5" x14ac:dyDescent="0.35">
      <c r="C706" s="13"/>
    </row>
    <row r="707" spans="3:3" ht="14.5" x14ac:dyDescent="0.35">
      <c r="C707" s="13"/>
    </row>
    <row r="708" spans="3:3" ht="14.5" x14ac:dyDescent="0.35">
      <c r="C708" s="13"/>
    </row>
    <row r="709" spans="3:3" ht="14.5" x14ac:dyDescent="0.35">
      <c r="C709" s="13"/>
    </row>
    <row r="710" spans="3:3" ht="14.5" x14ac:dyDescent="0.35">
      <c r="C710" s="13"/>
    </row>
    <row r="711" spans="3:3" ht="14.5" x14ac:dyDescent="0.35">
      <c r="C711" s="13"/>
    </row>
    <row r="712" spans="3:3" ht="14.5" x14ac:dyDescent="0.35">
      <c r="C712" s="13"/>
    </row>
    <row r="713" spans="3:3" ht="14.5" x14ac:dyDescent="0.35">
      <c r="C713" s="13"/>
    </row>
    <row r="714" spans="3:3" ht="14.5" x14ac:dyDescent="0.35">
      <c r="C714" s="13"/>
    </row>
    <row r="715" spans="3:3" ht="14.5" x14ac:dyDescent="0.35">
      <c r="C715" s="13"/>
    </row>
    <row r="716" spans="3:3" ht="14.5" x14ac:dyDescent="0.35">
      <c r="C716" s="13"/>
    </row>
    <row r="717" spans="3:3" ht="14.5" x14ac:dyDescent="0.35">
      <c r="C717" s="13"/>
    </row>
    <row r="718" spans="3:3" ht="14.5" x14ac:dyDescent="0.35">
      <c r="C718" s="13"/>
    </row>
    <row r="719" spans="3:3" ht="14.5" x14ac:dyDescent="0.35">
      <c r="C719" s="13"/>
    </row>
    <row r="720" spans="3:3" ht="14.5" x14ac:dyDescent="0.35">
      <c r="C720" s="13"/>
    </row>
    <row r="721" spans="3:3" ht="14.5" x14ac:dyDescent="0.35">
      <c r="C721" s="13"/>
    </row>
    <row r="722" spans="3:3" ht="14.5" x14ac:dyDescent="0.35">
      <c r="C722" s="13"/>
    </row>
    <row r="723" spans="3:3" ht="14.5" x14ac:dyDescent="0.35">
      <c r="C723" s="13"/>
    </row>
    <row r="724" spans="3:3" ht="14.5" x14ac:dyDescent="0.35">
      <c r="C724" s="13"/>
    </row>
    <row r="725" spans="3:3" ht="14.5" x14ac:dyDescent="0.35">
      <c r="C725" s="13"/>
    </row>
    <row r="726" spans="3:3" ht="14.5" x14ac:dyDescent="0.35">
      <c r="C726" s="13"/>
    </row>
    <row r="727" spans="3:3" ht="14.5" x14ac:dyDescent="0.35">
      <c r="C727" s="13"/>
    </row>
    <row r="728" spans="3:3" ht="14.5" x14ac:dyDescent="0.35">
      <c r="C728" s="13"/>
    </row>
    <row r="729" spans="3:3" ht="14.5" x14ac:dyDescent="0.35">
      <c r="C729" s="13"/>
    </row>
    <row r="730" spans="3:3" ht="14.5" x14ac:dyDescent="0.35">
      <c r="C730" s="13"/>
    </row>
    <row r="731" spans="3:3" ht="14.5" x14ac:dyDescent="0.35">
      <c r="C731" s="13"/>
    </row>
    <row r="732" spans="3:3" ht="14.5" x14ac:dyDescent="0.35">
      <c r="C732" s="13"/>
    </row>
    <row r="733" spans="3:3" ht="14.5" x14ac:dyDescent="0.35">
      <c r="C733" s="13"/>
    </row>
    <row r="734" spans="3:3" ht="14.5" x14ac:dyDescent="0.35">
      <c r="C734" s="13"/>
    </row>
    <row r="735" spans="3:3" ht="14.5" x14ac:dyDescent="0.35">
      <c r="C735" s="13"/>
    </row>
    <row r="736" spans="3:3" ht="14.5" x14ac:dyDescent="0.35">
      <c r="C736" s="13"/>
    </row>
    <row r="737" spans="3:3" ht="14.5" x14ac:dyDescent="0.35">
      <c r="C737" s="13"/>
    </row>
    <row r="738" spans="3:3" ht="14.5" x14ac:dyDescent="0.35">
      <c r="C738" s="13"/>
    </row>
    <row r="739" spans="3:3" ht="14.5" x14ac:dyDescent="0.35">
      <c r="C739" s="13"/>
    </row>
    <row r="740" spans="3:3" ht="14.5" x14ac:dyDescent="0.35">
      <c r="C740" s="13"/>
    </row>
    <row r="741" spans="3:3" ht="14.5" x14ac:dyDescent="0.35">
      <c r="C741" s="13"/>
    </row>
    <row r="742" spans="3:3" ht="14.5" x14ac:dyDescent="0.35">
      <c r="C742" s="13"/>
    </row>
    <row r="743" spans="3:3" ht="14.5" x14ac:dyDescent="0.35">
      <c r="C743" s="13"/>
    </row>
    <row r="744" spans="3:3" ht="14.5" x14ac:dyDescent="0.35">
      <c r="C744" s="13"/>
    </row>
    <row r="745" spans="3:3" ht="14.5" x14ac:dyDescent="0.35">
      <c r="C745" s="13"/>
    </row>
    <row r="746" spans="3:3" ht="14.5" x14ac:dyDescent="0.35">
      <c r="C746" s="13"/>
    </row>
    <row r="747" spans="3:3" ht="14.5" x14ac:dyDescent="0.35">
      <c r="C747" s="13"/>
    </row>
    <row r="748" spans="3:3" ht="14.5" x14ac:dyDescent="0.35">
      <c r="C748" s="13"/>
    </row>
    <row r="749" spans="3:3" ht="14.5" x14ac:dyDescent="0.35">
      <c r="C749" s="13"/>
    </row>
    <row r="750" spans="3:3" ht="14.5" x14ac:dyDescent="0.35">
      <c r="C750" s="13"/>
    </row>
    <row r="751" spans="3:3" ht="14.5" x14ac:dyDescent="0.35">
      <c r="C751" s="13"/>
    </row>
    <row r="752" spans="3:3" ht="14.5" x14ac:dyDescent="0.35">
      <c r="C752" s="13"/>
    </row>
    <row r="753" spans="3:3" ht="14.5" x14ac:dyDescent="0.35">
      <c r="C753" s="13"/>
    </row>
    <row r="754" spans="3:3" ht="14.5" x14ac:dyDescent="0.35">
      <c r="C754" s="13"/>
    </row>
    <row r="755" spans="3:3" ht="14.5" x14ac:dyDescent="0.35">
      <c r="C755" s="13"/>
    </row>
    <row r="756" spans="3:3" ht="14.5" x14ac:dyDescent="0.35">
      <c r="C756" s="13"/>
    </row>
    <row r="757" spans="3:3" ht="14.5" x14ac:dyDescent="0.35">
      <c r="C757" s="13"/>
    </row>
    <row r="758" spans="3:3" ht="14.5" x14ac:dyDescent="0.35">
      <c r="C758" s="13"/>
    </row>
    <row r="759" spans="3:3" ht="14.5" x14ac:dyDescent="0.35">
      <c r="C759" s="13"/>
    </row>
    <row r="760" spans="3:3" ht="14.5" x14ac:dyDescent="0.35">
      <c r="C760" s="13"/>
    </row>
    <row r="761" spans="3:3" ht="14.5" x14ac:dyDescent="0.35">
      <c r="C761" s="13"/>
    </row>
    <row r="762" spans="3:3" ht="14.5" x14ac:dyDescent="0.35">
      <c r="C762" s="13"/>
    </row>
    <row r="763" spans="3:3" ht="14.5" x14ac:dyDescent="0.35">
      <c r="C763" s="13"/>
    </row>
    <row r="764" spans="3:3" ht="14.5" x14ac:dyDescent="0.35">
      <c r="C764" s="13"/>
    </row>
    <row r="765" spans="3:3" ht="14.5" x14ac:dyDescent="0.35">
      <c r="C765" s="13"/>
    </row>
    <row r="766" spans="3:3" ht="14.5" x14ac:dyDescent="0.35">
      <c r="C766" s="13"/>
    </row>
    <row r="767" spans="3:3" ht="14.5" x14ac:dyDescent="0.35">
      <c r="C767" s="13"/>
    </row>
    <row r="768" spans="3:3" ht="14.5" x14ac:dyDescent="0.35">
      <c r="C768" s="13"/>
    </row>
    <row r="769" spans="3:3" ht="14.5" x14ac:dyDescent="0.35">
      <c r="C769" s="13"/>
    </row>
    <row r="770" spans="3:3" ht="14.5" x14ac:dyDescent="0.35">
      <c r="C770" s="13"/>
    </row>
    <row r="771" spans="3:3" ht="14.5" x14ac:dyDescent="0.35">
      <c r="C771" s="13"/>
    </row>
    <row r="772" spans="3:3" ht="14.5" x14ac:dyDescent="0.35">
      <c r="C772" s="13"/>
    </row>
    <row r="773" spans="3:3" ht="14.5" x14ac:dyDescent="0.35">
      <c r="C773" s="13"/>
    </row>
    <row r="774" spans="3:3" ht="14.5" x14ac:dyDescent="0.35">
      <c r="C774" s="13"/>
    </row>
    <row r="775" spans="3:3" ht="14.5" x14ac:dyDescent="0.35">
      <c r="C775" s="13"/>
    </row>
    <row r="776" spans="3:3" ht="14.5" x14ac:dyDescent="0.35">
      <c r="C776" s="13"/>
    </row>
    <row r="777" spans="3:3" ht="14.5" x14ac:dyDescent="0.35">
      <c r="C777" s="13"/>
    </row>
    <row r="778" spans="3:3" ht="14.5" x14ac:dyDescent="0.35">
      <c r="C778" s="13"/>
    </row>
    <row r="779" spans="3:3" ht="14.5" x14ac:dyDescent="0.35">
      <c r="C779" s="13"/>
    </row>
    <row r="780" spans="3:3" ht="14.5" x14ac:dyDescent="0.35">
      <c r="C780" s="13"/>
    </row>
    <row r="781" spans="3:3" ht="14.5" x14ac:dyDescent="0.35">
      <c r="C781" s="13"/>
    </row>
    <row r="782" spans="3:3" ht="14.5" x14ac:dyDescent="0.35">
      <c r="C782" s="13"/>
    </row>
    <row r="783" spans="3:3" ht="14.5" x14ac:dyDescent="0.35">
      <c r="C783" s="13"/>
    </row>
    <row r="784" spans="3:3" ht="14.5" x14ac:dyDescent="0.35">
      <c r="C784" s="13"/>
    </row>
    <row r="785" spans="3:3" ht="14.5" x14ac:dyDescent="0.35">
      <c r="C785" s="13"/>
    </row>
    <row r="786" spans="3:3" ht="14.5" x14ac:dyDescent="0.35">
      <c r="C786" s="13"/>
    </row>
    <row r="787" spans="3:3" ht="14.5" x14ac:dyDescent="0.35">
      <c r="C787" s="13"/>
    </row>
    <row r="788" spans="3:3" ht="14.5" x14ac:dyDescent="0.35">
      <c r="C788" s="13"/>
    </row>
    <row r="789" spans="3:3" ht="14.5" x14ac:dyDescent="0.35">
      <c r="C789" s="13"/>
    </row>
    <row r="790" spans="3:3" ht="14.5" x14ac:dyDescent="0.35">
      <c r="C790" s="13"/>
    </row>
    <row r="791" spans="3:3" ht="14.5" x14ac:dyDescent="0.35">
      <c r="C791" s="13"/>
    </row>
    <row r="792" spans="3:3" ht="14.5" x14ac:dyDescent="0.35">
      <c r="C792" s="13"/>
    </row>
    <row r="793" spans="3:3" ht="14.5" x14ac:dyDescent="0.35">
      <c r="C793" s="13"/>
    </row>
    <row r="794" spans="3:3" ht="14.5" x14ac:dyDescent="0.35">
      <c r="C794" s="13"/>
    </row>
    <row r="795" spans="3:3" ht="14.5" x14ac:dyDescent="0.35">
      <c r="C795" s="13"/>
    </row>
    <row r="796" spans="3:3" ht="14.5" x14ac:dyDescent="0.35">
      <c r="C796" s="13"/>
    </row>
    <row r="797" spans="3:3" ht="14.5" x14ac:dyDescent="0.35">
      <c r="C797" s="13"/>
    </row>
    <row r="798" spans="3:3" ht="14.5" x14ac:dyDescent="0.35">
      <c r="C798" s="13"/>
    </row>
    <row r="799" spans="3:3" ht="14.5" x14ac:dyDescent="0.35">
      <c r="C799" s="13"/>
    </row>
    <row r="800" spans="3:3" ht="14.5" x14ac:dyDescent="0.35">
      <c r="C800" s="13"/>
    </row>
    <row r="801" spans="3:3" ht="14.5" x14ac:dyDescent="0.35">
      <c r="C801" s="13"/>
    </row>
    <row r="802" spans="3:3" ht="14.5" x14ac:dyDescent="0.35">
      <c r="C802" s="13"/>
    </row>
    <row r="803" spans="3:3" ht="14.5" x14ac:dyDescent="0.35">
      <c r="C803" s="13"/>
    </row>
    <row r="804" spans="3:3" ht="14.5" x14ac:dyDescent="0.35">
      <c r="C804" s="13"/>
    </row>
    <row r="805" spans="3:3" ht="14.5" x14ac:dyDescent="0.35">
      <c r="C805" s="13"/>
    </row>
    <row r="806" spans="3:3" ht="14.5" x14ac:dyDescent="0.35">
      <c r="C806" s="13"/>
    </row>
    <row r="807" spans="3:3" ht="14.5" x14ac:dyDescent="0.35">
      <c r="C807" s="13"/>
    </row>
    <row r="808" spans="3:3" ht="14.5" x14ac:dyDescent="0.35">
      <c r="C808" s="13"/>
    </row>
    <row r="809" spans="3:3" ht="14.5" x14ac:dyDescent="0.35">
      <c r="C809" s="13"/>
    </row>
    <row r="810" spans="3:3" ht="14.5" x14ac:dyDescent="0.35">
      <c r="C810" s="13"/>
    </row>
    <row r="811" spans="3:3" ht="14.5" x14ac:dyDescent="0.35">
      <c r="C811" s="13"/>
    </row>
    <row r="812" spans="3:3" ht="14.5" x14ac:dyDescent="0.35">
      <c r="C812" s="13"/>
    </row>
    <row r="813" spans="3:3" ht="14.5" x14ac:dyDescent="0.35">
      <c r="C813" s="13"/>
    </row>
    <row r="814" spans="3:3" ht="14.5" x14ac:dyDescent="0.35">
      <c r="C814" s="13"/>
    </row>
    <row r="815" spans="3:3" ht="14.5" x14ac:dyDescent="0.35">
      <c r="C815" s="13"/>
    </row>
    <row r="816" spans="3:3" ht="14.5" x14ac:dyDescent="0.35">
      <c r="C816" s="13"/>
    </row>
    <row r="817" spans="3:3" ht="14.5" x14ac:dyDescent="0.35">
      <c r="C817" s="13"/>
    </row>
    <row r="818" spans="3:3" ht="14.5" x14ac:dyDescent="0.35">
      <c r="C818" s="13"/>
    </row>
    <row r="819" spans="3:3" ht="14.5" x14ac:dyDescent="0.35">
      <c r="C819" s="13"/>
    </row>
    <row r="820" spans="3:3" ht="14.5" x14ac:dyDescent="0.35">
      <c r="C820" s="13"/>
    </row>
    <row r="821" spans="3:3" ht="14.5" x14ac:dyDescent="0.35">
      <c r="C821" s="13"/>
    </row>
    <row r="822" spans="3:3" ht="14.5" x14ac:dyDescent="0.35">
      <c r="C822" s="13"/>
    </row>
    <row r="823" spans="3:3" ht="14.5" x14ac:dyDescent="0.35">
      <c r="C823" s="13"/>
    </row>
    <row r="824" spans="3:3" ht="14.5" x14ac:dyDescent="0.35">
      <c r="C824" s="13"/>
    </row>
    <row r="825" spans="3:3" ht="14.5" x14ac:dyDescent="0.35">
      <c r="C825" s="13"/>
    </row>
    <row r="826" spans="3:3" ht="14.5" x14ac:dyDescent="0.35">
      <c r="C826" s="13"/>
    </row>
    <row r="827" spans="3:3" ht="14.5" x14ac:dyDescent="0.35">
      <c r="C827" s="13"/>
    </row>
    <row r="828" spans="3:3" ht="14.5" x14ac:dyDescent="0.35">
      <c r="C828" s="13"/>
    </row>
    <row r="829" spans="3:3" ht="14.5" x14ac:dyDescent="0.35">
      <c r="C829" s="13"/>
    </row>
    <row r="830" spans="3:3" ht="14.5" x14ac:dyDescent="0.35">
      <c r="C830" s="13"/>
    </row>
    <row r="831" spans="3:3" ht="14.5" x14ac:dyDescent="0.35">
      <c r="C831" s="13"/>
    </row>
    <row r="832" spans="3:3" ht="14.5" x14ac:dyDescent="0.35">
      <c r="C832" s="13"/>
    </row>
    <row r="833" spans="3:3" ht="14.5" x14ac:dyDescent="0.35">
      <c r="C833" s="13"/>
    </row>
    <row r="834" spans="3:3" ht="14.5" x14ac:dyDescent="0.35">
      <c r="C834" s="13"/>
    </row>
    <row r="835" spans="3:3" ht="14.5" x14ac:dyDescent="0.35">
      <c r="C835" s="13"/>
    </row>
    <row r="836" spans="3:3" ht="14.5" x14ac:dyDescent="0.35">
      <c r="C836" s="13"/>
    </row>
    <row r="837" spans="3:3" ht="14.5" x14ac:dyDescent="0.35">
      <c r="C837" s="13"/>
    </row>
    <row r="838" spans="3:3" ht="14.5" x14ac:dyDescent="0.35">
      <c r="C838" s="13"/>
    </row>
    <row r="839" spans="3:3" ht="14.5" x14ac:dyDescent="0.35">
      <c r="C839" s="13"/>
    </row>
    <row r="840" spans="3:3" ht="14.5" x14ac:dyDescent="0.35">
      <c r="C840" s="13"/>
    </row>
    <row r="841" spans="3:3" ht="14.5" x14ac:dyDescent="0.35">
      <c r="C841" s="13"/>
    </row>
    <row r="842" spans="3:3" ht="14.5" x14ac:dyDescent="0.35">
      <c r="C842" s="13"/>
    </row>
    <row r="843" spans="3:3" ht="14.5" x14ac:dyDescent="0.35">
      <c r="C843" s="13"/>
    </row>
    <row r="844" spans="3:3" ht="14.5" x14ac:dyDescent="0.35">
      <c r="C844" s="13"/>
    </row>
    <row r="845" spans="3:3" ht="14.5" x14ac:dyDescent="0.35">
      <c r="C845" s="13"/>
    </row>
    <row r="846" spans="3:3" ht="14.5" x14ac:dyDescent="0.35">
      <c r="C846" s="13"/>
    </row>
    <row r="847" spans="3:3" ht="14.5" x14ac:dyDescent="0.35">
      <c r="C847" s="13"/>
    </row>
    <row r="848" spans="3:3" ht="14.5" x14ac:dyDescent="0.35">
      <c r="C848" s="13"/>
    </row>
    <row r="849" spans="3:3" ht="14.5" x14ac:dyDescent="0.35">
      <c r="C849" s="13"/>
    </row>
    <row r="850" spans="3:3" ht="14.5" x14ac:dyDescent="0.35">
      <c r="C850" s="13"/>
    </row>
    <row r="851" spans="3:3" ht="14.5" x14ac:dyDescent="0.35">
      <c r="C851" s="13"/>
    </row>
    <row r="852" spans="3:3" ht="14.5" x14ac:dyDescent="0.35">
      <c r="C852" s="13"/>
    </row>
    <row r="853" spans="3:3" ht="14.5" x14ac:dyDescent="0.35">
      <c r="C853" s="13"/>
    </row>
    <row r="854" spans="3:3" ht="14.5" x14ac:dyDescent="0.35">
      <c r="C854" s="13"/>
    </row>
    <row r="855" spans="3:3" ht="14.5" x14ac:dyDescent="0.35">
      <c r="C855" s="13"/>
    </row>
    <row r="856" spans="3:3" ht="14.5" x14ac:dyDescent="0.35">
      <c r="C856" s="13"/>
    </row>
    <row r="857" spans="3:3" ht="14.5" x14ac:dyDescent="0.35">
      <c r="C857" s="13"/>
    </row>
    <row r="858" spans="3:3" ht="14.5" x14ac:dyDescent="0.35">
      <c r="C858" s="13"/>
    </row>
    <row r="859" spans="3:3" ht="14.5" x14ac:dyDescent="0.35">
      <c r="C859" s="13"/>
    </row>
    <row r="860" spans="3:3" ht="14.5" x14ac:dyDescent="0.35">
      <c r="C860" s="13"/>
    </row>
    <row r="861" spans="3:3" ht="14.5" x14ac:dyDescent="0.35">
      <c r="C861" s="13"/>
    </row>
    <row r="862" spans="3:3" ht="14.5" x14ac:dyDescent="0.35">
      <c r="C862" s="13"/>
    </row>
    <row r="863" spans="3:3" ht="14.5" x14ac:dyDescent="0.35">
      <c r="C863" s="13"/>
    </row>
    <row r="864" spans="3:3" ht="14.5" x14ac:dyDescent="0.35">
      <c r="C864" s="13"/>
    </row>
    <row r="865" spans="3:3" ht="14.5" x14ac:dyDescent="0.35">
      <c r="C865" s="13"/>
    </row>
    <row r="866" spans="3:3" ht="14.5" x14ac:dyDescent="0.35">
      <c r="C866" s="13"/>
    </row>
    <row r="867" spans="3:3" ht="14.5" x14ac:dyDescent="0.35">
      <c r="C867" s="13"/>
    </row>
    <row r="868" spans="3:3" ht="14.5" x14ac:dyDescent="0.35">
      <c r="C868" s="13"/>
    </row>
    <row r="869" spans="3:3" ht="14.5" x14ac:dyDescent="0.35">
      <c r="C869" s="13"/>
    </row>
    <row r="870" spans="3:3" ht="14.5" x14ac:dyDescent="0.35">
      <c r="C870" s="13"/>
    </row>
    <row r="871" spans="3:3" ht="14.5" x14ac:dyDescent="0.35">
      <c r="C871" s="13"/>
    </row>
    <row r="872" spans="3:3" ht="14.5" x14ac:dyDescent="0.35">
      <c r="C872" s="13"/>
    </row>
    <row r="873" spans="3:3" ht="14.5" x14ac:dyDescent="0.35">
      <c r="C873" s="13"/>
    </row>
    <row r="874" spans="3:3" ht="14.5" x14ac:dyDescent="0.35">
      <c r="C874" s="13"/>
    </row>
    <row r="875" spans="3:3" ht="14.5" x14ac:dyDescent="0.35">
      <c r="C875" s="13"/>
    </row>
    <row r="876" spans="3:3" ht="14.5" x14ac:dyDescent="0.35">
      <c r="C876" s="13"/>
    </row>
    <row r="877" spans="3:3" ht="14.5" x14ac:dyDescent="0.35">
      <c r="C877" s="13"/>
    </row>
    <row r="878" spans="3:3" ht="14.5" x14ac:dyDescent="0.35">
      <c r="C878" s="13"/>
    </row>
    <row r="879" spans="3:3" ht="14.5" x14ac:dyDescent="0.35">
      <c r="C879" s="13"/>
    </row>
    <row r="880" spans="3:3" ht="14.5" x14ac:dyDescent="0.35">
      <c r="C880" s="13"/>
    </row>
    <row r="881" spans="3:3" ht="14.5" x14ac:dyDescent="0.35">
      <c r="C881" s="13"/>
    </row>
    <row r="882" spans="3:3" ht="14.5" x14ac:dyDescent="0.35">
      <c r="C882" s="13"/>
    </row>
    <row r="883" spans="3:3" ht="14.5" x14ac:dyDescent="0.35">
      <c r="C883" s="13"/>
    </row>
    <row r="884" spans="3:3" ht="14.5" x14ac:dyDescent="0.35">
      <c r="C884" s="13"/>
    </row>
    <row r="885" spans="3:3" ht="14.5" x14ac:dyDescent="0.35">
      <c r="C885" s="13"/>
    </row>
    <row r="886" spans="3:3" ht="14.5" x14ac:dyDescent="0.35">
      <c r="C886" s="13"/>
    </row>
    <row r="887" spans="3:3" ht="14.5" x14ac:dyDescent="0.35">
      <c r="C887" s="13"/>
    </row>
    <row r="888" spans="3:3" ht="14.5" x14ac:dyDescent="0.35">
      <c r="C888" s="13"/>
    </row>
    <row r="889" spans="3:3" ht="14.5" x14ac:dyDescent="0.35">
      <c r="C889" s="13"/>
    </row>
    <row r="890" spans="3:3" ht="14.5" x14ac:dyDescent="0.35">
      <c r="C890" s="13"/>
    </row>
    <row r="891" spans="3:3" ht="14.5" x14ac:dyDescent="0.35">
      <c r="C891" s="13"/>
    </row>
    <row r="892" spans="3:3" ht="14.5" x14ac:dyDescent="0.35">
      <c r="C892" s="13"/>
    </row>
    <row r="893" spans="3:3" ht="14.5" x14ac:dyDescent="0.35">
      <c r="C893" s="13"/>
    </row>
    <row r="894" spans="3:3" ht="14.5" x14ac:dyDescent="0.35">
      <c r="C894" s="13"/>
    </row>
    <row r="895" spans="3:3" ht="14.5" x14ac:dyDescent="0.35">
      <c r="C895" s="13"/>
    </row>
    <row r="896" spans="3:3" ht="14.5" x14ac:dyDescent="0.35">
      <c r="C896" s="13"/>
    </row>
    <row r="897" spans="3:3" ht="14.5" x14ac:dyDescent="0.35">
      <c r="C897" s="13"/>
    </row>
    <row r="898" spans="3:3" ht="14.5" x14ac:dyDescent="0.35">
      <c r="C898" s="13"/>
    </row>
    <row r="899" spans="3:3" ht="14.5" x14ac:dyDescent="0.35">
      <c r="C899" s="13"/>
    </row>
    <row r="900" spans="3:3" ht="14.5" x14ac:dyDescent="0.35">
      <c r="C900" s="13"/>
    </row>
    <row r="901" spans="3:3" ht="14.5" x14ac:dyDescent="0.35">
      <c r="C901" s="13"/>
    </row>
    <row r="902" spans="3:3" ht="14.5" x14ac:dyDescent="0.35">
      <c r="C902" s="13"/>
    </row>
    <row r="903" spans="3:3" ht="14.5" x14ac:dyDescent="0.35">
      <c r="C903" s="13"/>
    </row>
    <row r="904" spans="3:3" ht="14.5" x14ac:dyDescent="0.35">
      <c r="C904" s="13"/>
    </row>
    <row r="905" spans="3:3" ht="14.5" x14ac:dyDescent="0.35">
      <c r="C905" s="13"/>
    </row>
    <row r="906" spans="3:3" ht="14.5" x14ac:dyDescent="0.35">
      <c r="C906" s="13"/>
    </row>
    <row r="907" spans="3:3" ht="14.5" x14ac:dyDescent="0.35">
      <c r="C907" s="13"/>
    </row>
    <row r="908" spans="3:3" ht="14.5" x14ac:dyDescent="0.35">
      <c r="C908" s="13"/>
    </row>
    <row r="909" spans="3:3" ht="14.5" x14ac:dyDescent="0.35">
      <c r="C909" s="13"/>
    </row>
    <row r="910" spans="3:3" ht="14.5" x14ac:dyDescent="0.35">
      <c r="C910" s="13"/>
    </row>
    <row r="911" spans="3:3" ht="14.5" x14ac:dyDescent="0.35">
      <c r="C911" s="13"/>
    </row>
    <row r="912" spans="3:3" ht="14.5" x14ac:dyDescent="0.35">
      <c r="C912" s="13"/>
    </row>
    <row r="913" spans="3:3" ht="14.5" x14ac:dyDescent="0.35">
      <c r="C913" s="13"/>
    </row>
    <row r="914" spans="3:3" ht="14.5" x14ac:dyDescent="0.35">
      <c r="C914" s="13"/>
    </row>
    <row r="915" spans="3:3" ht="14.5" x14ac:dyDescent="0.35">
      <c r="C915" s="13"/>
    </row>
    <row r="916" spans="3:3" ht="14.5" x14ac:dyDescent="0.35">
      <c r="C916" s="13"/>
    </row>
    <row r="917" spans="3:3" ht="14.5" x14ac:dyDescent="0.35">
      <c r="C917" s="13"/>
    </row>
    <row r="918" spans="3:3" ht="14.5" x14ac:dyDescent="0.35">
      <c r="C918" s="13"/>
    </row>
    <row r="919" spans="3:3" ht="14.5" x14ac:dyDescent="0.35">
      <c r="C919" s="13"/>
    </row>
    <row r="920" spans="3:3" ht="14.5" x14ac:dyDescent="0.35">
      <c r="C920" s="13"/>
    </row>
    <row r="921" spans="3:3" ht="14.5" x14ac:dyDescent="0.35">
      <c r="C921" s="13"/>
    </row>
    <row r="922" spans="3:3" ht="14.5" x14ac:dyDescent="0.35">
      <c r="C922" s="13"/>
    </row>
    <row r="923" spans="3:3" ht="14.5" x14ac:dyDescent="0.35">
      <c r="C923" s="13"/>
    </row>
    <row r="924" spans="3:3" ht="14.5" x14ac:dyDescent="0.35">
      <c r="C924" s="13"/>
    </row>
    <row r="925" spans="3:3" ht="14.5" x14ac:dyDescent="0.35">
      <c r="C925" s="13"/>
    </row>
    <row r="926" spans="3:3" ht="14.5" x14ac:dyDescent="0.35">
      <c r="C926" s="13"/>
    </row>
    <row r="927" spans="3:3" ht="14.5" x14ac:dyDescent="0.35">
      <c r="C927" s="13"/>
    </row>
    <row r="928" spans="3:3" ht="14.5" x14ac:dyDescent="0.35">
      <c r="C928" s="13"/>
    </row>
    <row r="929" spans="3:3" ht="14.5" x14ac:dyDescent="0.35">
      <c r="C929" s="13"/>
    </row>
    <row r="930" spans="3:3" ht="14.5" x14ac:dyDescent="0.35">
      <c r="C930" s="13"/>
    </row>
    <row r="931" spans="3:3" ht="14.5" x14ac:dyDescent="0.35">
      <c r="C931" s="13"/>
    </row>
    <row r="932" spans="3:3" ht="14.5" x14ac:dyDescent="0.35">
      <c r="C932" s="13"/>
    </row>
    <row r="933" spans="3:3" ht="14.5" x14ac:dyDescent="0.35">
      <c r="C933" s="13"/>
    </row>
    <row r="934" spans="3:3" ht="14.5" x14ac:dyDescent="0.35">
      <c r="C934" s="13"/>
    </row>
    <row r="935" spans="3:3" ht="14.5" x14ac:dyDescent="0.35">
      <c r="C935" s="13"/>
    </row>
    <row r="936" spans="3:3" ht="14.5" x14ac:dyDescent="0.35">
      <c r="C936" s="13"/>
    </row>
    <row r="937" spans="3:3" ht="14.5" x14ac:dyDescent="0.35">
      <c r="C937" s="13"/>
    </row>
    <row r="938" spans="3:3" ht="14.5" x14ac:dyDescent="0.35">
      <c r="C938" s="13"/>
    </row>
    <row r="939" spans="3:3" ht="14.5" x14ac:dyDescent="0.35">
      <c r="C939" s="13"/>
    </row>
    <row r="940" spans="3:3" ht="14.5" x14ac:dyDescent="0.35">
      <c r="C940" s="13"/>
    </row>
    <row r="941" spans="3:3" ht="14.5" x14ac:dyDescent="0.35">
      <c r="C941" s="13"/>
    </row>
    <row r="942" spans="3:3" ht="14.5" x14ac:dyDescent="0.35">
      <c r="C942" s="13"/>
    </row>
    <row r="943" spans="3:3" ht="14.5" x14ac:dyDescent="0.35">
      <c r="C943" s="13"/>
    </row>
    <row r="944" spans="3:3" ht="14.5" x14ac:dyDescent="0.35">
      <c r="C944" s="13"/>
    </row>
    <row r="945" spans="3:3" ht="14.5" x14ac:dyDescent="0.35">
      <c r="C945" s="13"/>
    </row>
    <row r="946" spans="3:3" ht="14.5" x14ac:dyDescent="0.35">
      <c r="C946" s="13"/>
    </row>
    <row r="947" spans="3:3" ht="14.5" x14ac:dyDescent="0.35">
      <c r="C947" s="13"/>
    </row>
    <row r="948" spans="3:3" ht="14.5" x14ac:dyDescent="0.35">
      <c r="C948" s="13"/>
    </row>
    <row r="949" spans="3:3" ht="14.5" x14ac:dyDescent="0.35">
      <c r="C949" s="13"/>
    </row>
    <row r="950" spans="3:3" ht="14.5" x14ac:dyDescent="0.35">
      <c r="C950" s="13"/>
    </row>
    <row r="951" spans="3:3" ht="14.5" x14ac:dyDescent="0.35">
      <c r="C951" s="13"/>
    </row>
    <row r="952" spans="3:3" ht="14.5" x14ac:dyDescent="0.35">
      <c r="C952" s="13"/>
    </row>
    <row r="953" spans="3:3" ht="14.5" x14ac:dyDescent="0.35">
      <c r="C953" s="13"/>
    </row>
    <row r="954" spans="3:3" ht="14.5" x14ac:dyDescent="0.35">
      <c r="C954" s="13"/>
    </row>
    <row r="955" spans="3:3" ht="14.5" x14ac:dyDescent="0.35">
      <c r="C955" s="13"/>
    </row>
    <row r="956" spans="3:3" ht="14.5" x14ac:dyDescent="0.35">
      <c r="C956" s="13"/>
    </row>
    <row r="957" spans="3:3" ht="14.5" x14ac:dyDescent="0.35">
      <c r="C957" s="13"/>
    </row>
    <row r="958" spans="3:3" ht="14.5" x14ac:dyDescent="0.35">
      <c r="C958" s="13"/>
    </row>
    <row r="959" spans="3:3" ht="14.5" x14ac:dyDescent="0.35">
      <c r="C959" s="13"/>
    </row>
    <row r="960" spans="3:3" ht="14.5" x14ac:dyDescent="0.35">
      <c r="C960" s="13"/>
    </row>
    <row r="961" spans="3:3" ht="14.5" x14ac:dyDescent="0.35">
      <c r="C961" s="13"/>
    </row>
    <row r="962" spans="3:3" ht="14.5" x14ac:dyDescent="0.35">
      <c r="C962" s="13"/>
    </row>
    <row r="963" spans="3:3" ht="14.5" x14ac:dyDescent="0.35">
      <c r="C963" s="13"/>
    </row>
    <row r="964" spans="3:3" ht="14.5" x14ac:dyDescent="0.35">
      <c r="C964" s="13"/>
    </row>
    <row r="965" spans="3:3" ht="14.5" x14ac:dyDescent="0.35">
      <c r="C965" s="13"/>
    </row>
    <row r="966" spans="3:3" ht="14.5" x14ac:dyDescent="0.35">
      <c r="C966" s="13"/>
    </row>
    <row r="967" spans="3:3" ht="14.5" x14ac:dyDescent="0.35">
      <c r="C967" s="13"/>
    </row>
    <row r="968" spans="3:3" ht="14.5" x14ac:dyDescent="0.35">
      <c r="C968" s="13"/>
    </row>
    <row r="969" spans="3:3" ht="14.5" x14ac:dyDescent="0.35">
      <c r="C969" s="13"/>
    </row>
    <row r="970" spans="3:3" ht="14.5" x14ac:dyDescent="0.35">
      <c r="C970" s="13"/>
    </row>
    <row r="971" spans="3:3" ht="14.5" x14ac:dyDescent="0.35">
      <c r="C971" s="13"/>
    </row>
    <row r="972" spans="3:3" ht="14.5" x14ac:dyDescent="0.35">
      <c r="C972" s="13"/>
    </row>
    <row r="973" spans="3:3" ht="14.5" x14ac:dyDescent="0.35">
      <c r="C973" s="13"/>
    </row>
    <row r="974" spans="3:3" ht="14.5" x14ac:dyDescent="0.35">
      <c r="C974" s="13"/>
    </row>
    <row r="975" spans="3:3" ht="14.5" x14ac:dyDescent="0.35">
      <c r="C975" s="13"/>
    </row>
    <row r="976" spans="3:3" ht="14.5" x14ac:dyDescent="0.35">
      <c r="C976" s="13"/>
    </row>
    <row r="977" spans="3:3" ht="14.5" x14ac:dyDescent="0.35">
      <c r="C977" s="13"/>
    </row>
    <row r="978" spans="3:3" ht="14.5" x14ac:dyDescent="0.35">
      <c r="C978" s="13"/>
    </row>
    <row r="979" spans="3:3" ht="14.5" x14ac:dyDescent="0.35">
      <c r="C979" s="13"/>
    </row>
    <row r="980" spans="3:3" ht="14.5" x14ac:dyDescent="0.35">
      <c r="C980" s="13"/>
    </row>
    <row r="981" spans="3:3" ht="14.5" x14ac:dyDescent="0.35">
      <c r="C981" s="13"/>
    </row>
    <row r="982" spans="3:3" ht="14.5" x14ac:dyDescent="0.35">
      <c r="C982" s="13"/>
    </row>
    <row r="983" spans="3:3" ht="14.5" x14ac:dyDescent="0.35">
      <c r="C983" s="13"/>
    </row>
    <row r="984" spans="3:3" ht="14.5" x14ac:dyDescent="0.35">
      <c r="C984" s="13"/>
    </row>
    <row r="985" spans="3:3" ht="14.5" x14ac:dyDescent="0.35">
      <c r="C985" s="13"/>
    </row>
    <row r="986" spans="3:3" ht="14.5" x14ac:dyDescent="0.35">
      <c r="C986" s="13"/>
    </row>
    <row r="987" spans="3:3" ht="14.5" x14ac:dyDescent="0.35">
      <c r="C987" s="13"/>
    </row>
    <row r="988" spans="3:3" ht="14.5" x14ac:dyDescent="0.35">
      <c r="C988" s="13"/>
    </row>
    <row r="989" spans="3:3" ht="14.5" x14ac:dyDescent="0.35">
      <c r="C989" s="13"/>
    </row>
    <row r="990" spans="3:3" ht="14.5" x14ac:dyDescent="0.35">
      <c r="C990" s="13"/>
    </row>
    <row r="991" spans="3:3" ht="14.5" x14ac:dyDescent="0.35">
      <c r="C991" s="13"/>
    </row>
    <row r="992" spans="3:3" ht="14.5" x14ac:dyDescent="0.35">
      <c r="C992" s="13"/>
    </row>
    <row r="993" spans="3:3" ht="14.5" x14ac:dyDescent="0.35">
      <c r="C993" s="13"/>
    </row>
    <row r="994" spans="3:3" ht="14.5" x14ac:dyDescent="0.35">
      <c r="C994" s="13"/>
    </row>
    <row r="995" spans="3:3" ht="14.5" x14ac:dyDescent="0.35">
      <c r="C995" s="13"/>
    </row>
    <row r="996" spans="3:3" ht="14.5" x14ac:dyDescent="0.35">
      <c r="C996" s="13"/>
    </row>
    <row r="997" spans="3:3" ht="14.5" x14ac:dyDescent="0.35">
      <c r="C997" s="13"/>
    </row>
    <row r="998" spans="3:3" ht="14.5" x14ac:dyDescent="0.35">
      <c r="C998" s="13"/>
    </row>
    <row r="999" spans="3:3" ht="14.5" x14ac:dyDescent="0.35">
      <c r="C999" s="13"/>
    </row>
    <row r="1000" spans="3:3" ht="14.5" x14ac:dyDescent="0.35">
      <c r="C1000" s="13"/>
    </row>
    <row r="1001" spans="3:3" ht="14.5" x14ac:dyDescent="0.35">
      <c r="C1001" s="13"/>
    </row>
  </sheetData>
  <mergeCells count="11">
    <mergeCell ref="G23:H23"/>
    <mergeCell ref="A2:B2"/>
    <mergeCell ref="A3:B3"/>
    <mergeCell ref="A7:B7"/>
    <mergeCell ref="A9:B9"/>
    <mergeCell ref="A14:B14"/>
    <mergeCell ref="D2:J2"/>
    <mergeCell ref="D3:E3"/>
    <mergeCell ref="E11:J11"/>
    <mergeCell ref="D16:J16"/>
    <mergeCell ref="F17:J17"/>
  </mergeCells>
  <conditionalFormatting sqref="F19:J2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17"/>
  <sheetViews>
    <sheetView tabSelected="1" workbookViewId="0">
      <selection activeCell="A11" sqref="A11"/>
    </sheetView>
  </sheetViews>
  <sheetFormatPr defaultColWidth="14.453125" defaultRowHeight="15" customHeight="1" x14ac:dyDescent="0.35"/>
  <cols>
    <col min="1" max="1" width="55" bestFit="1" customWidth="1"/>
  </cols>
  <sheetData>
    <row r="1" spans="1:1" x14ac:dyDescent="0.35">
      <c r="A1" s="14" t="s">
        <v>79</v>
      </c>
    </row>
    <row r="2" spans="1:1" x14ac:dyDescent="0.35">
      <c r="A2" s="17" t="s">
        <v>76</v>
      </c>
    </row>
    <row r="3" spans="1:1" x14ac:dyDescent="0.35">
      <c r="A3" s="17" t="s">
        <v>77</v>
      </c>
    </row>
    <row r="4" spans="1:1" x14ac:dyDescent="0.35">
      <c r="A4" s="17" t="s">
        <v>78</v>
      </c>
    </row>
    <row r="6" spans="1:1" ht="15" customHeight="1" x14ac:dyDescent="0.35">
      <c r="A6" s="118" t="s">
        <v>75</v>
      </c>
    </row>
    <row r="7" spans="1:1" ht="15" customHeight="1" x14ac:dyDescent="0.35">
      <c r="A7" s="17" t="s">
        <v>80</v>
      </c>
    </row>
    <row r="8" spans="1:1" ht="15" customHeight="1" x14ac:dyDescent="0.35">
      <c r="A8" s="17" t="s">
        <v>81</v>
      </c>
    </row>
    <row r="9" spans="1:1" ht="15" customHeight="1" x14ac:dyDescent="0.35">
      <c r="A9" s="17" t="s">
        <v>82</v>
      </c>
    </row>
    <row r="10" spans="1:1" ht="15" customHeight="1" x14ac:dyDescent="0.35">
      <c r="A10" s="17" t="s">
        <v>83</v>
      </c>
    </row>
    <row r="12" spans="1:1" ht="15" customHeight="1" x14ac:dyDescent="0.35">
      <c r="A12" s="17" t="s">
        <v>84</v>
      </c>
    </row>
    <row r="13" spans="1:1" ht="15" customHeight="1" x14ac:dyDescent="0.35">
      <c r="A13" s="17" t="s">
        <v>85</v>
      </c>
    </row>
    <row r="14" spans="1:1" ht="15" customHeight="1" x14ac:dyDescent="0.35">
      <c r="A14" s="17" t="s">
        <v>86</v>
      </c>
    </row>
    <row r="15" spans="1:1" ht="15" customHeight="1" x14ac:dyDescent="0.35">
      <c r="A15" s="17" t="s">
        <v>87</v>
      </c>
    </row>
    <row r="16" spans="1:1" ht="15" customHeight="1" x14ac:dyDescent="0.35">
      <c r="A16" s="17" t="s">
        <v>88</v>
      </c>
    </row>
    <row r="17" spans="1:1" ht="15" customHeight="1" x14ac:dyDescent="0.35">
      <c r="A17" s="17"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Assignment Details</vt:lpstr>
      <vt:lpstr>Data Sheet</vt:lpstr>
      <vt:lpstr>FData</vt:lpstr>
      <vt:lpstr>Model</vt:lpstr>
      <vt:lpstr>IO</vt:lpstr>
      <vt:lpstr>Assumptions</vt:lpstr>
      <vt:lpstr>flight_time</vt:lpstr>
      <vt:lpstr>mean11am</vt:lpstr>
      <vt:lpstr>mean3pm</vt:lpstr>
      <vt:lpstr>mean7pm</vt:lpstr>
      <vt:lpstr>std_dev11am</vt:lpstr>
      <vt:lpstr>std_dev3pm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 Conyngham</dc:creator>
  <cp:lastModifiedBy>John McGrath</cp:lastModifiedBy>
  <dcterms:created xsi:type="dcterms:W3CDTF">2022-02-07T18:42:20Z</dcterms:created>
  <dcterms:modified xsi:type="dcterms:W3CDTF">2024-03-07T20:27:57Z</dcterms:modified>
</cp:coreProperties>
</file>